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llution Incident Archive" sheetId="1" r:id="rId4"/>
    <sheet state="visible" name="Pivot Table 2" sheetId="2" r:id="rId5"/>
  </sheets>
  <definedNames>
    <definedName hidden="1" localSheetId="0" name="_xlnm._FilterDatabase">'Pollution Incident Archive'!$F$1:$F$1000</definedName>
    <definedName hidden="1" localSheetId="0" name="Z_2D611532_BEF2_40A9_AA40_C527D5692B33_.wvu.FilterData">'Pollution Incident Archive'!$K$1:$K$1000</definedName>
  </definedNames>
  <calcPr/>
  <customWorkbookViews>
    <customWorkbookView activeSheetId="0" maximized="1" windowHeight="0" windowWidth="0" guid="{2D611532-BEF2-40A9-AA40-C527D5692B33}" name="Filter 1"/>
  </customWorkbookViews>
  <pivotCaches>
    <pivotCache cacheId="0" r:id="rId6"/>
  </pivotCaches>
  <extLst>
    <ext uri="GoogleSheetsCustomDataVersion2">
      <go:sheetsCustomData xmlns:go="http://customooxmlschemas.google.com/" r:id="rId7" roundtripDataChecksum="Nc4RqsVm1mI8lxnUbfJE9MfoL66/qFdcS+9lZP34dCY="/>
    </ext>
  </extLst>
</workbook>
</file>

<file path=xl/sharedStrings.xml><?xml version="1.0" encoding="utf-8"?>
<sst xmlns="http://schemas.openxmlformats.org/spreadsheetml/2006/main" count="387" uniqueCount="148">
  <si>
    <t>Record ID</t>
  </si>
  <si>
    <t>Facility Name</t>
  </si>
  <si>
    <t>State</t>
  </si>
  <si>
    <t>Industry</t>
  </si>
  <si>
    <t>Pollutant Type</t>
  </si>
  <si>
    <t>Annual Emissions (lbs) - Before</t>
  </si>
  <si>
    <t>Annual Emissions (lbs) - After</t>
  </si>
  <si>
    <t>Cleanup Cost ($)</t>
  </si>
  <si>
    <t>Incident Date</t>
  </si>
  <si>
    <t>Risk Level</t>
  </si>
  <si>
    <t>Status</t>
  </si>
  <si>
    <t>Root Cause</t>
  </si>
  <si>
    <t>Summit Forge</t>
  </si>
  <si>
    <t>NY</t>
  </si>
  <si>
    <t>Manufacturing</t>
  </si>
  <si>
    <t>Heavy Metals</t>
  </si>
  <si>
    <t>Moderate-High</t>
  </si>
  <si>
    <t>Completed</t>
  </si>
  <si>
    <t>Leaking Storage Tank</t>
  </si>
  <si>
    <t>Atlas Foundry</t>
  </si>
  <si>
    <t>MI</t>
  </si>
  <si>
    <t>Improper Waste Handling</t>
  </si>
  <si>
    <t>Heritage Foundry</t>
  </si>
  <si>
    <t>Improper Labeling</t>
  </si>
  <si>
    <t>Titan Forge</t>
  </si>
  <si>
    <t>Improper Storage</t>
  </si>
  <si>
    <t>Horizon Castings</t>
  </si>
  <si>
    <t>In Progress</t>
  </si>
  <si>
    <t>Worker Error</t>
  </si>
  <si>
    <t>Millennium Metals</t>
  </si>
  <si>
    <t>Conveyor Belt Tear</t>
  </si>
  <si>
    <t>Legacy Forge</t>
  </si>
  <si>
    <t>Bearing Failure</t>
  </si>
  <si>
    <t>CleanUp Projects</t>
  </si>
  <si>
    <t>Nebula Chem</t>
  </si>
  <si>
    <t>CA</t>
  </si>
  <si>
    <t>Chemical</t>
  </si>
  <si>
    <t>COUNTA of Annual Emissions (lbs) - Before</t>
  </si>
  <si>
    <t>SUM of Cleanup Cost ($)</t>
  </si>
  <si>
    <t>High</t>
  </si>
  <si>
    <t>Spill During Transfer</t>
  </si>
  <si>
    <t>AVERAGE of Annual Emissions (lbs) - After</t>
  </si>
  <si>
    <t>Infinity Chem</t>
  </si>
  <si>
    <t>Chemical Total</t>
  </si>
  <si>
    <t>Agitator Seal Failure</t>
  </si>
  <si>
    <t>Manufacturing Total</t>
  </si>
  <si>
    <t>Stellar Chem</t>
  </si>
  <si>
    <t>In Progress Total</t>
  </si>
  <si>
    <t>Grand Total</t>
  </si>
  <si>
    <t>Reactor Overpressure</t>
  </si>
  <si>
    <t>Celestial Chem</t>
  </si>
  <si>
    <t>Apex Automotive</t>
  </si>
  <si>
    <t>FL</t>
  </si>
  <si>
    <t>Automotive</t>
  </si>
  <si>
    <t>Greenhouse Gases</t>
  </si>
  <si>
    <t>Moderate</t>
  </si>
  <si>
    <t>Sensor Malfunction</t>
  </si>
  <si>
    <t>Horizon Autoworks</t>
  </si>
  <si>
    <t>Software Glitch</t>
  </si>
  <si>
    <t>Vertex Autoworks</t>
  </si>
  <si>
    <t>Emissions Control Fault</t>
  </si>
  <si>
    <t>Quantum Chemicals</t>
  </si>
  <si>
    <t>Volatile Organic Compounds</t>
  </si>
  <si>
    <t>Pressure Relief Failure</t>
  </si>
  <si>
    <t>Infinity Solvents</t>
  </si>
  <si>
    <t>Liquid Overflow</t>
  </si>
  <si>
    <t>Aurora Solvents</t>
  </si>
  <si>
    <t>Pipeline Crack</t>
  </si>
  <si>
    <t>Vertex Steel</t>
  </si>
  <si>
    <t>OH</t>
  </si>
  <si>
    <t>Particulate Matter</t>
  </si>
  <si>
    <t>Dust Collector Failure</t>
  </si>
  <si>
    <t>Steelhaven Manufacturing</t>
  </si>
  <si>
    <t>Hopper Leak</t>
  </si>
  <si>
    <t>Pinnacle Motors</t>
  </si>
  <si>
    <t>Exhaust System Failure</t>
  </si>
  <si>
    <t>Vista Steelworks</t>
  </si>
  <si>
    <t>Valve Malfunction</t>
  </si>
  <si>
    <t>Steelcrest Manufacturing</t>
  </si>
  <si>
    <t>Ductwork Leak</t>
  </si>
  <si>
    <t>Polaris Chemicals</t>
  </si>
  <si>
    <t>Overpressurization</t>
  </si>
  <si>
    <t>Pegasus Chemicals</t>
  </si>
  <si>
    <t>Filter Media Failure</t>
  </si>
  <si>
    <t>Mariner Refining</t>
  </si>
  <si>
    <t>LA</t>
  </si>
  <si>
    <t>Refining</t>
  </si>
  <si>
    <t>Polycyclic Aromatic Hydrocarbons</t>
  </si>
  <si>
    <t>Low</t>
  </si>
  <si>
    <t>Not Started</t>
  </si>
  <si>
    <t>Incomplete Maintenance</t>
  </si>
  <si>
    <t>Cascade Polymers</t>
  </si>
  <si>
    <t>Dust Explosion</t>
  </si>
  <si>
    <t>Olympus Metals</t>
  </si>
  <si>
    <t>Corroded Pipe</t>
  </si>
  <si>
    <t>Orion Chemicals</t>
  </si>
  <si>
    <t>Seaboard Refining</t>
  </si>
  <si>
    <t>Corroded Flange</t>
  </si>
  <si>
    <t>Metro Metals</t>
  </si>
  <si>
    <t>Overflow During Transfer</t>
  </si>
  <si>
    <t>Crest Refining</t>
  </si>
  <si>
    <t>Valve Seal Degradation</t>
  </si>
  <si>
    <t>Bluewater Refining</t>
  </si>
  <si>
    <t>Gasket Degradation</t>
  </si>
  <si>
    <t>Forgepoint Industries</t>
  </si>
  <si>
    <t>Pump Seal Failure</t>
  </si>
  <si>
    <t>Frontier Metals</t>
  </si>
  <si>
    <t>Pump Cavitation</t>
  </si>
  <si>
    <t>Gulfstream Refineries</t>
  </si>
  <si>
    <t>Monitoring Lapse</t>
  </si>
  <si>
    <t>Horizon Refining</t>
  </si>
  <si>
    <t>Sample Port Leak</t>
  </si>
  <si>
    <t>Coastal Refining</t>
  </si>
  <si>
    <t>Seal Degradation</t>
  </si>
  <si>
    <t>Sunrise Refining</t>
  </si>
  <si>
    <t>Phoenix Power</t>
  </si>
  <si>
    <t>TX</t>
  </si>
  <si>
    <t>Power Generation</t>
  </si>
  <si>
    <t>Gasket Failure</t>
  </si>
  <si>
    <t>Solara Power</t>
  </si>
  <si>
    <t>Seal Wear</t>
  </si>
  <si>
    <t>Tidewater Refining</t>
  </si>
  <si>
    <t>Valve Stuck Open</t>
  </si>
  <si>
    <t>Nova Power</t>
  </si>
  <si>
    <t>Cooling Tower Overflow</t>
  </si>
  <si>
    <t>Pacific Refining</t>
  </si>
  <si>
    <t>Solaris Power Co.</t>
  </si>
  <si>
    <t>Seal Failure</t>
  </si>
  <si>
    <t>Voltide Energy</t>
  </si>
  <si>
    <t>Control System Fault</t>
  </si>
  <si>
    <t>Galaxy Power</t>
  </si>
  <si>
    <t>Scrubber Bypass</t>
  </si>
  <si>
    <t>Electra Power</t>
  </si>
  <si>
    <t>Steam Leak</t>
  </si>
  <si>
    <t>Starburst Power</t>
  </si>
  <si>
    <t>TerraVolt Energy</t>
  </si>
  <si>
    <t>Filter Failure</t>
  </si>
  <si>
    <t>Dynamo Power</t>
  </si>
  <si>
    <t>Baghouse Bypass</t>
  </si>
  <si>
    <t>TOTAL CLEAN UP COST</t>
  </si>
  <si>
    <t>MAXIMUM</t>
  </si>
  <si>
    <t>MINIMUM</t>
  </si>
  <si>
    <t>the facility with the highest reported emissions and the type of pollutant involved.</t>
  </si>
  <si>
    <t>RANGE</t>
  </si>
  <si>
    <t>FIRST QUARTLE (1)</t>
  </si>
  <si>
    <t>SECOND QUARTLE (2)</t>
  </si>
  <si>
    <t>THIRD QUARTLE (3)</t>
  </si>
  <si>
    <t>Interquartile Range (IQR) (3-1)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</si>
</sst>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1C09]dd\ mmmm\ yyyy"/>
    <numFmt numFmtId="165" formatCode="&quot;$&quot;#,##0.00"/>
  </numFmts>
  <fonts count="9">
    <font>
      <sz val="12.0"/>
      <color theme="1"/>
      <name val="Aptos Narrow"/>
      <scheme val="minor"/>
    </font>
    <font>
      <b/>
      <sz val="12.0"/>
      <color theme="1"/>
      <name val="Aptos Narrow"/>
    </font>
    <font>
      <b/>
      <sz val="12.0"/>
      <color theme="1"/>
      <name val="Arial"/>
    </font>
    <font>
      <color theme="1"/>
      <name val="Aptos Narrow"/>
    </font>
    <font>
      <sz val="12.0"/>
      <color theme="1"/>
      <name val="Aptos Narrow"/>
    </font>
    <font>
      <color theme="1"/>
      <name val="Arial"/>
    </font>
    <font>
      <color theme="1"/>
      <name val="Aptos Narrow"/>
      <scheme val="minor"/>
    </font>
    <font>
      <b/>
      <color theme="1"/>
      <name val="Arial"/>
    </font>
    <font>
      <b/>
      <i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164" xfId="0" applyFont="1" applyNumberFormat="1"/>
    <xf borderId="0" fillId="0" fontId="5" numFmtId="0" xfId="0" applyAlignment="1" applyFont="1">
      <alignment readingOrder="0"/>
    </xf>
    <xf borderId="0" fillId="0" fontId="6" numFmtId="0" xfId="0" applyFont="1"/>
    <xf borderId="0" fillId="0" fontId="6" numFmtId="165" xfId="0" applyFont="1" applyNumberFormat="1"/>
    <xf borderId="0" fillId="0" fontId="6" numFmtId="10" xfId="0" applyFont="1" applyNumberFormat="1"/>
    <xf borderId="0" fillId="0" fontId="7" numFmtId="0" xfId="0" applyAlignment="1" applyFont="1">
      <alignment readingOrder="0"/>
    </xf>
    <xf borderId="1" fillId="0" fontId="6" numFmtId="0" xfId="0" applyBorder="1" applyFont="1"/>
    <xf borderId="0" fillId="0" fontId="8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D1:L51" sheet="Pollution Incident Archive"/>
  </cacheSource>
  <cacheFields>
    <cacheField name="Industry" numFmtId="0">
      <sharedItems>
        <s v="Manufacturing"/>
        <s v="Chemical"/>
        <s v="Automotive"/>
        <s v="Refining"/>
        <s v="Power Generation"/>
      </sharedItems>
    </cacheField>
    <cacheField name="Pollutant Type" numFmtId="0">
      <sharedItems>
        <s v="Heavy Metals"/>
        <s v="Greenhouse Gases"/>
        <s v="Volatile Organic Compounds"/>
        <s v="Particulate Matter"/>
        <s v="Polycyclic Aromatic Hydrocarbons"/>
      </sharedItems>
    </cacheField>
    <cacheField name="Annual Emissions (lbs) - Before" numFmtId="0">
      <sharedItems containsSemiMixedTypes="0" containsString="0" containsNumber="1">
        <n v="35560.45"/>
        <n v="35210.45"/>
        <n v="34560.67"/>
        <n v="34450.67"/>
        <n v="33560.67"/>
        <n v="33450.67"/>
        <n v="32567.45"/>
        <n v="32560.8"/>
        <n v="32560.45"/>
        <n v="32450.8"/>
        <n v="31560.67"/>
        <n v="31450.67"/>
        <n v="30560.9"/>
        <n v="30560.8"/>
        <n v="30450.9"/>
        <n v="30450.8"/>
        <n v="29747.82"/>
        <n v="29591.02"/>
        <n v="29560.9"/>
        <n v="29450.9"/>
        <n v="28627.82"/>
        <n v="28560.89"/>
        <n v="28560.33"/>
        <n v="28471.02"/>
        <n v="28450.33"/>
        <n v="28345.89"/>
        <n v="27560.33"/>
        <n v="27450.33"/>
        <n v="26560.77"/>
        <n v="26420.77"/>
        <n v="24695.36"/>
        <n v="24560.77"/>
        <n v="24420.77"/>
        <n v="23789.23"/>
        <n v="23780.23"/>
        <n v="22560.33"/>
        <n v="21560.33"/>
        <n v="21450.33"/>
        <n v="19560.9"/>
        <n v="19450.9"/>
        <n v="18560.9"/>
        <n v="18450.9"/>
        <n v="17673.73"/>
        <n v="17559.49"/>
        <n v="17057.73"/>
        <n v="16307.7"/>
        <n v="14230.45"/>
        <n v="13944.75"/>
      </sharedItems>
    </cacheField>
    <cacheField name="Annual Emissions (lbs) - After" numFmtId="0">
      <sharedItems containsString="0" containsBlank="1" containsNumber="1">
        <n v="9960.54"/>
        <n v="7100.0"/>
        <n v="11400.0"/>
        <n v="11900.0"/>
        <n v="10500.0"/>
        <n v="12300.0"/>
        <n v="18450.9"/>
        <n v="18560.9"/>
        <n v="19450.9"/>
        <n v="19560.9"/>
        <n v="23500.0"/>
        <n v="23700.0"/>
        <n v="24800.0"/>
        <n v="23780.23"/>
        <n v="23000.0"/>
        <n v="17000.0"/>
        <n v="17200.0"/>
        <n v="24695.36"/>
        <n v="18500.0"/>
        <n v="18600.0"/>
        <n v="27450.33"/>
        <n v="19300.0"/>
        <m/>
        <n v="19900.0"/>
        <n v="14200.0"/>
        <n v="20000.0"/>
        <n v="28560.89"/>
        <n v="14300.0"/>
        <n v="29450.9"/>
        <n v="29560.9"/>
        <n v="14800.0"/>
        <n v="14900.0"/>
        <n v="33495.88"/>
        <n v="33616.88"/>
        <n v="22000.0"/>
        <n v="22100.0"/>
        <n v="35695.88"/>
        <n v="22800.0"/>
        <n v="35816.88"/>
        <n v="22700.0"/>
        <n v="23400.0"/>
        <n v="24100.0"/>
        <n v="24200.0"/>
        <n v="24634.79"/>
        <n v="24900.0"/>
      </sharedItems>
    </cacheField>
    <cacheField name="Cleanup Cost ($)" numFmtId="0">
      <sharedItems containsString="0" containsBlank="1" containsNumber="1">
        <n v="56141.74"/>
        <n v="58701.64"/>
        <n v="58621.64"/>
        <n v="61981.25"/>
        <n v="62076.7"/>
        <n v="64221.64"/>
        <n v="62800.75"/>
        <n v="62925.75"/>
        <n v="72925.75"/>
        <n v="46320.99"/>
        <n v="46340.99"/>
        <n v="45340.99"/>
        <n v="83260.93"/>
        <n v="84481.73"/>
        <n v="69391.58"/>
        <n v="45210.99"/>
        <n v="77215.08"/>
        <n v="76291.58"/>
        <n v="87538.46"/>
        <n v="86641.46"/>
        <m/>
        <n v="88688.46"/>
        <n v="60861.64"/>
        <n v="88941.46"/>
        <n v="82340.75"/>
        <n v="83450.6"/>
        <n v="83340.6"/>
        <n v="63079.24"/>
        <n v="63101.64"/>
        <n v="81230.4"/>
        <n v="81340.4"/>
        <n v="70340.25"/>
        <n v="80320.4"/>
        <n v="72340.25"/>
        <n v="80340.4"/>
        <n v="72345.25"/>
        <n v="68340.25"/>
        <n v="69340.25"/>
        <n v="76094.16"/>
        <n v="76675.41"/>
      </sharedItems>
    </cacheField>
    <cacheField name="Incident Date" numFmtId="164">
      <sharedItems containsSemiMixedTypes="0" containsDate="1" containsString="0">
        <d v="2021-02-15T00:00:00Z"/>
        <d v="2021-11-27T00:00:00Z"/>
        <d v="2021-02-21T00:00:00Z"/>
        <d v="2023-02-26T00:00:00Z"/>
        <d v="2023-02-28T00:00:00Z"/>
        <d v="2022-02-17T00:00:00Z"/>
        <d v="2022-02-19T00:00:00Z"/>
        <d v="2023-03-30T00:00:00Z"/>
        <d v="2023-03-29T00:00:00Z"/>
        <d v="2022-03-19T00:00:00Z"/>
        <d v="2021-03-19T00:00:00Z"/>
        <d v="2022-09-05T00:00:00Z"/>
        <d v="2022-03-06T00:00:00Z"/>
        <d v="2021-03-17T00:00:00Z"/>
        <d v="2023-03-08T00:00:00Z"/>
        <d v="2023-03-09T00:00:00Z"/>
        <d v="2021-03-13T00:00:00Z"/>
        <d v="2023-04-12T00:00:00Z"/>
        <d v="2023-04-13T00:00:00Z"/>
        <d v="2021-07-04T00:00:00Z"/>
        <d v="2022-08-12T00:00:00Z"/>
        <d v="2022-04-20T00:00:00Z"/>
        <d v="2021-12-25T00:00:00Z"/>
        <d v="2021-03-26T00:00:00Z"/>
        <d v="2022-05-17T00:00:00Z"/>
        <d v="2022-03-13T00:00:00Z"/>
        <d v="2023-02-05T00:00:00Z"/>
        <d v="2022-04-07T00:00:00Z"/>
        <d v="2023-02-06T00:00:00Z"/>
        <d v="2023-04-10T00:00:00Z"/>
        <d v="2023-04-11T00:00:00Z"/>
        <d v="2021-02-10T00:00:00Z"/>
        <d v="2021-02-11T00:00:00Z"/>
        <d v="2022-04-18T00:00:00Z"/>
        <d v="2021-04-02T00:00:00Z"/>
        <d v="2022-04-16T00:00:00Z"/>
        <d v="2021-04-03T00:00:00Z"/>
        <d v="2021-02-18T00:00:00Z"/>
        <d v="2022-01-27T00:00:00Z"/>
        <d v="2023-04-08T00:00:00Z"/>
        <d v="2021-02-08T00:00:00Z"/>
        <d v="2023-04-09T00:00:00Z"/>
        <d v="2022-01-30T00:00:00Z"/>
        <d v="2022-01-31T00:00:00Z"/>
        <d v="2023-01-28T00:00:00Z"/>
        <d v="2023-01-29T00:00:00Z"/>
        <d v="2022-05-15T00:00:00Z"/>
        <d v="2021-01-15T00:00:00Z"/>
      </sharedItems>
    </cacheField>
    <cacheField name="Risk Level" numFmtId="0">
      <sharedItems>
        <s v="Moderate-High"/>
        <s v="High"/>
        <s v="Moderate"/>
        <s v="Low"/>
      </sharedItems>
    </cacheField>
    <cacheField name="Status" numFmtId="0">
      <sharedItems>
        <s v="Completed"/>
        <s v="In Progress"/>
        <s v="Not Started"/>
      </sharedItems>
    </cacheField>
    <cacheField name="Root Cause" numFmtId="0">
      <sharedItems>
        <s v="Leaking Storage Tank"/>
        <s v="Improper Waste Handling"/>
        <s v="Improper Labeling"/>
        <s v="Improper Storage"/>
        <s v="Worker Error"/>
        <s v="Conveyor Belt Tear"/>
        <s v="Bearing Failure"/>
        <s v="Spill During Transfer"/>
        <s v="Agitator Seal Failure"/>
        <s v="Reactor Overpressure"/>
        <s v="Sensor Malfunction"/>
        <s v="Software Glitch"/>
        <s v="Emissions Control Fault"/>
        <s v="Pressure Relief Failure"/>
        <s v="Liquid Overflow"/>
        <s v="Pipeline Crack"/>
        <s v="Dust Collector Failure"/>
        <s v="Hopper Leak"/>
        <s v="Exhaust System Failure"/>
        <s v="Valve Malfunction"/>
        <s v="Ductwork Leak"/>
        <s v="Overpressurization"/>
        <s v="Filter Media Failure"/>
        <s v="Incomplete Maintenance"/>
        <s v="Dust Explosion"/>
        <s v="Corroded Pipe"/>
        <s v="Corroded Flange"/>
        <s v="Overflow During Transfer"/>
        <s v="Valve Seal Degradation"/>
        <s v="Gasket Degradation"/>
        <s v="Pump Seal Failure"/>
        <s v="Pump Cavitation"/>
        <s v="Monitoring Lapse"/>
        <s v="Sample Port Leak"/>
        <s v="Seal Degradation"/>
        <s v="Gasket Failure"/>
        <s v="Seal Wear"/>
        <s v="Valve Stuck Open"/>
        <s v="Cooling Tower Overflow"/>
        <s v="Seal Failure"/>
        <s v="Control System Fault"/>
        <s v="Scrubber Bypass"/>
        <s v="Steam Leak"/>
        <s v="Filter Failure"/>
        <s v="Baghouse Bypass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2" cacheId="0" dataCaption="" compact="0" compactData="0">
  <location ref="A3:F9" firstHeaderRow="0" firstDataRow="4" firstDataCol="0" rowPageCount="1" colPageCount="1"/>
  <pivotFields>
    <pivotField name="Industry" axis="axisRow" compact="0" outline="0" multipleItemSelectionAllowed="1" showAll="0" sortType="ascending">
      <items>
        <item x="2"/>
        <item x="1"/>
        <item x="0"/>
        <item x="4"/>
        <item x="3"/>
        <item t="default"/>
      </items>
    </pivotField>
    <pivotField name="Pollutant Type" axis="axisRow" compact="0" outline="0" multipleItemSelectionAllowed="1" showAll="0" sortType="ascending">
      <items>
        <item x="1"/>
        <item x="0"/>
        <item x="3"/>
        <item x="4"/>
        <item x="2"/>
        <item t="default"/>
      </items>
    </pivotField>
    <pivotField name="Annual Emissions (lbs) - Befor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Annual Emissions (lbs) - Afte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Cleanup Cost ($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Incident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Risk Level" axis="axisPage" compact="0" outline="0" multipleItemSelectionAllowed="1" showAll="0">
      <items>
        <item x="0"/>
        <item x="1"/>
        <item h="1" x="2"/>
        <item h="1" x="3"/>
        <item t="default"/>
      </items>
    </pivotField>
    <pivotField name="CleanUp Projects" axis="axisRow" compact="0" outline="0" multipleItemSelectionAllowed="1" showAll="0" sortType="ascending">
      <items>
        <item h="1" x="0"/>
        <item x="1"/>
        <item h="1" x="2"/>
        <item t="default"/>
      </items>
    </pivotField>
    <pivotField name="Root Cau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</pivotFields>
  <rowFields>
    <field x="7"/>
    <field x="0"/>
    <field x="1"/>
  </rowFields>
  <colFields>
    <field x="-2"/>
  </colFields>
  <pageFields>
    <pageField fld="6"/>
  </pageFields>
  <dataFields>
    <dataField name="COUNTA of Annual Emissions (lbs) - Before" fld="2" subtotal="count" baseField="0"/>
    <dataField name="SUM of Cleanup Cost ($)" fld="4" baseField="0"/>
    <dataField name="AVERAGE of Annual Emissions (lbs) - After" fld="3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0.56"/>
    <col customWidth="1" min="2" max="2" width="22.67"/>
    <col customWidth="1" min="3" max="3" width="10.56"/>
    <col customWidth="1" min="4" max="4" width="19.0"/>
    <col customWidth="1" min="5" max="5" width="30.44"/>
    <col customWidth="1" min="6" max="6" width="31.11"/>
    <col customWidth="1" min="7" max="7" width="31.0"/>
    <col customWidth="1" min="8" max="8" width="24.11"/>
    <col customWidth="1" min="9" max="9" width="25.78"/>
    <col customWidth="1" min="10" max="10" width="19.33"/>
    <col customWidth="1" min="11" max="11" width="21.67"/>
    <col customWidth="1" min="12" max="12" width="23.33"/>
    <col customWidth="1" min="13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5.75" customHeight="1">
      <c r="A2" s="3">
        <v>101.0</v>
      </c>
      <c r="B2" s="3" t="s">
        <v>12</v>
      </c>
      <c r="C2" s="3" t="s">
        <v>13</v>
      </c>
      <c r="D2" s="3" t="s">
        <v>14</v>
      </c>
      <c r="E2" s="3" t="s">
        <v>15</v>
      </c>
      <c r="F2" s="3">
        <v>35560.45</v>
      </c>
      <c r="G2" s="3">
        <v>9960.54</v>
      </c>
      <c r="H2" s="3">
        <v>56141.74</v>
      </c>
      <c r="I2" s="4">
        <v>44242.0</v>
      </c>
      <c r="J2" s="3" t="s">
        <v>16</v>
      </c>
      <c r="K2" s="3" t="s">
        <v>17</v>
      </c>
      <c r="L2" s="3" t="s">
        <v>18</v>
      </c>
    </row>
    <row r="3" ht="15.75" customHeight="1">
      <c r="A3" s="3">
        <v>115.0</v>
      </c>
      <c r="B3" s="3" t="s">
        <v>19</v>
      </c>
      <c r="C3" s="3" t="s">
        <v>20</v>
      </c>
      <c r="D3" s="3" t="s">
        <v>14</v>
      </c>
      <c r="E3" s="3" t="s">
        <v>15</v>
      </c>
      <c r="F3" s="3">
        <v>35210.45</v>
      </c>
      <c r="G3" s="3">
        <v>7100.0</v>
      </c>
      <c r="H3" s="3">
        <v>58701.64</v>
      </c>
      <c r="I3" s="4">
        <v>44527.0</v>
      </c>
      <c r="J3" s="3" t="s">
        <v>16</v>
      </c>
      <c r="K3" s="3" t="s">
        <v>17</v>
      </c>
      <c r="L3" s="3" t="s">
        <v>21</v>
      </c>
    </row>
    <row r="4" ht="15.75" customHeight="1">
      <c r="A4" s="3">
        <v>139.0</v>
      </c>
      <c r="B4" s="3" t="s">
        <v>22</v>
      </c>
      <c r="C4" s="3" t="s">
        <v>20</v>
      </c>
      <c r="D4" s="3" t="s">
        <v>14</v>
      </c>
      <c r="E4" s="3" t="s">
        <v>15</v>
      </c>
      <c r="F4" s="3">
        <v>34560.67</v>
      </c>
      <c r="G4" s="3">
        <v>11400.0</v>
      </c>
      <c r="H4" s="3">
        <v>58621.64</v>
      </c>
      <c r="I4" s="4">
        <v>44248.0</v>
      </c>
      <c r="J4" s="3" t="s">
        <v>16</v>
      </c>
      <c r="K4" s="3" t="s">
        <v>17</v>
      </c>
      <c r="L4" s="3" t="s">
        <v>23</v>
      </c>
    </row>
    <row r="5" ht="15.75" customHeight="1">
      <c r="A5" s="3">
        <v>129.0</v>
      </c>
      <c r="B5" s="3" t="s">
        <v>24</v>
      </c>
      <c r="C5" s="3" t="s">
        <v>20</v>
      </c>
      <c r="D5" s="3" t="s">
        <v>14</v>
      </c>
      <c r="E5" s="3" t="s">
        <v>15</v>
      </c>
      <c r="F5" s="3">
        <v>34450.67</v>
      </c>
      <c r="G5" s="3">
        <v>11900.0</v>
      </c>
      <c r="H5" s="3">
        <v>61981.25</v>
      </c>
      <c r="I5" s="4">
        <v>44983.0</v>
      </c>
      <c r="J5" s="3" t="s">
        <v>16</v>
      </c>
      <c r="K5" s="3" t="s">
        <v>17</v>
      </c>
      <c r="L5" s="3" t="s">
        <v>25</v>
      </c>
    </row>
    <row r="6" ht="15.75" customHeight="1">
      <c r="A6" s="3">
        <v>105.0</v>
      </c>
      <c r="B6" s="3" t="s">
        <v>26</v>
      </c>
      <c r="C6" s="3" t="s">
        <v>20</v>
      </c>
      <c r="D6" s="3" t="s">
        <v>14</v>
      </c>
      <c r="E6" s="3" t="s">
        <v>15</v>
      </c>
      <c r="F6" s="3">
        <v>33560.67</v>
      </c>
      <c r="G6" s="3">
        <v>10500.0</v>
      </c>
      <c r="H6" s="3">
        <v>62076.7</v>
      </c>
      <c r="I6" s="4">
        <v>44985.0</v>
      </c>
      <c r="J6" s="3" t="s">
        <v>16</v>
      </c>
      <c r="K6" s="5" t="s">
        <v>27</v>
      </c>
      <c r="L6" s="3" t="s">
        <v>28</v>
      </c>
      <c r="M6" s="6">
        <f>AVERAGE(G6:G29)</f>
        <v>19588.25</v>
      </c>
    </row>
    <row r="7" ht="15.75" customHeight="1">
      <c r="A7" s="3">
        <v>125.0</v>
      </c>
      <c r="B7" s="3" t="s">
        <v>29</v>
      </c>
      <c r="C7" s="3" t="s">
        <v>20</v>
      </c>
      <c r="D7" s="3" t="s">
        <v>14</v>
      </c>
      <c r="E7" s="3" t="s">
        <v>15</v>
      </c>
      <c r="F7" s="3">
        <v>33450.67</v>
      </c>
      <c r="G7" s="3">
        <v>12300.0</v>
      </c>
      <c r="H7" s="3">
        <v>64221.64</v>
      </c>
      <c r="I7" s="4">
        <v>44609.0</v>
      </c>
      <c r="J7" s="3" t="s">
        <v>16</v>
      </c>
      <c r="K7" s="3" t="s">
        <v>17</v>
      </c>
      <c r="L7" s="3" t="s">
        <v>30</v>
      </c>
    </row>
    <row r="8" ht="15.75" customHeight="1">
      <c r="A8" s="3">
        <v>149.0</v>
      </c>
      <c r="B8" s="3" t="s">
        <v>31</v>
      </c>
      <c r="C8" s="3" t="s">
        <v>20</v>
      </c>
      <c r="D8" s="3" t="s">
        <v>14</v>
      </c>
      <c r="E8" s="3" t="s">
        <v>15</v>
      </c>
      <c r="F8" s="3">
        <v>32567.45</v>
      </c>
      <c r="G8" s="3">
        <v>12300.0</v>
      </c>
      <c r="H8" s="3">
        <v>64221.64</v>
      </c>
      <c r="I8" s="4">
        <v>44611.0</v>
      </c>
      <c r="J8" s="3" t="s">
        <v>16</v>
      </c>
      <c r="K8" s="3" t="s">
        <v>17</v>
      </c>
      <c r="L8" s="3" t="s">
        <v>32</v>
      </c>
    </row>
    <row r="9" ht="15.75" customHeight="1">
      <c r="A9" s="3">
        <v>108.0</v>
      </c>
      <c r="B9" s="3" t="s">
        <v>34</v>
      </c>
      <c r="C9" s="3" t="s">
        <v>35</v>
      </c>
      <c r="D9" s="3" t="s">
        <v>36</v>
      </c>
      <c r="E9" s="3" t="s">
        <v>15</v>
      </c>
      <c r="F9" s="3">
        <v>32560.8</v>
      </c>
      <c r="G9" s="3">
        <v>18450.9</v>
      </c>
      <c r="H9" s="3">
        <v>62800.75</v>
      </c>
      <c r="I9" s="4">
        <v>45015.0</v>
      </c>
      <c r="J9" s="3" t="s">
        <v>39</v>
      </c>
      <c r="K9" s="3" t="s">
        <v>27</v>
      </c>
      <c r="L9" s="3" t="s">
        <v>40</v>
      </c>
      <c r="M9" s="6">
        <f>MEDIAN(G6:G29)</f>
        <v>19450.9</v>
      </c>
    </row>
    <row r="10" ht="15.75" customHeight="1">
      <c r="A10" s="3">
        <v>132.0</v>
      </c>
      <c r="B10" s="3" t="s">
        <v>42</v>
      </c>
      <c r="C10" s="3" t="s">
        <v>35</v>
      </c>
      <c r="D10" s="3" t="s">
        <v>36</v>
      </c>
      <c r="E10" s="3" t="s">
        <v>15</v>
      </c>
      <c r="F10" s="3">
        <v>32560.45</v>
      </c>
      <c r="G10" s="3">
        <v>18560.9</v>
      </c>
      <c r="H10" s="3">
        <v>62925.75</v>
      </c>
      <c r="I10" s="4">
        <v>45014.0</v>
      </c>
      <c r="J10" s="3" t="s">
        <v>39</v>
      </c>
      <c r="K10" s="3" t="s">
        <v>27</v>
      </c>
      <c r="L10" s="3" t="s">
        <v>44</v>
      </c>
      <c r="M10" s="6">
        <f>MODE(G2:G51)</f>
        <v>12300</v>
      </c>
    </row>
    <row r="11" ht="15.75" customHeight="1">
      <c r="A11" s="3">
        <v>118.0</v>
      </c>
      <c r="B11" s="3" t="s">
        <v>46</v>
      </c>
      <c r="C11" s="3" t="s">
        <v>35</v>
      </c>
      <c r="D11" s="3" t="s">
        <v>36</v>
      </c>
      <c r="E11" s="3" t="s">
        <v>15</v>
      </c>
      <c r="F11" s="3">
        <v>32450.8</v>
      </c>
      <c r="G11" s="3">
        <v>19450.9</v>
      </c>
      <c r="H11" s="3">
        <v>72925.75</v>
      </c>
      <c r="I11" s="4">
        <v>44639.0</v>
      </c>
      <c r="J11" s="3" t="s">
        <v>39</v>
      </c>
      <c r="K11" s="3" t="s">
        <v>27</v>
      </c>
      <c r="L11" s="3" t="s">
        <v>49</v>
      </c>
    </row>
    <row r="12" ht="15.75" customHeight="1">
      <c r="A12" s="3">
        <v>142.0</v>
      </c>
      <c r="B12" s="3" t="s">
        <v>50</v>
      </c>
      <c r="C12" s="3" t="s">
        <v>35</v>
      </c>
      <c r="D12" s="3" t="s">
        <v>36</v>
      </c>
      <c r="E12" s="3" t="s">
        <v>15</v>
      </c>
      <c r="F12" s="3">
        <v>31560.67</v>
      </c>
      <c r="G12" s="3">
        <v>19560.9</v>
      </c>
      <c r="H12" s="3">
        <v>72925.75</v>
      </c>
      <c r="I12" s="4">
        <v>44274.0</v>
      </c>
      <c r="J12" s="3" t="s">
        <v>39</v>
      </c>
      <c r="K12" s="3" t="s">
        <v>27</v>
      </c>
      <c r="L12" s="3" t="s">
        <v>49</v>
      </c>
    </row>
    <row r="13" ht="15.75" customHeight="1">
      <c r="A13" s="3">
        <v>116.0</v>
      </c>
      <c r="B13" s="3" t="s">
        <v>51</v>
      </c>
      <c r="C13" s="3" t="s">
        <v>52</v>
      </c>
      <c r="D13" s="3" t="s">
        <v>53</v>
      </c>
      <c r="E13" s="3" t="s">
        <v>54</v>
      </c>
      <c r="F13" s="3">
        <v>31450.67</v>
      </c>
      <c r="G13" s="3">
        <v>23500.0</v>
      </c>
      <c r="H13" s="3">
        <v>46320.99</v>
      </c>
      <c r="I13" s="4">
        <v>44809.0</v>
      </c>
      <c r="J13" s="3" t="s">
        <v>55</v>
      </c>
      <c r="K13" s="3" t="s">
        <v>27</v>
      </c>
      <c r="L13" s="3" t="s">
        <v>56</v>
      </c>
    </row>
    <row r="14" ht="15.75" customHeight="1">
      <c r="A14" s="3">
        <v>140.0</v>
      </c>
      <c r="B14" s="3" t="s">
        <v>57</v>
      </c>
      <c r="C14" s="3" t="s">
        <v>52</v>
      </c>
      <c r="D14" s="3" t="s">
        <v>53</v>
      </c>
      <c r="E14" s="3" t="s">
        <v>54</v>
      </c>
      <c r="F14" s="3">
        <v>30560.9</v>
      </c>
      <c r="G14" s="3">
        <v>23700.0</v>
      </c>
      <c r="H14" s="3">
        <v>46340.99</v>
      </c>
      <c r="I14" s="4">
        <v>44626.0</v>
      </c>
      <c r="J14" s="3" t="s">
        <v>55</v>
      </c>
      <c r="K14" s="3" t="s">
        <v>27</v>
      </c>
      <c r="L14" s="3" t="s">
        <v>58</v>
      </c>
    </row>
    <row r="15" ht="15.75" customHeight="1">
      <c r="A15" s="3">
        <v>130.0</v>
      </c>
      <c r="B15" s="3" t="s">
        <v>59</v>
      </c>
      <c r="C15" s="3" t="s">
        <v>52</v>
      </c>
      <c r="D15" s="3" t="s">
        <v>53</v>
      </c>
      <c r="E15" s="3" t="s">
        <v>54</v>
      </c>
      <c r="F15" s="3">
        <v>30560.8</v>
      </c>
      <c r="G15" s="3">
        <v>24800.0</v>
      </c>
      <c r="H15" s="3">
        <v>45340.99</v>
      </c>
      <c r="I15" s="4">
        <v>44272.0</v>
      </c>
      <c r="J15" s="3" t="s">
        <v>55</v>
      </c>
      <c r="K15" s="3" t="s">
        <v>27</v>
      </c>
      <c r="L15" s="3" t="s">
        <v>60</v>
      </c>
    </row>
    <row r="16" ht="15.75" customHeight="1">
      <c r="A16" s="3">
        <v>126.0</v>
      </c>
      <c r="B16" s="3" t="s">
        <v>61</v>
      </c>
      <c r="C16" s="3" t="s">
        <v>35</v>
      </c>
      <c r="D16" s="3" t="s">
        <v>36</v>
      </c>
      <c r="E16" s="3" t="s">
        <v>62</v>
      </c>
      <c r="F16" s="3">
        <v>30450.9</v>
      </c>
      <c r="G16" s="3">
        <v>23780.23</v>
      </c>
      <c r="H16" s="3">
        <v>83260.93</v>
      </c>
      <c r="I16" s="4">
        <v>44993.0</v>
      </c>
      <c r="J16" s="3" t="s">
        <v>55</v>
      </c>
      <c r="K16" s="3" t="s">
        <v>27</v>
      </c>
      <c r="L16" s="3" t="s">
        <v>63</v>
      </c>
    </row>
    <row r="17" ht="15.75" customHeight="1">
      <c r="A17" s="3">
        <v>150.0</v>
      </c>
      <c r="B17" s="3" t="s">
        <v>64</v>
      </c>
      <c r="C17" s="3" t="s">
        <v>35</v>
      </c>
      <c r="D17" s="3" t="s">
        <v>36</v>
      </c>
      <c r="E17" s="3" t="s">
        <v>62</v>
      </c>
      <c r="F17" s="3">
        <v>30450.8</v>
      </c>
      <c r="G17" s="3">
        <v>23780.23</v>
      </c>
      <c r="H17" s="3">
        <v>83260.93</v>
      </c>
      <c r="I17" s="4">
        <v>44994.0</v>
      </c>
      <c r="J17" s="3" t="s">
        <v>55</v>
      </c>
      <c r="K17" s="3" t="s">
        <v>27</v>
      </c>
      <c r="L17" s="3" t="s">
        <v>65</v>
      </c>
    </row>
    <row r="18" ht="15.75" customHeight="1">
      <c r="A18" s="3">
        <v>102.0</v>
      </c>
      <c r="B18" s="3" t="s">
        <v>66</v>
      </c>
      <c r="C18" s="3" t="s">
        <v>35</v>
      </c>
      <c r="D18" s="3" t="s">
        <v>36</v>
      </c>
      <c r="E18" s="3" t="s">
        <v>62</v>
      </c>
      <c r="F18" s="3">
        <v>29747.82</v>
      </c>
      <c r="G18" s="3">
        <v>23000.0</v>
      </c>
      <c r="H18" s="3">
        <v>84481.73</v>
      </c>
      <c r="I18" s="4">
        <v>44268.0</v>
      </c>
      <c r="J18" s="3" t="s">
        <v>55</v>
      </c>
      <c r="K18" s="3" t="s">
        <v>27</v>
      </c>
      <c r="L18" s="3" t="s">
        <v>67</v>
      </c>
    </row>
    <row r="19" ht="15.75" customHeight="1">
      <c r="A19" s="3">
        <v>117.0</v>
      </c>
      <c r="B19" s="3" t="s">
        <v>68</v>
      </c>
      <c r="C19" s="3" t="s">
        <v>69</v>
      </c>
      <c r="D19" s="3" t="s">
        <v>14</v>
      </c>
      <c r="E19" s="3" t="s">
        <v>70</v>
      </c>
      <c r="F19" s="3">
        <v>29591.02</v>
      </c>
      <c r="G19" s="3">
        <v>17000.0</v>
      </c>
      <c r="H19" s="3">
        <v>69391.58</v>
      </c>
      <c r="I19" s="4">
        <v>45028.0</v>
      </c>
      <c r="J19" s="3" t="s">
        <v>16</v>
      </c>
      <c r="K19" s="3" t="s">
        <v>17</v>
      </c>
      <c r="L19" s="3" t="s">
        <v>71</v>
      </c>
    </row>
    <row r="20" ht="15.75" customHeight="1">
      <c r="A20" s="3">
        <v>141.0</v>
      </c>
      <c r="B20" s="3" t="s">
        <v>72</v>
      </c>
      <c r="C20" s="3" t="s">
        <v>69</v>
      </c>
      <c r="D20" s="3" t="s">
        <v>14</v>
      </c>
      <c r="E20" s="3" t="s">
        <v>70</v>
      </c>
      <c r="F20" s="3">
        <v>29560.9</v>
      </c>
      <c r="G20" s="3">
        <v>17200.0</v>
      </c>
      <c r="H20" s="3">
        <v>69391.58</v>
      </c>
      <c r="I20" s="4">
        <v>45029.0</v>
      </c>
      <c r="J20" s="3" t="s">
        <v>16</v>
      </c>
      <c r="K20" s="3" t="s">
        <v>17</v>
      </c>
      <c r="L20" s="3" t="s">
        <v>73</v>
      </c>
    </row>
    <row r="21" ht="15.75" customHeight="1">
      <c r="A21" s="3">
        <v>106.0</v>
      </c>
      <c r="B21" s="3" t="s">
        <v>74</v>
      </c>
      <c r="C21" s="3" t="s">
        <v>52</v>
      </c>
      <c r="D21" s="3" t="s">
        <v>53</v>
      </c>
      <c r="E21" s="3" t="s">
        <v>54</v>
      </c>
      <c r="F21" s="3">
        <v>29450.9</v>
      </c>
      <c r="G21" s="3">
        <v>24695.36</v>
      </c>
      <c r="H21" s="3">
        <v>45210.99</v>
      </c>
      <c r="I21" s="4">
        <v>44381.0</v>
      </c>
      <c r="J21" s="3" t="s">
        <v>55</v>
      </c>
      <c r="K21" s="3" t="s">
        <v>17</v>
      </c>
      <c r="L21" s="3" t="s">
        <v>75</v>
      </c>
    </row>
    <row r="22" ht="15.75" customHeight="1">
      <c r="A22" s="3">
        <v>107.0</v>
      </c>
      <c r="B22" s="3" t="s">
        <v>76</v>
      </c>
      <c r="C22" s="3" t="s">
        <v>69</v>
      </c>
      <c r="D22" s="3" t="s">
        <v>14</v>
      </c>
      <c r="E22" s="3" t="s">
        <v>70</v>
      </c>
      <c r="F22" s="3">
        <v>28627.82</v>
      </c>
      <c r="G22" s="3">
        <v>18500.0</v>
      </c>
      <c r="H22" s="3">
        <v>77215.08</v>
      </c>
      <c r="I22" s="4">
        <v>44785.0</v>
      </c>
      <c r="J22" s="3" t="s">
        <v>16</v>
      </c>
      <c r="K22" s="3" t="s">
        <v>17</v>
      </c>
      <c r="L22" s="3" t="s">
        <v>77</v>
      </c>
    </row>
    <row r="23" ht="15.75" customHeight="1">
      <c r="A23" s="3">
        <v>131.0</v>
      </c>
      <c r="B23" s="3" t="s">
        <v>78</v>
      </c>
      <c r="C23" s="3" t="s">
        <v>69</v>
      </c>
      <c r="D23" s="3" t="s">
        <v>14</v>
      </c>
      <c r="E23" s="3" t="s">
        <v>70</v>
      </c>
      <c r="F23" s="3">
        <v>28560.89</v>
      </c>
      <c r="G23" s="3">
        <v>18600.0</v>
      </c>
      <c r="H23" s="3">
        <v>76291.58</v>
      </c>
      <c r="I23" s="4">
        <v>44671.0</v>
      </c>
      <c r="J23" s="3" t="s">
        <v>16</v>
      </c>
      <c r="K23" s="3" t="s">
        <v>17</v>
      </c>
      <c r="L23" s="3" t="s">
        <v>79</v>
      </c>
    </row>
    <row r="24" ht="15.75" customHeight="1">
      <c r="A24" s="3">
        <v>112.0</v>
      </c>
      <c r="B24" s="3" t="s">
        <v>80</v>
      </c>
      <c r="C24" s="3" t="s">
        <v>35</v>
      </c>
      <c r="D24" s="3" t="s">
        <v>36</v>
      </c>
      <c r="E24" s="3" t="s">
        <v>70</v>
      </c>
      <c r="F24" s="3">
        <v>28560.33</v>
      </c>
      <c r="G24" s="3">
        <v>27450.33</v>
      </c>
      <c r="H24" s="3">
        <v>87538.46</v>
      </c>
      <c r="I24" s="4">
        <v>44555.0</v>
      </c>
      <c r="J24" s="3" t="s">
        <v>55</v>
      </c>
      <c r="K24" s="3" t="s">
        <v>27</v>
      </c>
      <c r="L24" s="3" t="s">
        <v>81</v>
      </c>
    </row>
    <row r="25" ht="15.75" customHeight="1">
      <c r="A25" s="3">
        <v>136.0</v>
      </c>
      <c r="B25" s="3" t="s">
        <v>82</v>
      </c>
      <c r="C25" s="3" t="s">
        <v>35</v>
      </c>
      <c r="D25" s="3" t="s">
        <v>36</v>
      </c>
      <c r="E25" s="3" t="s">
        <v>70</v>
      </c>
      <c r="F25" s="3">
        <v>28471.02</v>
      </c>
      <c r="G25" s="3">
        <v>19300.0</v>
      </c>
      <c r="H25" s="3">
        <v>86641.46</v>
      </c>
      <c r="I25" s="4">
        <v>44281.0</v>
      </c>
      <c r="J25" s="3" t="s">
        <v>55</v>
      </c>
      <c r="K25" s="3" t="s">
        <v>27</v>
      </c>
      <c r="L25" s="3" t="s">
        <v>83</v>
      </c>
    </row>
    <row r="26" ht="15.75" customHeight="1">
      <c r="A26" s="3">
        <v>104.0</v>
      </c>
      <c r="B26" s="3" t="s">
        <v>84</v>
      </c>
      <c r="C26" s="3" t="s">
        <v>85</v>
      </c>
      <c r="D26" s="3" t="s">
        <v>86</v>
      </c>
      <c r="E26" s="3" t="s">
        <v>87</v>
      </c>
      <c r="F26" s="3">
        <v>28450.33</v>
      </c>
      <c r="I26" s="4">
        <v>44698.0</v>
      </c>
      <c r="J26" s="3" t="s">
        <v>88</v>
      </c>
      <c r="K26" s="3" t="s">
        <v>89</v>
      </c>
      <c r="L26" s="3" t="s">
        <v>90</v>
      </c>
    </row>
    <row r="27" ht="15.75" customHeight="1">
      <c r="A27" s="3">
        <v>122.0</v>
      </c>
      <c r="B27" s="3" t="s">
        <v>91</v>
      </c>
      <c r="C27" s="3" t="s">
        <v>35</v>
      </c>
      <c r="D27" s="3" t="s">
        <v>36</v>
      </c>
      <c r="E27" s="3" t="s">
        <v>70</v>
      </c>
      <c r="F27" s="3">
        <v>28345.89</v>
      </c>
      <c r="G27" s="3">
        <v>19900.0</v>
      </c>
      <c r="H27" s="3">
        <v>88688.46</v>
      </c>
      <c r="I27" s="4">
        <v>44633.0</v>
      </c>
      <c r="J27" s="3" t="s">
        <v>55</v>
      </c>
      <c r="K27" s="3" t="s">
        <v>27</v>
      </c>
      <c r="L27" s="3" t="s">
        <v>92</v>
      </c>
    </row>
    <row r="28" ht="15.75" customHeight="1">
      <c r="A28" s="3">
        <v>111.0</v>
      </c>
      <c r="B28" s="3" t="s">
        <v>93</v>
      </c>
      <c r="C28" s="3" t="s">
        <v>13</v>
      </c>
      <c r="D28" s="3" t="s">
        <v>14</v>
      </c>
      <c r="E28" s="3" t="s">
        <v>15</v>
      </c>
      <c r="F28" s="3">
        <v>27560.33</v>
      </c>
      <c r="G28" s="3">
        <v>14200.0</v>
      </c>
      <c r="H28" s="3">
        <v>60861.64</v>
      </c>
      <c r="I28" s="4">
        <v>44962.0</v>
      </c>
      <c r="J28" s="3" t="s">
        <v>16</v>
      </c>
      <c r="K28" s="3" t="s">
        <v>17</v>
      </c>
      <c r="L28" s="3" t="s">
        <v>94</v>
      </c>
    </row>
    <row r="29" ht="15.75" customHeight="1">
      <c r="A29" s="3">
        <v>146.0</v>
      </c>
      <c r="B29" s="3" t="s">
        <v>95</v>
      </c>
      <c r="C29" s="3" t="s">
        <v>35</v>
      </c>
      <c r="D29" s="3" t="s">
        <v>36</v>
      </c>
      <c r="E29" s="3" t="s">
        <v>70</v>
      </c>
      <c r="F29" s="3">
        <v>27450.33</v>
      </c>
      <c r="G29" s="3">
        <v>20000.0</v>
      </c>
      <c r="H29" s="3">
        <v>88941.46</v>
      </c>
      <c r="I29" s="4">
        <v>44633.0</v>
      </c>
      <c r="J29" s="3" t="s">
        <v>55</v>
      </c>
      <c r="K29" s="3" t="s">
        <v>27</v>
      </c>
      <c r="L29" s="3" t="s">
        <v>92</v>
      </c>
    </row>
    <row r="30" ht="15.75" customHeight="1">
      <c r="A30" s="3">
        <v>128.0</v>
      </c>
      <c r="B30" s="3" t="s">
        <v>96</v>
      </c>
      <c r="C30" s="3" t="s">
        <v>85</v>
      </c>
      <c r="D30" s="3" t="s">
        <v>86</v>
      </c>
      <c r="E30" s="3" t="s">
        <v>87</v>
      </c>
      <c r="F30" s="3">
        <v>26560.77</v>
      </c>
      <c r="G30" s="3">
        <v>28560.89</v>
      </c>
      <c r="H30" s="3">
        <v>82340.75</v>
      </c>
      <c r="I30" s="4">
        <v>44658.0</v>
      </c>
      <c r="J30" s="3" t="s">
        <v>88</v>
      </c>
      <c r="K30" s="3" t="s">
        <v>17</v>
      </c>
      <c r="L30" s="3" t="s">
        <v>97</v>
      </c>
    </row>
    <row r="31" ht="15.75" customHeight="1">
      <c r="A31" s="3">
        <v>135.0</v>
      </c>
      <c r="B31" s="3" t="s">
        <v>98</v>
      </c>
      <c r="C31" s="3" t="s">
        <v>13</v>
      </c>
      <c r="D31" s="3" t="s">
        <v>14</v>
      </c>
      <c r="E31" s="3" t="s">
        <v>15</v>
      </c>
      <c r="F31" s="3">
        <v>26420.77</v>
      </c>
      <c r="G31" s="3">
        <v>14300.0</v>
      </c>
      <c r="H31" s="3">
        <v>60861.64</v>
      </c>
      <c r="I31" s="4">
        <v>44963.0</v>
      </c>
      <c r="J31" s="3" t="s">
        <v>16</v>
      </c>
      <c r="K31" s="3" t="s">
        <v>17</v>
      </c>
      <c r="L31" s="3" t="s">
        <v>99</v>
      </c>
    </row>
    <row r="32" ht="15.75" customHeight="1">
      <c r="A32" s="3">
        <v>114.0</v>
      </c>
      <c r="B32" s="3" t="s">
        <v>100</v>
      </c>
      <c r="C32" s="3" t="s">
        <v>85</v>
      </c>
      <c r="D32" s="3" t="s">
        <v>86</v>
      </c>
      <c r="E32" s="3" t="s">
        <v>87</v>
      </c>
      <c r="F32" s="3">
        <v>24695.36</v>
      </c>
      <c r="G32" s="3">
        <v>29450.9</v>
      </c>
      <c r="H32" s="3">
        <v>83450.6</v>
      </c>
      <c r="I32" s="4">
        <v>45026.0</v>
      </c>
      <c r="J32" s="3" t="s">
        <v>88</v>
      </c>
      <c r="K32" s="3" t="s">
        <v>17</v>
      </c>
      <c r="L32" s="3" t="s">
        <v>101</v>
      </c>
    </row>
    <row r="33" ht="15.75" customHeight="1">
      <c r="A33" s="3">
        <v>138.0</v>
      </c>
      <c r="B33" s="3" t="s">
        <v>102</v>
      </c>
      <c r="C33" s="3" t="s">
        <v>85</v>
      </c>
      <c r="D33" s="3" t="s">
        <v>86</v>
      </c>
      <c r="E33" s="3" t="s">
        <v>87</v>
      </c>
      <c r="F33" s="3">
        <v>24560.77</v>
      </c>
      <c r="G33" s="3">
        <v>29560.9</v>
      </c>
      <c r="H33" s="3">
        <v>83340.6</v>
      </c>
      <c r="I33" s="4">
        <v>45027.0</v>
      </c>
      <c r="J33" s="3" t="s">
        <v>88</v>
      </c>
      <c r="K33" s="3" t="s">
        <v>17</v>
      </c>
      <c r="L33" s="3" t="s">
        <v>103</v>
      </c>
    </row>
    <row r="34" ht="15.75" customHeight="1">
      <c r="A34" s="3">
        <v>121.0</v>
      </c>
      <c r="B34" s="3" t="s">
        <v>104</v>
      </c>
      <c r="C34" s="3" t="s">
        <v>13</v>
      </c>
      <c r="D34" s="3" t="s">
        <v>14</v>
      </c>
      <c r="E34" s="3" t="s">
        <v>15</v>
      </c>
      <c r="F34" s="3">
        <v>24420.77</v>
      </c>
      <c r="G34" s="3">
        <v>14800.0</v>
      </c>
      <c r="H34" s="3">
        <v>63079.24</v>
      </c>
      <c r="I34" s="4">
        <v>44237.0</v>
      </c>
      <c r="J34" s="3" t="s">
        <v>16</v>
      </c>
      <c r="K34" s="3" t="s">
        <v>17</v>
      </c>
      <c r="L34" s="3" t="s">
        <v>105</v>
      </c>
    </row>
    <row r="35" ht="15.75" customHeight="1">
      <c r="A35" s="3">
        <v>145.0</v>
      </c>
      <c r="B35" s="3" t="s">
        <v>106</v>
      </c>
      <c r="C35" s="3" t="s">
        <v>13</v>
      </c>
      <c r="D35" s="3" t="s">
        <v>14</v>
      </c>
      <c r="E35" s="3" t="s">
        <v>15</v>
      </c>
      <c r="F35" s="3">
        <v>23789.23</v>
      </c>
      <c r="G35" s="3">
        <v>14900.0</v>
      </c>
      <c r="H35" s="3">
        <v>63101.64</v>
      </c>
      <c r="I35" s="4">
        <v>44238.0</v>
      </c>
      <c r="J35" s="3" t="s">
        <v>16</v>
      </c>
      <c r="K35" s="3" t="s">
        <v>17</v>
      </c>
      <c r="L35" s="3" t="s">
        <v>107</v>
      </c>
    </row>
    <row r="36" ht="15.75" customHeight="1">
      <c r="A36" s="3">
        <v>110.0</v>
      </c>
      <c r="B36" s="3" t="s">
        <v>108</v>
      </c>
      <c r="C36" s="3" t="s">
        <v>85</v>
      </c>
      <c r="D36" s="3" t="s">
        <v>86</v>
      </c>
      <c r="E36" s="3" t="s">
        <v>54</v>
      </c>
      <c r="F36" s="3">
        <v>23780.23</v>
      </c>
      <c r="G36" s="3">
        <v>33495.88</v>
      </c>
      <c r="H36" s="3">
        <v>81230.4</v>
      </c>
      <c r="I36" s="4">
        <v>44669.0</v>
      </c>
      <c r="J36" s="3" t="s">
        <v>88</v>
      </c>
      <c r="K36" s="3" t="s">
        <v>17</v>
      </c>
      <c r="L36" s="3" t="s">
        <v>109</v>
      </c>
    </row>
    <row r="37" ht="15.75" customHeight="1">
      <c r="A37" s="3">
        <v>124.0</v>
      </c>
      <c r="B37" s="3" t="s">
        <v>110</v>
      </c>
      <c r="C37" s="3" t="s">
        <v>85</v>
      </c>
      <c r="D37" s="3" t="s">
        <v>86</v>
      </c>
      <c r="E37" s="3" t="s">
        <v>87</v>
      </c>
      <c r="F37" s="3">
        <v>23780.23</v>
      </c>
      <c r="I37" s="4">
        <v>44288.0</v>
      </c>
      <c r="J37" s="3" t="s">
        <v>88</v>
      </c>
      <c r="K37" s="3" t="s">
        <v>89</v>
      </c>
      <c r="L37" s="3" t="s">
        <v>111</v>
      </c>
    </row>
    <row r="38" ht="15.75" customHeight="1">
      <c r="A38" s="3">
        <v>134.0</v>
      </c>
      <c r="B38" s="3" t="s">
        <v>112</v>
      </c>
      <c r="C38" s="3" t="s">
        <v>85</v>
      </c>
      <c r="D38" s="3" t="s">
        <v>86</v>
      </c>
      <c r="E38" s="3" t="s">
        <v>54</v>
      </c>
      <c r="F38" s="3">
        <v>22560.33</v>
      </c>
      <c r="G38" s="3">
        <v>33616.88</v>
      </c>
      <c r="H38" s="3">
        <v>81340.4</v>
      </c>
      <c r="I38" s="4">
        <v>44667.0</v>
      </c>
      <c r="J38" s="3" t="s">
        <v>88</v>
      </c>
      <c r="K38" s="3" t="s">
        <v>17</v>
      </c>
      <c r="L38" s="3" t="s">
        <v>113</v>
      </c>
    </row>
    <row r="39" ht="15.75" customHeight="1">
      <c r="A39" s="3">
        <v>148.0</v>
      </c>
      <c r="B39" s="3" t="s">
        <v>114</v>
      </c>
      <c r="C39" s="3" t="s">
        <v>85</v>
      </c>
      <c r="D39" s="3" t="s">
        <v>86</v>
      </c>
      <c r="E39" s="3" t="s">
        <v>87</v>
      </c>
      <c r="F39" s="3">
        <v>21560.33</v>
      </c>
      <c r="I39" s="4">
        <v>44289.0</v>
      </c>
      <c r="J39" s="3" t="s">
        <v>88</v>
      </c>
      <c r="K39" s="3" t="s">
        <v>89</v>
      </c>
      <c r="L39" s="3" t="s">
        <v>111</v>
      </c>
    </row>
    <row r="40" ht="15.75" customHeight="1">
      <c r="A40" s="3">
        <v>119.0</v>
      </c>
      <c r="B40" s="3" t="s">
        <v>115</v>
      </c>
      <c r="C40" s="3" t="s">
        <v>116</v>
      </c>
      <c r="D40" s="3" t="s">
        <v>117</v>
      </c>
      <c r="E40" s="3" t="s">
        <v>62</v>
      </c>
      <c r="F40" s="3">
        <v>21450.33</v>
      </c>
      <c r="G40" s="3">
        <v>22000.0</v>
      </c>
      <c r="H40" s="3">
        <v>70340.25</v>
      </c>
      <c r="I40" s="4">
        <v>44245.0</v>
      </c>
      <c r="J40" s="3" t="s">
        <v>55</v>
      </c>
      <c r="K40" s="3" t="s">
        <v>17</v>
      </c>
      <c r="L40" s="3" t="s">
        <v>118</v>
      </c>
    </row>
    <row r="41" ht="15.75" customHeight="1">
      <c r="A41" s="3">
        <v>143.0</v>
      </c>
      <c r="B41" s="3" t="s">
        <v>119</v>
      </c>
      <c r="C41" s="3" t="s">
        <v>116</v>
      </c>
      <c r="D41" s="3" t="s">
        <v>117</v>
      </c>
      <c r="E41" s="3" t="s">
        <v>62</v>
      </c>
      <c r="F41" s="3">
        <v>19560.9</v>
      </c>
      <c r="G41" s="3">
        <v>22100.0</v>
      </c>
      <c r="H41" s="3">
        <v>70340.25</v>
      </c>
      <c r="I41" s="4">
        <v>44588.0</v>
      </c>
      <c r="J41" s="3" t="s">
        <v>55</v>
      </c>
      <c r="K41" s="3" t="s">
        <v>17</v>
      </c>
      <c r="L41" s="3" t="s">
        <v>120</v>
      </c>
    </row>
    <row r="42" ht="15.75" customHeight="1">
      <c r="A42" s="3">
        <v>120.0</v>
      </c>
      <c r="B42" s="3" t="s">
        <v>121</v>
      </c>
      <c r="C42" s="3" t="s">
        <v>85</v>
      </c>
      <c r="D42" s="3" t="s">
        <v>86</v>
      </c>
      <c r="E42" s="3" t="s">
        <v>54</v>
      </c>
      <c r="F42" s="3">
        <v>19450.9</v>
      </c>
      <c r="G42" s="3">
        <v>35695.88</v>
      </c>
      <c r="H42" s="3">
        <v>80320.4</v>
      </c>
      <c r="I42" s="4">
        <v>45024.0</v>
      </c>
      <c r="J42" s="3" t="s">
        <v>88</v>
      </c>
      <c r="K42" s="3" t="s">
        <v>17</v>
      </c>
      <c r="L42" s="3" t="s">
        <v>122</v>
      </c>
    </row>
    <row r="43" ht="15.75" customHeight="1">
      <c r="A43" s="3">
        <v>133.0</v>
      </c>
      <c r="B43" s="3" t="s">
        <v>123</v>
      </c>
      <c r="C43" s="3" t="s">
        <v>116</v>
      </c>
      <c r="D43" s="3" t="s">
        <v>117</v>
      </c>
      <c r="E43" s="3" t="s">
        <v>62</v>
      </c>
      <c r="F43" s="3">
        <v>18560.9</v>
      </c>
      <c r="G43" s="3">
        <v>22800.0</v>
      </c>
      <c r="H43" s="3">
        <v>72340.25</v>
      </c>
      <c r="I43" s="4">
        <v>44235.0</v>
      </c>
      <c r="J43" s="3" t="s">
        <v>55</v>
      </c>
      <c r="K43" s="3" t="s">
        <v>17</v>
      </c>
      <c r="L43" s="3" t="s">
        <v>124</v>
      </c>
    </row>
    <row r="44" ht="15.75" customHeight="1">
      <c r="A44" s="3">
        <v>144.0</v>
      </c>
      <c r="B44" s="3" t="s">
        <v>125</v>
      </c>
      <c r="C44" s="3" t="s">
        <v>85</v>
      </c>
      <c r="D44" s="3" t="s">
        <v>86</v>
      </c>
      <c r="E44" s="3" t="s">
        <v>54</v>
      </c>
      <c r="F44" s="3">
        <v>18450.9</v>
      </c>
      <c r="G44" s="3">
        <v>35816.88</v>
      </c>
      <c r="H44" s="3">
        <v>80340.4</v>
      </c>
      <c r="I44" s="4">
        <v>45025.0</v>
      </c>
      <c r="J44" s="3" t="s">
        <v>88</v>
      </c>
      <c r="K44" s="3" t="s">
        <v>17</v>
      </c>
      <c r="L44" s="3" t="s">
        <v>122</v>
      </c>
    </row>
    <row r="45" ht="15.75" customHeight="1">
      <c r="A45" s="3">
        <v>109.0</v>
      </c>
      <c r="B45" s="3" t="s">
        <v>126</v>
      </c>
      <c r="C45" s="3" t="s">
        <v>116</v>
      </c>
      <c r="D45" s="3" t="s">
        <v>117</v>
      </c>
      <c r="E45" s="3" t="s">
        <v>62</v>
      </c>
      <c r="F45" s="3">
        <v>17673.73</v>
      </c>
      <c r="G45" s="3">
        <v>22700.0</v>
      </c>
      <c r="H45" s="3">
        <v>72345.25</v>
      </c>
      <c r="I45" s="4">
        <v>44237.0</v>
      </c>
      <c r="J45" s="3" t="s">
        <v>55</v>
      </c>
      <c r="K45" s="3" t="s">
        <v>17</v>
      </c>
      <c r="L45" s="3" t="s">
        <v>127</v>
      </c>
    </row>
    <row r="46" ht="15.75" customHeight="1">
      <c r="A46" s="3">
        <v>113.0</v>
      </c>
      <c r="B46" s="3" t="s">
        <v>128</v>
      </c>
      <c r="C46" s="3" t="s">
        <v>116</v>
      </c>
      <c r="D46" s="3" t="s">
        <v>117</v>
      </c>
      <c r="E46" s="3" t="s">
        <v>62</v>
      </c>
      <c r="F46" s="3">
        <v>17673.73</v>
      </c>
      <c r="G46" s="3">
        <v>23400.0</v>
      </c>
      <c r="H46" s="3">
        <v>68340.25</v>
      </c>
      <c r="I46" s="4">
        <v>44591.0</v>
      </c>
      <c r="J46" s="3" t="s">
        <v>39</v>
      </c>
      <c r="K46" s="3" t="s">
        <v>17</v>
      </c>
      <c r="L46" s="3" t="s">
        <v>129</v>
      </c>
    </row>
    <row r="47" ht="15.75" customHeight="1">
      <c r="A47" s="3">
        <v>137.0</v>
      </c>
      <c r="B47" s="3" t="s">
        <v>130</v>
      </c>
      <c r="C47" s="3" t="s">
        <v>116</v>
      </c>
      <c r="D47" s="3" t="s">
        <v>117</v>
      </c>
      <c r="E47" s="3" t="s">
        <v>62</v>
      </c>
      <c r="F47" s="3">
        <v>17559.49</v>
      </c>
      <c r="G47" s="3">
        <v>23500.0</v>
      </c>
      <c r="H47" s="3">
        <v>68340.25</v>
      </c>
      <c r="I47" s="4">
        <v>44592.0</v>
      </c>
      <c r="J47" s="3" t="s">
        <v>39</v>
      </c>
      <c r="K47" s="3" t="s">
        <v>17</v>
      </c>
      <c r="L47" s="3" t="s">
        <v>131</v>
      </c>
    </row>
    <row r="48" ht="15.75" customHeight="1">
      <c r="A48" s="3">
        <v>123.0</v>
      </c>
      <c r="B48" s="3" t="s">
        <v>132</v>
      </c>
      <c r="C48" s="3" t="s">
        <v>116</v>
      </c>
      <c r="D48" s="3" t="s">
        <v>117</v>
      </c>
      <c r="E48" s="3" t="s">
        <v>62</v>
      </c>
      <c r="F48" s="3">
        <v>17057.73</v>
      </c>
      <c r="G48" s="3">
        <v>24100.0</v>
      </c>
      <c r="H48" s="3">
        <v>69340.25</v>
      </c>
      <c r="I48" s="4">
        <v>44954.0</v>
      </c>
      <c r="J48" s="3" t="s">
        <v>39</v>
      </c>
      <c r="K48" s="3" t="s">
        <v>17</v>
      </c>
      <c r="L48" s="3" t="s">
        <v>133</v>
      </c>
    </row>
    <row r="49" ht="15.75" customHeight="1">
      <c r="A49" s="3">
        <v>147.0</v>
      </c>
      <c r="B49" s="3" t="s">
        <v>134</v>
      </c>
      <c r="C49" s="3" t="s">
        <v>116</v>
      </c>
      <c r="D49" s="3" t="s">
        <v>117</v>
      </c>
      <c r="E49" s="3" t="s">
        <v>62</v>
      </c>
      <c r="F49" s="3">
        <v>16307.7</v>
      </c>
      <c r="G49" s="3">
        <v>24200.0</v>
      </c>
      <c r="H49" s="3">
        <v>69340.25</v>
      </c>
      <c r="I49" s="4">
        <v>44955.0</v>
      </c>
      <c r="J49" s="3" t="s">
        <v>39</v>
      </c>
      <c r="K49" s="3" t="s">
        <v>17</v>
      </c>
      <c r="L49" s="3" t="s">
        <v>133</v>
      </c>
    </row>
    <row r="50" ht="15.75" customHeight="1">
      <c r="A50" s="3">
        <v>103.0</v>
      </c>
      <c r="B50" s="3" t="s">
        <v>135</v>
      </c>
      <c r="C50" s="3" t="s">
        <v>116</v>
      </c>
      <c r="D50" s="3" t="s">
        <v>117</v>
      </c>
      <c r="E50" s="3" t="s">
        <v>70</v>
      </c>
      <c r="F50" s="3">
        <v>14230.45</v>
      </c>
      <c r="G50" s="3">
        <v>24634.79</v>
      </c>
      <c r="H50" s="3">
        <v>76094.16</v>
      </c>
      <c r="I50" s="4">
        <v>44696.0</v>
      </c>
      <c r="J50" s="3" t="s">
        <v>39</v>
      </c>
      <c r="K50" s="3" t="s">
        <v>17</v>
      </c>
      <c r="L50" s="3" t="s">
        <v>136</v>
      </c>
    </row>
    <row r="51" ht="15.75" customHeight="1">
      <c r="A51" s="3">
        <v>127.0</v>
      </c>
      <c r="B51" s="3" t="s">
        <v>137</v>
      </c>
      <c r="C51" s="3" t="s">
        <v>116</v>
      </c>
      <c r="D51" s="3" t="s">
        <v>117</v>
      </c>
      <c r="E51" s="3" t="s">
        <v>70</v>
      </c>
      <c r="F51" s="3">
        <v>13944.75</v>
      </c>
      <c r="G51" s="3">
        <v>24900.0</v>
      </c>
      <c r="H51" s="3">
        <v>76675.41</v>
      </c>
      <c r="I51" s="4">
        <v>44211.0</v>
      </c>
      <c r="J51" s="3" t="s">
        <v>39</v>
      </c>
      <c r="K51" s="3" t="s">
        <v>17</v>
      </c>
      <c r="L51" s="3" t="s">
        <v>138</v>
      </c>
    </row>
    <row r="52" ht="15.75" customHeight="1">
      <c r="E52" s="9" t="s">
        <v>139</v>
      </c>
      <c r="F52" s="10"/>
      <c r="H52" s="10">
        <f>SUM(H2:H51)</f>
        <v>3309625.74</v>
      </c>
      <c r="I52" s="4"/>
    </row>
    <row r="53" ht="15.75" customHeight="1">
      <c r="B53" s="1"/>
      <c r="E53" s="9" t="s">
        <v>140</v>
      </c>
      <c r="F53" s="6">
        <f>MAX(F2:F51)</f>
        <v>35560.45</v>
      </c>
      <c r="H53" s="6">
        <f>MAX(H2:H51)</f>
        <v>88941.46</v>
      </c>
      <c r="I53" s="4"/>
    </row>
    <row r="54" ht="15.75" customHeight="1">
      <c r="E54" s="9" t="s">
        <v>141</v>
      </c>
      <c r="F54" s="6">
        <f>MIN(F2:F51)</f>
        <v>13944.75</v>
      </c>
      <c r="H54" s="6">
        <f>MIN(H2:H51)</f>
        <v>45210.99</v>
      </c>
      <c r="I54" s="4"/>
    </row>
    <row r="55" ht="15.75" customHeight="1">
      <c r="E55" s="11" t="s">
        <v>142</v>
      </c>
      <c r="F55" s="6" t="str">
        <f t="array" ref="F55:G55">XLOOKUP(MAX(F2:F51), F2:F51, CHOOSECOLS(B2:E51, 1, 4))</f>
        <v>Summit Forge</v>
      </c>
      <c r="G55" s="6" t="s">
        <v>15</v>
      </c>
      <c r="I55" s="4"/>
    </row>
    <row r="56" ht="15.75" customHeight="1">
      <c r="G56" s="9" t="s">
        <v>143</v>
      </c>
      <c r="H56" s="6">
        <f>MAX(H2:H51) - MIN(H2:H51)</f>
        <v>43730.47</v>
      </c>
      <c r="I56" s="4"/>
    </row>
    <row r="57" ht="15.75" customHeight="1">
      <c r="G57" s="9" t="s">
        <v>144</v>
      </c>
      <c r="H57" s="6">
        <f>QUARTILE(H2:H51,1)</f>
        <v>62863.25</v>
      </c>
      <c r="I57" s="4"/>
    </row>
    <row r="58" ht="15.75" customHeight="1">
      <c r="G58" s="9" t="s">
        <v>145</v>
      </c>
      <c r="H58" s="6">
        <f>QUARTILE(H2:H51, 2)</f>
        <v>70340.25</v>
      </c>
      <c r="I58" s="4"/>
    </row>
    <row r="59" ht="15.75" customHeight="1">
      <c r="G59" s="9" t="s">
        <v>146</v>
      </c>
      <c r="H59" s="6">
        <f>QUARTILE(H2:H51, 3)</f>
        <v>80785.4</v>
      </c>
      <c r="I59" s="4"/>
    </row>
    <row r="60" ht="15.75" customHeight="1">
      <c r="G60" s="9" t="s">
        <v>147</v>
      </c>
      <c r="H60" s="6">
        <f>QUARTILE(H2:H51, 3) - QUARTILE(H2:H51, 1)</f>
        <v>17922.15</v>
      </c>
      <c r="I60" s="4"/>
    </row>
    <row r="61" ht="15.75" customHeight="1">
      <c r="I61" s="4"/>
    </row>
    <row r="62" ht="15.75" customHeight="1">
      <c r="I62" s="4"/>
    </row>
    <row r="63" ht="15.75" customHeight="1">
      <c r="I63" s="4"/>
    </row>
    <row r="64" ht="15.75" customHeight="1">
      <c r="I64" s="4"/>
    </row>
    <row r="65" ht="15.75" customHeight="1">
      <c r="I65" s="4"/>
    </row>
    <row r="66" ht="15.75" customHeight="1">
      <c r="I66" s="4"/>
    </row>
    <row r="67" ht="15.75" customHeight="1">
      <c r="I67" s="4"/>
    </row>
    <row r="68" ht="15.75" customHeight="1">
      <c r="I68" s="4"/>
    </row>
    <row r="69" ht="15.75" customHeight="1">
      <c r="I69" s="4"/>
    </row>
    <row r="70" ht="15.75" customHeight="1">
      <c r="I70" s="4"/>
    </row>
    <row r="71" ht="15.75" customHeight="1">
      <c r="I71" s="4"/>
    </row>
    <row r="72" ht="15.75" customHeight="1">
      <c r="I72" s="4"/>
    </row>
    <row r="73" ht="15.75" customHeight="1">
      <c r="I73" s="4"/>
    </row>
    <row r="74" ht="15.75" customHeight="1">
      <c r="I74" s="4"/>
    </row>
    <row r="75" ht="15.75" customHeight="1">
      <c r="I75" s="4"/>
    </row>
    <row r="76" ht="15.75" customHeight="1">
      <c r="I76" s="4"/>
    </row>
    <row r="77" ht="15.75" customHeight="1">
      <c r="I77" s="4"/>
    </row>
    <row r="78" ht="15.75" customHeight="1">
      <c r="I78" s="4"/>
    </row>
    <row r="79" ht="15.75" customHeight="1">
      <c r="I79" s="4"/>
    </row>
    <row r="80" ht="15.75" customHeight="1">
      <c r="I80" s="4"/>
    </row>
    <row r="81" ht="15.75" customHeight="1">
      <c r="I81" s="4"/>
    </row>
    <row r="82" ht="15.75" customHeight="1">
      <c r="I82" s="4"/>
    </row>
    <row r="83" ht="15.75" customHeight="1">
      <c r="I83" s="4"/>
    </row>
    <row r="84" ht="15.75" customHeight="1">
      <c r="I84" s="4"/>
    </row>
    <row r="85" ht="15.75" customHeight="1">
      <c r="I85" s="4"/>
    </row>
    <row r="86" ht="15.75" customHeight="1">
      <c r="I86" s="4"/>
    </row>
    <row r="87" ht="15.75" customHeight="1">
      <c r="I87" s="4"/>
    </row>
    <row r="88" ht="15.75" customHeight="1">
      <c r="I88" s="4"/>
    </row>
    <row r="89" ht="15.75" customHeight="1">
      <c r="I89" s="4"/>
    </row>
    <row r="90" ht="15.75" customHeight="1">
      <c r="I90" s="4"/>
    </row>
    <row r="91" ht="15.75" customHeight="1">
      <c r="I91" s="4"/>
    </row>
    <row r="92" ht="15.75" customHeight="1">
      <c r="I92" s="4"/>
    </row>
    <row r="93" ht="15.75" customHeight="1">
      <c r="I93" s="4"/>
    </row>
    <row r="94" ht="15.75" customHeight="1">
      <c r="I94" s="4"/>
    </row>
    <row r="95" ht="15.75" customHeight="1">
      <c r="I95" s="4"/>
    </row>
    <row r="96" ht="15.75" customHeight="1">
      <c r="I96" s="4"/>
    </row>
    <row r="97" ht="15.75" customHeight="1">
      <c r="I97" s="4"/>
    </row>
    <row r="98" ht="15.75" customHeight="1">
      <c r="G98" s="3">
        <f>AVERAGE(G24:G47)</f>
        <v>24168.9781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F$1:$F$1000">
    <sortState ref="F1:F1000">
      <sortCondition descending="1" ref="F1:F1000"/>
    </sortState>
  </autoFilter>
  <customSheetViews>
    <customSheetView guid="{2D611532-BEF2-40A9-AA40-C527D5692B33}" filter="1" showAutoFilter="1">
      <autoFilter ref="$K$1:$K$1000">
        <filterColumn colId="0">
          <filters>
            <filter val="In Progress"/>
          </filters>
        </filterColumn>
      </autoFilter>
      <extLst>
        <ext uri="GoogleSheetsCustomDataVersion1">
          <go:sheetsCustomData xmlns:go="http://customooxmlschemas.google.com/" filterViewId="1932902316"/>
        </ext>
      </extLst>
    </customSheetView>
  </customSheetView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sheetData>
    <row r="1">
      <c r="G1" s="8"/>
    </row>
    <row r="2"/>
    <row r="3"/>
    <row r="4"/>
    <row r="5"/>
    <row r="6"/>
    <row r="7"/>
    <row r="8">
      <c r="E8" s="7"/>
    </row>
    <row r="9">
      <c r="E9" s="7"/>
    </row>
    <row r="10">
      <c r="E10" s="7"/>
    </row>
    <row r="11">
      <c r="E11" s="7"/>
    </row>
    <row r="12">
      <c r="E12" s="7"/>
    </row>
    <row r="13">
      <c r="E13" s="7"/>
    </row>
    <row r="14">
      <c r="E14" s="7"/>
    </row>
    <row r="15">
      <c r="E15" s="7"/>
    </row>
    <row r="16">
      <c r="E16" s="7"/>
    </row>
    <row r="17">
      <c r="E17" s="7"/>
    </row>
    <row r="18">
      <c r="E18" s="7"/>
    </row>
    <row r="19">
      <c r="E19" s="7"/>
    </row>
    <row r="20">
      <c r="E20" s="7"/>
    </row>
    <row r="21">
      <c r="E21" s="7"/>
    </row>
    <row r="22">
      <c r="E22" s="7"/>
    </row>
    <row r="23">
      <c r="E23" s="7"/>
    </row>
    <row r="24">
      <c r="E24" s="7"/>
    </row>
    <row r="25">
      <c r="E25" s="7"/>
    </row>
    <row r="26">
      <c r="E26" s="7"/>
    </row>
    <row r="27">
      <c r="E27" s="7"/>
    </row>
    <row r="28">
      <c r="E28" s="7"/>
    </row>
    <row r="29">
      <c r="E29" s="7"/>
    </row>
    <row r="30">
      <c r="E30" s="7"/>
    </row>
    <row r="31">
      <c r="E31" s="7"/>
    </row>
    <row r="32">
      <c r="E32" s="7"/>
    </row>
    <row r="33">
      <c r="E33" s="7"/>
    </row>
    <row r="34">
      <c r="E34" s="7"/>
    </row>
    <row r="35">
      <c r="E35" s="7"/>
    </row>
    <row r="36">
      <c r="E36" s="7"/>
    </row>
    <row r="37">
      <c r="E37" s="7"/>
    </row>
    <row r="38">
      <c r="E38" s="7"/>
    </row>
    <row r="39">
      <c r="E39" s="7"/>
    </row>
    <row r="40">
      <c r="E40" s="7"/>
    </row>
    <row r="41">
      <c r="E41" s="7"/>
    </row>
    <row r="42">
      <c r="E42" s="7"/>
    </row>
    <row r="43">
      <c r="E43" s="7"/>
    </row>
    <row r="44">
      <c r="E44" s="7"/>
    </row>
    <row r="45">
      <c r="E45" s="7"/>
    </row>
    <row r="46">
      <c r="E46" s="7"/>
    </row>
    <row r="47">
      <c r="E47" s="7"/>
    </row>
    <row r="48">
      <c r="E48" s="7"/>
    </row>
    <row r="49">
      <c r="E49" s="7"/>
    </row>
    <row r="50">
      <c r="E50" s="7"/>
    </row>
    <row r="51">
      <c r="E51" s="7"/>
    </row>
    <row r="52">
      <c r="E52" s="7"/>
    </row>
    <row r="53">
      <c r="E53" s="7"/>
    </row>
    <row r="54">
      <c r="E54" s="7"/>
    </row>
    <row r="55">
      <c r="E55" s="7"/>
    </row>
    <row r="56">
      <c r="E56" s="7"/>
    </row>
    <row r="57">
      <c r="E57" s="7"/>
    </row>
    <row r="58">
      <c r="E58" s="7"/>
    </row>
    <row r="59">
      <c r="E59" s="7"/>
    </row>
    <row r="60">
      <c r="E60" s="7"/>
    </row>
    <row r="61">
      <c r="E61" s="7"/>
    </row>
    <row r="62">
      <c r="E62" s="7"/>
    </row>
    <row r="63">
      <c r="E63" s="7"/>
    </row>
    <row r="64">
      <c r="E64" s="7"/>
    </row>
    <row r="65">
      <c r="E65" s="7"/>
    </row>
    <row r="66">
      <c r="E66" s="7"/>
    </row>
    <row r="67">
      <c r="E67" s="7"/>
    </row>
    <row r="68">
      <c r="E68" s="7"/>
    </row>
    <row r="69">
      <c r="E69" s="7"/>
    </row>
    <row r="70">
      <c r="E70" s="7"/>
    </row>
    <row r="71">
      <c r="E71" s="7"/>
    </row>
    <row r="72">
      <c r="E72" s="7"/>
    </row>
    <row r="73">
      <c r="E73" s="7"/>
    </row>
    <row r="74">
      <c r="E74" s="7"/>
    </row>
    <row r="75">
      <c r="E75" s="7"/>
    </row>
    <row r="76">
      <c r="E76" s="7"/>
    </row>
    <row r="77">
      <c r="E77" s="7"/>
    </row>
    <row r="78">
      <c r="E78" s="7"/>
    </row>
    <row r="79">
      <c r="E79" s="7"/>
    </row>
    <row r="80">
      <c r="E80" s="7"/>
    </row>
    <row r="81">
      <c r="E81" s="7"/>
    </row>
    <row r="82">
      <c r="E82" s="7"/>
    </row>
    <row r="83">
      <c r="E83" s="7"/>
    </row>
    <row r="84">
      <c r="E84" s="7"/>
    </row>
    <row r="85">
      <c r="E85" s="7"/>
    </row>
    <row r="86">
      <c r="E86" s="7"/>
    </row>
    <row r="87">
      <c r="E87" s="7"/>
    </row>
    <row r="88">
      <c r="E88" s="7"/>
    </row>
    <row r="89">
      <c r="E89" s="7"/>
    </row>
    <row r="90">
      <c r="E90" s="7"/>
    </row>
    <row r="91">
      <c r="E91" s="7"/>
    </row>
    <row r="92">
      <c r="E92" s="7"/>
    </row>
    <row r="93">
      <c r="E93" s="7"/>
    </row>
    <row r="94">
      <c r="E94" s="7"/>
    </row>
    <row r="95">
      <c r="E95" s="7"/>
    </row>
    <row r="96">
      <c r="E96" s="7"/>
    </row>
    <row r="97">
      <c r="E97" s="7"/>
    </row>
    <row r="98">
      <c r="E98" s="7"/>
    </row>
    <row r="99">
      <c r="E99" s="7"/>
    </row>
    <row r="100">
      <c r="E100" s="7"/>
    </row>
    <row r="101">
      <c r="E101" s="7"/>
    </row>
    <row r="102">
      <c r="E102" s="7"/>
    </row>
    <row r="103">
      <c r="E103" s="7"/>
    </row>
    <row r="104">
      <c r="E104" s="7"/>
    </row>
    <row r="105">
      <c r="E105" s="7"/>
    </row>
    <row r="106">
      <c r="E106" s="7"/>
    </row>
    <row r="107">
      <c r="E107" s="7"/>
    </row>
    <row r="108">
      <c r="E108" s="7"/>
    </row>
    <row r="109">
      <c r="E109" s="7"/>
    </row>
    <row r="110">
      <c r="E110" s="7"/>
    </row>
    <row r="111">
      <c r="E111" s="7"/>
    </row>
    <row r="112">
      <c r="E112" s="7"/>
    </row>
    <row r="113">
      <c r="E113" s="7"/>
    </row>
    <row r="114">
      <c r="E114" s="7"/>
    </row>
    <row r="115">
      <c r="E115" s="7"/>
    </row>
    <row r="116">
      <c r="E116" s="7"/>
    </row>
    <row r="117">
      <c r="E117" s="7"/>
    </row>
    <row r="118">
      <c r="E118" s="7"/>
    </row>
    <row r="119">
      <c r="E119" s="7"/>
    </row>
    <row r="120">
      <c r="E120" s="7"/>
    </row>
    <row r="121">
      <c r="E121" s="7"/>
    </row>
    <row r="122">
      <c r="E122" s="7"/>
    </row>
    <row r="123">
      <c r="E123" s="7"/>
    </row>
    <row r="124">
      <c r="E124" s="7"/>
    </row>
    <row r="125">
      <c r="E125" s="7"/>
    </row>
    <row r="126">
      <c r="E126" s="7"/>
    </row>
    <row r="127">
      <c r="E127" s="7"/>
    </row>
    <row r="128">
      <c r="E128" s="7"/>
    </row>
    <row r="129">
      <c r="E129" s="7"/>
    </row>
    <row r="130">
      <c r="E130" s="7"/>
    </row>
    <row r="131">
      <c r="E131" s="7"/>
    </row>
    <row r="132">
      <c r="E132" s="7"/>
    </row>
    <row r="133">
      <c r="E133" s="7"/>
    </row>
    <row r="134">
      <c r="E134" s="7"/>
    </row>
    <row r="135">
      <c r="E135" s="7"/>
    </row>
    <row r="136">
      <c r="E136" s="7"/>
    </row>
    <row r="137">
      <c r="E137" s="7"/>
    </row>
    <row r="138">
      <c r="E138" s="7"/>
    </row>
    <row r="139">
      <c r="E139" s="7"/>
    </row>
    <row r="140">
      <c r="E140" s="7"/>
    </row>
    <row r="141">
      <c r="E141" s="7"/>
    </row>
    <row r="142">
      <c r="E142" s="7"/>
    </row>
    <row r="143">
      <c r="E143" s="7"/>
    </row>
    <row r="144">
      <c r="E144" s="7"/>
    </row>
    <row r="145">
      <c r="E145" s="7"/>
    </row>
    <row r="146">
      <c r="E146" s="7"/>
    </row>
    <row r="147">
      <c r="E147" s="7"/>
    </row>
    <row r="148">
      <c r="E148" s="7"/>
    </row>
    <row r="149">
      <c r="E149" s="7"/>
    </row>
    <row r="150">
      <c r="E150" s="7"/>
    </row>
    <row r="151">
      <c r="E151" s="7"/>
    </row>
    <row r="152">
      <c r="E152" s="7"/>
    </row>
    <row r="153">
      <c r="E153" s="7"/>
    </row>
    <row r="154">
      <c r="E154" s="7"/>
    </row>
    <row r="155">
      <c r="E155" s="7"/>
    </row>
    <row r="156">
      <c r="E156" s="7"/>
    </row>
    <row r="157">
      <c r="E157" s="7"/>
    </row>
    <row r="158">
      <c r="E158" s="7"/>
    </row>
    <row r="159">
      <c r="E159" s="7"/>
    </row>
    <row r="160">
      <c r="E160" s="7"/>
    </row>
    <row r="161">
      <c r="E161" s="7"/>
    </row>
    <row r="162">
      <c r="E162" s="7"/>
    </row>
    <row r="163">
      <c r="E163" s="7"/>
    </row>
    <row r="164">
      <c r="E164" s="7"/>
    </row>
    <row r="165">
      <c r="E165" s="7"/>
    </row>
    <row r="166">
      <c r="E166" s="7"/>
    </row>
    <row r="167">
      <c r="E167" s="7"/>
    </row>
    <row r="168">
      <c r="E168" s="7"/>
    </row>
    <row r="169">
      <c r="E169" s="7"/>
    </row>
    <row r="170">
      <c r="E170" s="7"/>
    </row>
    <row r="171">
      <c r="E171" s="7"/>
    </row>
    <row r="172">
      <c r="E172" s="7"/>
    </row>
    <row r="173">
      <c r="E173" s="7"/>
    </row>
    <row r="174">
      <c r="E174" s="7"/>
    </row>
    <row r="175">
      <c r="E175" s="7"/>
    </row>
    <row r="176">
      <c r="E176" s="7"/>
    </row>
    <row r="177">
      <c r="E177" s="7"/>
    </row>
    <row r="178">
      <c r="E178" s="7"/>
    </row>
    <row r="179">
      <c r="E179" s="7"/>
    </row>
    <row r="180">
      <c r="E180" s="7"/>
    </row>
    <row r="181">
      <c r="E181" s="7"/>
    </row>
    <row r="182">
      <c r="E182" s="7"/>
    </row>
    <row r="183">
      <c r="E183" s="7"/>
    </row>
    <row r="184">
      <c r="E184" s="7"/>
    </row>
    <row r="185">
      <c r="E185" s="7"/>
    </row>
    <row r="186">
      <c r="E186" s="7"/>
    </row>
    <row r="187">
      <c r="E187" s="7"/>
    </row>
    <row r="188">
      <c r="E188" s="7"/>
    </row>
    <row r="189">
      <c r="E189" s="7"/>
    </row>
    <row r="190">
      <c r="E190" s="7"/>
    </row>
    <row r="191">
      <c r="E191" s="7"/>
    </row>
    <row r="192">
      <c r="E192" s="7"/>
    </row>
    <row r="193">
      <c r="E193" s="7"/>
    </row>
    <row r="194">
      <c r="E194" s="7"/>
    </row>
    <row r="195">
      <c r="E195" s="7"/>
    </row>
    <row r="196">
      <c r="E196" s="7"/>
    </row>
    <row r="197">
      <c r="E197" s="7"/>
    </row>
    <row r="198">
      <c r="E198" s="7"/>
    </row>
    <row r="199">
      <c r="E199" s="7"/>
    </row>
    <row r="200">
      <c r="E200" s="7"/>
    </row>
    <row r="201">
      <c r="E201" s="7"/>
    </row>
    <row r="202">
      <c r="E202" s="7"/>
    </row>
    <row r="203">
      <c r="E203" s="7"/>
    </row>
    <row r="204">
      <c r="E204" s="7"/>
    </row>
    <row r="205">
      <c r="E205" s="7"/>
    </row>
    <row r="206">
      <c r="E206" s="7"/>
    </row>
    <row r="207">
      <c r="E207" s="7"/>
    </row>
    <row r="208">
      <c r="E208" s="7"/>
    </row>
    <row r="209">
      <c r="E209" s="7"/>
    </row>
    <row r="210">
      <c r="E210" s="7"/>
    </row>
    <row r="211">
      <c r="E211" s="7"/>
    </row>
    <row r="212">
      <c r="E212" s="7"/>
    </row>
    <row r="213">
      <c r="E213" s="7"/>
    </row>
    <row r="214">
      <c r="E214" s="7"/>
    </row>
    <row r="215">
      <c r="E215" s="7"/>
    </row>
    <row r="216">
      <c r="E216" s="7"/>
    </row>
    <row r="217">
      <c r="E217" s="7"/>
    </row>
    <row r="218">
      <c r="E218" s="7"/>
    </row>
    <row r="219">
      <c r="E219" s="7"/>
    </row>
    <row r="220">
      <c r="E220" s="7"/>
    </row>
    <row r="221">
      <c r="E221" s="7"/>
    </row>
    <row r="222">
      <c r="E222" s="7"/>
    </row>
    <row r="223">
      <c r="E223" s="7"/>
    </row>
    <row r="224">
      <c r="E224" s="7"/>
    </row>
    <row r="225">
      <c r="E225" s="7"/>
    </row>
    <row r="226">
      <c r="E226" s="7"/>
    </row>
    <row r="227">
      <c r="E227" s="7"/>
    </row>
    <row r="228">
      <c r="E228" s="7"/>
    </row>
    <row r="229">
      <c r="E229" s="7"/>
    </row>
    <row r="230">
      <c r="E230" s="7"/>
    </row>
    <row r="231">
      <c r="E231" s="7"/>
    </row>
    <row r="232">
      <c r="E232" s="7"/>
    </row>
    <row r="233">
      <c r="E233" s="7"/>
    </row>
    <row r="234">
      <c r="E234" s="7"/>
    </row>
    <row r="235">
      <c r="E235" s="7"/>
    </row>
    <row r="236">
      <c r="E236" s="7"/>
    </row>
    <row r="237">
      <c r="E237" s="7"/>
    </row>
    <row r="238">
      <c r="E238" s="7"/>
    </row>
    <row r="239">
      <c r="E239" s="7"/>
    </row>
    <row r="240">
      <c r="E240" s="7"/>
    </row>
    <row r="241">
      <c r="E241" s="7"/>
    </row>
    <row r="242">
      <c r="E242" s="7"/>
    </row>
    <row r="243">
      <c r="E243" s="7"/>
    </row>
    <row r="244">
      <c r="E244" s="7"/>
    </row>
    <row r="245">
      <c r="E245" s="7"/>
    </row>
    <row r="246">
      <c r="E246" s="7"/>
    </row>
    <row r="247">
      <c r="E247" s="7"/>
    </row>
    <row r="248">
      <c r="E248" s="7"/>
    </row>
    <row r="249">
      <c r="E249" s="7"/>
    </row>
    <row r="250">
      <c r="E250" s="7"/>
    </row>
    <row r="251">
      <c r="E251" s="7"/>
    </row>
    <row r="252">
      <c r="E252" s="7"/>
    </row>
    <row r="253">
      <c r="E253" s="7"/>
    </row>
    <row r="254">
      <c r="E254" s="7"/>
    </row>
    <row r="255">
      <c r="E255" s="7"/>
    </row>
    <row r="256">
      <c r="E256" s="7"/>
    </row>
    <row r="257">
      <c r="E257" s="7"/>
    </row>
    <row r="258">
      <c r="E258" s="7"/>
    </row>
    <row r="259">
      <c r="E259" s="7"/>
    </row>
    <row r="260">
      <c r="E260" s="7"/>
    </row>
    <row r="261">
      <c r="E261" s="7"/>
    </row>
    <row r="262">
      <c r="E262" s="7"/>
    </row>
    <row r="263">
      <c r="E263" s="7"/>
    </row>
    <row r="264">
      <c r="E264" s="7"/>
    </row>
    <row r="265">
      <c r="E265" s="7"/>
    </row>
    <row r="266">
      <c r="E266" s="7"/>
    </row>
    <row r="267">
      <c r="E267" s="7"/>
    </row>
    <row r="268">
      <c r="E268" s="7"/>
    </row>
    <row r="269">
      <c r="E269" s="7"/>
    </row>
    <row r="270">
      <c r="E270" s="7"/>
    </row>
    <row r="271">
      <c r="E271" s="7"/>
    </row>
    <row r="272">
      <c r="E272" s="7"/>
    </row>
    <row r="273">
      <c r="E273" s="7"/>
    </row>
    <row r="274">
      <c r="E274" s="7"/>
    </row>
    <row r="275">
      <c r="E275" s="7"/>
    </row>
    <row r="276">
      <c r="E276" s="7"/>
    </row>
    <row r="277">
      <c r="E277" s="7"/>
    </row>
    <row r="278">
      <c r="E278" s="7"/>
    </row>
    <row r="279">
      <c r="E279" s="7"/>
    </row>
    <row r="280">
      <c r="E280" s="7"/>
    </row>
    <row r="281">
      <c r="E281" s="7"/>
    </row>
    <row r="282">
      <c r="E282" s="7"/>
    </row>
    <row r="283">
      <c r="E283" s="7"/>
    </row>
    <row r="284">
      <c r="E284" s="7"/>
    </row>
    <row r="285">
      <c r="E285" s="7"/>
    </row>
    <row r="286">
      <c r="E286" s="7"/>
    </row>
    <row r="287">
      <c r="E287" s="7"/>
    </row>
    <row r="288">
      <c r="E288" s="7"/>
    </row>
    <row r="289">
      <c r="E289" s="7"/>
    </row>
    <row r="290">
      <c r="E290" s="7"/>
    </row>
    <row r="291">
      <c r="E291" s="7"/>
    </row>
    <row r="292">
      <c r="E292" s="7"/>
    </row>
    <row r="293">
      <c r="E293" s="7"/>
    </row>
    <row r="294">
      <c r="E294" s="7"/>
    </row>
    <row r="295">
      <c r="E295" s="7"/>
    </row>
    <row r="296">
      <c r="E296" s="7"/>
    </row>
    <row r="297">
      <c r="E297" s="7"/>
    </row>
    <row r="298">
      <c r="E298" s="7"/>
    </row>
    <row r="299">
      <c r="E299" s="7"/>
    </row>
    <row r="300">
      <c r="E300" s="7"/>
    </row>
    <row r="301">
      <c r="E301" s="7"/>
    </row>
    <row r="302">
      <c r="E302" s="7"/>
    </row>
    <row r="303">
      <c r="E303" s="7"/>
    </row>
    <row r="304">
      <c r="E304" s="7"/>
    </row>
    <row r="305">
      <c r="E305" s="7"/>
    </row>
    <row r="306">
      <c r="E306" s="7"/>
    </row>
    <row r="307">
      <c r="E307" s="7"/>
    </row>
    <row r="308">
      <c r="E308" s="7"/>
    </row>
    <row r="309">
      <c r="E309" s="7"/>
    </row>
    <row r="310">
      <c r="E310" s="7"/>
    </row>
    <row r="311">
      <c r="E311" s="7"/>
    </row>
    <row r="312">
      <c r="E312" s="7"/>
    </row>
    <row r="313">
      <c r="E313" s="7"/>
    </row>
    <row r="314">
      <c r="E314" s="7"/>
    </row>
    <row r="315">
      <c r="E315" s="7"/>
    </row>
    <row r="316">
      <c r="E316" s="7"/>
    </row>
    <row r="317">
      <c r="E317" s="7"/>
    </row>
    <row r="318">
      <c r="E318" s="7"/>
    </row>
    <row r="319">
      <c r="E319" s="7"/>
    </row>
    <row r="320">
      <c r="E320" s="7"/>
    </row>
    <row r="321">
      <c r="E321" s="7"/>
    </row>
    <row r="322">
      <c r="E322" s="7"/>
    </row>
    <row r="323">
      <c r="E323" s="7"/>
    </row>
    <row r="324">
      <c r="E324" s="7"/>
    </row>
    <row r="325">
      <c r="E325" s="7"/>
    </row>
    <row r="326">
      <c r="E326" s="7"/>
    </row>
    <row r="327">
      <c r="E327" s="7"/>
    </row>
    <row r="328">
      <c r="E328" s="7"/>
    </row>
    <row r="329">
      <c r="E329" s="7"/>
    </row>
    <row r="330">
      <c r="E330" s="7"/>
    </row>
    <row r="331">
      <c r="E331" s="7"/>
    </row>
    <row r="332">
      <c r="E332" s="7"/>
    </row>
    <row r="333">
      <c r="E333" s="7"/>
    </row>
    <row r="334">
      <c r="E334" s="7"/>
    </row>
    <row r="335">
      <c r="E335" s="7"/>
    </row>
    <row r="336">
      <c r="E336" s="7"/>
    </row>
    <row r="337">
      <c r="E337" s="7"/>
    </row>
    <row r="338">
      <c r="E338" s="7"/>
    </row>
    <row r="339">
      <c r="E339" s="7"/>
    </row>
    <row r="340">
      <c r="E340" s="7"/>
    </row>
    <row r="341">
      <c r="E341" s="7"/>
    </row>
    <row r="342">
      <c r="E342" s="7"/>
    </row>
    <row r="343">
      <c r="E343" s="7"/>
    </row>
    <row r="344">
      <c r="E344" s="7"/>
    </row>
    <row r="345">
      <c r="E345" s="7"/>
    </row>
    <row r="346">
      <c r="E346" s="7"/>
    </row>
    <row r="347">
      <c r="E347" s="7"/>
    </row>
    <row r="348">
      <c r="E348" s="7"/>
    </row>
    <row r="349">
      <c r="E349" s="7"/>
    </row>
    <row r="350">
      <c r="E350" s="7"/>
    </row>
    <row r="351">
      <c r="E351" s="7"/>
    </row>
    <row r="352">
      <c r="E352" s="7"/>
    </row>
    <row r="353">
      <c r="E353" s="7"/>
    </row>
    <row r="354">
      <c r="E354" s="7"/>
    </row>
    <row r="355">
      <c r="E355" s="7"/>
    </row>
    <row r="356">
      <c r="E356" s="7"/>
    </row>
    <row r="357">
      <c r="E357" s="7"/>
    </row>
    <row r="358">
      <c r="E358" s="7"/>
    </row>
    <row r="359">
      <c r="E359" s="7"/>
    </row>
    <row r="360">
      <c r="E360" s="7"/>
    </row>
    <row r="361">
      <c r="E361" s="7"/>
    </row>
    <row r="362">
      <c r="E362" s="7"/>
    </row>
    <row r="363">
      <c r="E363" s="7"/>
    </row>
    <row r="364">
      <c r="E364" s="7"/>
    </row>
    <row r="365">
      <c r="E365" s="7"/>
    </row>
    <row r="366">
      <c r="E366" s="7"/>
    </row>
    <row r="367">
      <c r="E367" s="7"/>
    </row>
    <row r="368">
      <c r="E368" s="7"/>
    </row>
    <row r="369">
      <c r="E369" s="7"/>
    </row>
    <row r="370">
      <c r="E370" s="7"/>
    </row>
    <row r="371">
      <c r="E371" s="7"/>
    </row>
    <row r="372">
      <c r="E372" s="7"/>
    </row>
    <row r="373">
      <c r="E373" s="7"/>
    </row>
    <row r="374">
      <c r="E374" s="7"/>
    </row>
    <row r="375">
      <c r="E375" s="7"/>
    </row>
    <row r="376">
      <c r="E376" s="7"/>
    </row>
    <row r="377">
      <c r="E377" s="7"/>
    </row>
    <row r="378">
      <c r="E378" s="7"/>
    </row>
    <row r="379">
      <c r="E379" s="7"/>
    </row>
    <row r="380">
      <c r="E380" s="7"/>
    </row>
    <row r="381">
      <c r="E381" s="7"/>
    </row>
    <row r="382">
      <c r="E382" s="7"/>
    </row>
    <row r="383">
      <c r="E383" s="7"/>
    </row>
    <row r="384">
      <c r="E384" s="7"/>
    </row>
    <row r="385">
      <c r="E385" s="7"/>
    </row>
    <row r="386">
      <c r="E386" s="7"/>
    </row>
    <row r="387">
      <c r="E387" s="7"/>
    </row>
    <row r="388">
      <c r="E388" s="7"/>
    </row>
    <row r="389">
      <c r="E389" s="7"/>
    </row>
    <row r="390">
      <c r="E390" s="7"/>
    </row>
    <row r="391">
      <c r="E391" s="7"/>
    </row>
    <row r="392">
      <c r="E392" s="7"/>
    </row>
    <row r="393">
      <c r="E393" s="7"/>
    </row>
    <row r="394">
      <c r="E394" s="7"/>
    </row>
    <row r="395">
      <c r="E395" s="7"/>
    </row>
    <row r="396">
      <c r="E396" s="7"/>
    </row>
    <row r="397">
      <c r="E397" s="7"/>
    </row>
    <row r="398">
      <c r="E398" s="7"/>
    </row>
    <row r="399">
      <c r="E399" s="7"/>
    </row>
    <row r="400">
      <c r="E400" s="7"/>
    </row>
    <row r="401">
      <c r="E401" s="7"/>
    </row>
    <row r="402">
      <c r="E402" s="7"/>
    </row>
    <row r="403">
      <c r="E403" s="7"/>
    </row>
    <row r="404">
      <c r="E404" s="7"/>
    </row>
    <row r="405">
      <c r="E405" s="7"/>
    </row>
    <row r="406">
      <c r="E406" s="7"/>
    </row>
    <row r="407">
      <c r="E407" s="7"/>
    </row>
    <row r="408">
      <c r="E408" s="7"/>
    </row>
    <row r="409">
      <c r="E409" s="7"/>
    </row>
    <row r="410">
      <c r="E410" s="7"/>
    </row>
    <row r="411">
      <c r="E411" s="7"/>
    </row>
    <row r="412">
      <c r="E412" s="7"/>
    </row>
    <row r="413">
      <c r="E413" s="7"/>
    </row>
    <row r="414">
      <c r="E414" s="7"/>
    </row>
    <row r="415">
      <c r="E415" s="7"/>
    </row>
    <row r="416">
      <c r="E416" s="7"/>
    </row>
    <row r="417">
      <c r="E417" s="7"/>
    </row>
    <row r="418">
      <c r="E418" s="7"/>
    </row>
    <row r="419">
      <c r="E419" s="7"/>
    </row>
    <row r="420">
      <c r="E420" s="7"/>
    </row>
    <row r="421">
      <c r="E421" s="7"/>
    </row>
    <row r="422">
      <c r="E422" s="7"/>
    </row>
    <row r="423">
      <c r="E423" s="7"/>
    </row>
    <row r="424">
      <c r="E424" s="7"/>
    </row>
    <row r="425">
      <c r="E425" s="7"/>
    </row>
    <row r="426">
      <c r="E426" s="7"/>
    </row>
    <row r="427">
      <c r="E427" s="7"/>
    </row>
    <row r="428">
      <c r="E428" s="7"/>
    </row>
    <row r="429">
      <c r="E429" s="7"/>
    </row>
    <row r="430">
      <c r="E430" s="7"/>
    </row>
    <row r="431">
      <c r="E431" s="7"/>
    </row>
    <row r="432">
      <c r="E432" s="7"/>
    </row>
    <row r="433">
      <c r="E433" s="7"/>
    </row>
    <row r="434">
      <c r="E434" s="7"/>
    </row>
    <row r="435">
      <c r="E435" s="7"/>
    </row>
    <row r="436">
      <c r="E436" s="7"/>
    </row>
    <row r="437">
      <c r="E437" s="7"/>
    </row>
    <row r="438">
      <c r="E438" s="7"/>
    </row>
    <row r="439">
      <c r="E439" s="7"/>
    </row>
    <row r="440">
      <c r="E440" s="7"/>
    </row>
    <row r="441">
      <c r="E441" s="7"/>
    </row>
    <row r="442">
      <c r="E442" s="7"/>
    </row>
    <row r="443">
      <c r="E443" s="7"/>
    </row>
    <row r="444">
      <c r="E444" s="7"/>
    </row>
    <row r="445">
      <c r="E445" s="7"/>
    </row>
    <row r="446">
      <c r="E446" s="7"/>
    </row>
    <row r="447">
      <c r="E447" s="7"/>
    </row>
    <row r="448">
      <c r="E448" s="7"/>
    </row>
    <row r="449">
      <c r="E449" s="7"/>
    </row>
    <row r="450">
      <c r="E450" s="7"/>
    </row>
    <row r="451">
      <c r="E451" s="7"/>
    </row>
    <row r="452">
      <c r="E452" s="7"/>
    </row>
    <row r="453">
      <c r="E453" s="7"/>
    </row>
    <row r="454">
      <c r="E454" s="7"/>
    </row>
    <row r="455">
      <c r="E455" s="7"/>
    </row>
    <row r="456">
      <c r="E456" s="7"/>
    </row>
    <row r="457">
      <c r="E457" s="7"/>
    </row>
    <row r="458">
      <c r="E458" s="7"/>
    </row>
    <row r="459">
      <c r="E459" s="7"/>
    </row>
    <row r="460">
      <c r="E460" s="7"/>
    </row>
    <row r="461">
      <c r="E461" s="7"/>
    </row>
    <row r="462">
      <c r="E462" s="7"/>
    </row>
    <row r="463">
      <c r="E463" s="7"/>
    </row>
    <row r="464">
      <c r="E464" s="7"/>
    </row>
    <row r="465">
      <c r="E465" s="7"/>
    </row>
    <row r="466">
      <c r="E466" s="7"/>
    </row>
    <row r="467">
      <c r="E467" s="7"/>
    </row>
    <row r="468">
      <c r="E468" s="7"/>
    </row>
    <row r="469">
      <c r="E469" s="7"/>
    </row>
    <row r="470">
      <c r="E470" s="7"/>
    </row>
    <row r="471">
      <c r="E471" s="7"/>
    </row>
    <row r="472">
      <c r="E472" s="7"/>
    </row>
    <row r="473">
      <c r="E473" s="7"/>
    </row>
    <row r="474">
      <c r="E474" s="7"/>
    </row>
    <row r="475">
      <c r="E475" s="7"/>
    </row>
    <row r="476">
      <c r="E476" s="7"/>
    </row>
    <row r="477">
      <c r="E477" s="7"/>
    </row>
    <row r="478">
      <c r="E478" s="7"/>
    </row>
    <row r="479">
      <c r="E479" s="7"/>
    </row>
    <row r="480">
      <c r="E480" s="7"/>
    </row>
    <row r="481">
      <c r="E481" s="7"/>
    </row>
    <row r="482">
      <c r="E482" s="7"/>
    </row>
    <row r="483">
      <c r="E483" s="7"/>
    </row>
    <row r="484">
      <c r="E484" s="7"/>
    </row>
    <row r="485">
      <c r="E485" s="7"/>
    </row>
    <row r="486">
      <c r="E486" s="7"/>
    </row>
    <row r="487">
      <c r="E487" s="7"/>
    </row>
    <row r="488">
      <c r="E488" s="7"/>
    </row>
    <row r="489">
      <c r="E489" s="7"/>
    </row>
    <row r="490">
      <c r="E490" s="7"/>
    </row>
    <row r="491">
      <c r="E491" s="7"/>
    </row>
    <row r="492">
      <c r="E492" s="7"/>
    </row>
    <row r="493">
      <c r="E493" s="7"/>
    </row>
    <row r="494">
      <c r="E494" s="7"/>
    </row>
    <row r="495">
      <c r="E495" s="7"/>
    </row>
    <row r="496">
      <c r="E496" s="7"/>
    </row>
    <row r="497">
      <c r="E497" s="7"/>
    </row>
    <row r="498">
      <c r="E498" s="7"/>
    </row>
    <row r="499">
      <c r="E499" s="7"/>
    </row>
    <row r="500">
      <c r="E500" s="7"/>
    </row>
    <row r="501">
      <c r="E501" s="7"/>
    </row>
    <row r="502">
      <c r="E502" s="7"/>
    </row>
    <row r="503">
      <c r="E503" s="7"/>
    </row>
    <row r="504">
      <c r="E504" s="7"/>
    </row>
    <row r="505">
      <c r="E505" s="7"/>
    </row>
    <row r="506">
      <c r="E506" s="7"/>
    </row>
    <row r="507">
      <c r="E507" s="7"/>
    </row>
    <row r="508">
      <c r="E508" s="7"/>
    </row>
    <row r="509">
      <c r="E509" s="7"/>
    </row>
    <row r="510">
      <c r="E510" s="7"/>
    </row>
    <row r="511">
      <c r="E511" s="7"/>
    </row>
    <row r="512">
      <c r="E512" s="7"/>
    </row>
    <row r="513">
      <c r="E513" s="7"/>
    </row>
    <row r="514">
      <c r="E514" s="7"/>
    </row>
    <row r="515">
      <c r="E515" s="7"/>
    </row>
    <row r="516">
      <c r="E516" s="7"/>
    </row>
    <row r="517">
      <c r="E517" s="7"/>
    </row>
    <row r="518">
      <c r="E518" s="7"/>
    </row>
    <row r="519">
      <c r="E519" s="7"/>
    </row>
    <row r="520">
      <c r="E520" s="7"/>
    </row>
    <row r="521">
      <c r="E521" s="7"/>
    </row>
    <row r="522">
      <c r="E522" s="7"/>
    </row>
    <row r="523">
      <c r="E523" s="7"/>
    </row>
    <row r="524">
      <c r="E524" s="7"/>
    </row>
    <row r="525">
      <c r="E525" s="7"/>
    </row>
    <row r="526">
      <c r="E526" s="7"/>
    </row>
    <row r="527">
      <c r="E527" s="7"/>
    </row>
    <row r="528">
      <c r="E528" s="7"/>
    </row>
    <row r="529">
      <c r="E529" s="7"/>
    </row>
    <row r="530">
      <c r="E530" s="7"/>
    </row>
    <row r="531">
      <c r="E531" s="7"/>
    </row>
    <row r="532">
      <c r="E532" s="7"/>
    </row>
    <row r="533">
      <c r="E533" s="7"/>
    </row>
    <row r="534">
      <c r="E534" s="7"/>
    </row>
    <row r="535">
      <c r="E535" s="7"/>
    </row>
    <row r="536">
      <c r="E536" s="7"/>
    </row>
    <row r="537">
      <c r="E537" s="7"/>
    </row>
    <row r="538">
      <c r="E538" s="7"/>
    </row>
    <row r="539">
      <c r="E539" s="7"/>
    </row>
    <row r="540">
      <c r="E540" s="7"/>
    </row>
    <row r="541">
      <c r="E541" s="7"/>
    </row>
    <row r="542">
      <c r="E542" s="7"/>
    </row>
    <row r="543">
      <c r="E543" s="7"/>
    </row>
    <row r="544">
      <c r="E544" s="7"/>
    </row>
    <row r="545">
      <c r="E545" s="7"/>
    </row>
    <row r="546">
      <c r="E546" s="7"/>
    </row>
    <row r="547">
      <c r="E547" s="7"/>
    </row>
    <row r="548">
      <c r="E548" s="7"/>
    </row>
    <row r="549">
      <c r="E549" s="7"/>
    </row>
    <row r="550">
      <c r="E550" s="7"/>
    </row>
    <row r="551">
      <c r="E551" s="7"/>
    </row>
    <row r="552">
      <c r="E552" s="7"/>
    </row>
    <row r="553">
      <c r="E553" s="7"/>
    </row>
    <row r="554">
      <c r="E554" s="7"/>
    </row>
    <row r="555">
      <c r="E555" s="7"/>
    </row>
    <row r="556">
      <c r="E556" s="7"/>
    </row>
    <row r="557">
      <c r="E557" s="7"/>
    </row>
    <row r="558">
      <c r="E558" s="7"/>
    </row>
    <row r="559">
      <c r="E559" s="7"/>
    </row>
    <row r="560">
      <c r="E560" s="7"/>
    </row>
    <row r="561">
      <c r="E561" s="7"/>
    </row>
    <row r="562">
      <c r="E562" s="7"/>
    </row>
    <row r="563">
      <c r="E563" s="7"/>
    </row>
    <row r="564">
      <c r="E564" s="7"/>
    </row>
    <row r="565">
      <c r="E565" s="7"/>
    </row>
    <row r="566">
      <c r="E566" s="7"/>
    </row>
    <row r="567">
      <c r="E567" s="7"/>
    </row>
    <row r="568">
      <c r="E568" s="7"/>
    </row>
    <row r="569">
      <c r="E569" s="7"/>
    </row>
    <row r="570">
      <c r="E570" s="7"/>
    </row>
    <row r="571">
      <c r="E571" s="7"/>
    </row>
    <row r="572">
      <c r="E572" s="7"/>
    </row>
    <row r="573">
      <c r="E573" s="7"/>
    </row>
    <row r="574">
      <c r="E574" s="7"/>
    </row>
    <row r="575">
      <c r="E575" s="7"/>
    </row>
    <row r="576">
      <c r="E576" s="7"/>
    </row>
    <row r="577">
      <c r="E577" s="7"/>
    </row>
    <row r="578">
      <c r="E578" s="7"/>
    </row>
    <row r="579">
      <c r="E579" s="7"/>
    </row>
    <row r="580">
      <c r="E580" s="7"/>
    </row>
    <row r="581">
      <c r="E581" s="7"/>
    </row>
    <row r="582">
      <c r="E582" s="7"/>
    </row>
    <row r="583">
      <c r="E583" s="7"/>
    </row>
    <row r="584">
      <c r="E584" s="7"/>
    </row>
    <row r="585">
      <c r="E585" s="7"/>
    </row>
    <row r="586">
      <c r="E586" s="7"/>
    </row>
    <row r="587">
      <c r="E587" s="7"/>
    </row>
    <row r="588">
      <c r="E588" s="7"/>
    </row>
    <row r="589">
      <c r="E589" s="7"/>
    </row>
    <row r="590">
      <c r="E590" s="7"/>
    </row>
    <row r="591">
      <c r="E591" s="7"/>
    </row>
    <row r="592">
      <c r="E592" s="7"/>
    </row>
    <row r="593">
      <c r="E593" s="7"/>
    </row>
    <row r="594">
      <c r="E594" s="7"/>
    </row>
    <row r="595">
      <c r="E595" s="7"/>
    </row>
    <row r="596">
      <c r="E596" s="7"/>
    </row>
    <row r="597">
      <c r="E597" s="7"/>
    </row>
    <row r="598">
      <c r="E598" s="7"/>
    </row>
    <row r="599">
      <c r="E599" s="7"/>
    </row>
    <row r="600">
      <c r="E600" s="7"/>
    </row>
    <row r="601">
      <c r="E601" s="7"/>
    </row>
    <row r="602">
      <c r="E602" s="7"/>
    </row>
    <row r="603">
      <c r="E603" s="7"/>
    </row>
    <row r="604">
      <c r="E604" s="7"/>
    </row>
    <row r="605">
      <c r="E605" s="7"/>
    </row>
    <row r="606">
      <c r="E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  <row r="980">
      <c r="E980" s="7"/>
    </row>
    <row r="981">
      <c r="E981" s="7"/>
    </row>
    <row r="982">
      <c r="E982" s="7"/>
    </row>
    <row r="983">
      <c r="E983" s="7"/>
    </row>
    <row r="984">
      <c r="E984" s="7"/>
    </row>
    <row r="985">
      <c r="E985" s="7"/>
    </row>
    <row r="986">
      <c r="E986" s="7"/>
    </row>
    <row r="987">
      <c r="E987" s="7"/>
    </row>
    <row r="988">
      <c r="E988" s="7"/>
    </row>
    <row r="989">
      <c r="E989" s="7"/>
    </row>
    <row r="990">
      <c r="E990" s="7"/>
    </row>
    <row r="991">
      <c r="E991" s="7"/>
    </row>
    <row r="992">
      <c r="E992" s="7"/>
    </row>
    <row r="993">
      <c r="E993" s="7"/>
    </row>
    <row r="994">
      <c r="E994" s="7"/>
    </row>
    <row r="995">
      <c r="E995" s="7"/>
    </row>
    <row r="996">
      <c r="E996" s="7"/>
    </row>
    <row r="997">
      <c r="E997" s="7"/>
    </row>
    <row r="998">
      <c r="E998" s="7"/>
    </row>
    <row r="999">
      <c r="E999" s="7"/>
    </row>
    <row r="1000">
      <c r="E1000" s="7"/>
    </row>
  </sheetData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2025-04-11T07:38:55Z</dcterms:created>
  <dc:creator>Ereshia Gabier</dc:creator>
</cp:coreProperties>
</file>