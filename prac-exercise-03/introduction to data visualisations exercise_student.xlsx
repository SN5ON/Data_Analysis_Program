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newable_Energy_USA" sheetId="1" r:id="rId4"/>
    <sheet state="visible" name="CA_2020_2024" sheetId="2" r:id="rId5"/>
    <sheet state="visible" name="Pivot Table 1" sheetId="3" r:id="rId6"/>
    <sheet state="visible" name="2022_Data" sheetId="4" r:id="rId7"/>
    <sheet state="visible" name="Wind_2024" sheetId="5" r:id="rId8"/>
    <sheet state="visible" name="Solutions Sheet" sheetId="6" r:id="rId9"/>
  </sheets>
  <definedNames>
    <definedName localSheetId="0" name="Expanded_Renewable_Energy_USA_Dataset">Renewable_Energy_USA!$A$1:$H$2501</definedName>
  </definedNames>
  <calcPr/>
  <pivotCaches>
    <pivotCache cacheId="0" r:id="rId10"/>
  </pivotCaches>
  <extLst>
    <ext uri="GoogleSheetsCustomDataVersion2">
      <go:sheetsCustomData xmlns:go="http://customooxmlschemas.google.com/" r:id="rId11" roundtripDataChecksum="stXneehUEOydl6NegXtc8Y82harhr5RW8ECMwfnJXRI="/>
    </ext>
  </extLst>
</workbook>
</file>

<file path=xl/sharedStrings.xml><?xml version="1.0" encoding="utf-8"?>
<sst xmlns="http://schemas.openxmlformats.org/spreadsheetml/2006/main" count="5726" uniqueCount="85">
  <si>
    <t>State</t>
  </si>
  <si>
    <t>Year</t>
  </si>
  <si>
    <t>Renewable Energy Type</t>
  </si>
  <si>
    <t>Installed Capacity (MW)</t>
  </si>
  <si>
    <t>Annual Generation (GWh)</t>
  </si>
  <si>
    <t>Investment ($ million)</t>
  </si>
  <si>
    <t>Number of Projects</t>
  </si>
  <si>
    <t>% Contribution to Total Energy Supply</t>
  </si>
  <si>
    <t>Alabama</t>
  </si>
  <si>
    <t>Wind</t>
  </si>
  <si>
    <t>Solar</t>
  </si>
  <si>
    <t>Hydroelectric</t>
  </si>
  <si>
    <t>California</t>
  </si>
  <si>
    <t>Geothermal</t>
  </si>
  <si>
    <t>Biomass</t>
  </si>
  <si>
    <t>Alaska</t>
  </si>
  <si>
    <t>Arizona</t>
  </si>
  <si>
    <t>SUM of Installed Capacity (MW)</t>
  </si>
  <si>
    <t>Grand Total</t>
  </si>
  <si>
    <t>Arkansas</t>
  </si>
  <si>
    <t>Category</t>
  </si>
  <si>
    <t>Low</t>
  </si>
  <si>
    <t>Open</t>
  </si>
  <si>
    <t>Close</t>
  </si>
  <si>
    <t>High</t>
  </si>
  <si>
    <t>Wind 2024</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</si>
  <si>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</si>
  <si>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</si>
  <si>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</si>
  <si>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</si>
  <si>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</si>
  <si>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</si>
  <si>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</si>
  <si>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</si>
  <si>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</si>
  <si>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</si>
  <si>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</si>
  <si>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</si>
  <si>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</si>
  <si>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</si>
  <si>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</si>
  <si>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</si>
  <si>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</si>
  <si>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</si>
  <si>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</si>
  <si>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</si>
  <si>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</si>
  <si>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</si>
  <si>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</si>
  <si>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</si>
  <si>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</si>
  <si>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</si>
  <si>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</si>
  <si>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</si>
  <si>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</si>
  <si>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</si>
  <si>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</si>
  <si>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</si>
  <si>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</si>
  <si>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</si>
  <si>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</si>
  <si>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</si>
  <si>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</si>
  <si>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</si>
  <si>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</si>
  <si>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</si>
  <si>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</si>
  <si>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</si>
  <si>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</si>
  <si>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</si>
  <si>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</si>
  <si>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Copy the top 5 rows (State + Installed Capacity) into the Solutions sheet</t>
  </si>
  <si>
    <r>
      <rPr>
        <rFont val="Arial"/>
        <b/>
        <i/>
        <color theme="1"/>
      </rPr>
      <t>1. Which state had the highest installed capacity for Biomass in 2024?</t>
    </r>
    <r>
      <rPr>
        <rFont val="Arial"/>
        <color theme="1"/>
      </rPr>
      <t xml:space="preserve">
Alabama had the highest installed capacity for Biomass in 2024 at 467.6 MW.</t>
    </r>
  </si>
  <si>
    <r>
      <rPr>
        <rFont val="Arial"/>
        <b/>
        <i/>
        <color theme="1"/>
      </rPr>
      <t xml:space="preserve">2. What's the difference in MW between the top and bottom state in your chart?
</t>
    </r>
    <r>
      <rPr>
        <rFont val="Arial"/>
        <b val="0"/>
        <i val="0"/>
        <color theme="1"/>
      </rPr>
      <t xml:space="preserve">Top State (Alabama): 467.6 
MW Bottom State in Chart (California): 428.9 MW
Difference: 467.6 MW - 428.9 MW = 38.7 MW
</t>
    </r>
  </si>
  <si>
    <r>
      <rPr>
        <rFont val="Arial"/>
        <color theme="1"/>
      </rPr>
      <t xml:space="preserve">3. </t>
    </r>
    <r>
      <rPr>
        <rFont val="Arial"/>
        <b/>
        <i/>
        <color theme="1"/>
      </rPr>
      <t xml:space="preserve">What could this visual tell you about state-level investments in Biomass energy?
</t>
    </r>
    <r>
      <rPr>
        <rFont val="Arial"/>
        <color theme="1"/>
      </rPr>
      <t>High Level of Parity Among Leaders: The top 5 states are tightly grouped together, 
separated by only 38.7 MW across the entire group. This suggests that leading 
states are making substantial, comparable investments in Biomass
 infrastructure rather than one single state dominating the market.
Geographic Diversity: Biomass investment is spread across diverse regions 
(from the Southeast like Alabama/Arkansas to Alaska and the West Coast like California), 
showing that Biomass is viable across different climate zones and industrial profiles.</t>
    </r>
  </si>
  <si>
    <t xml:space="preserve">4. What factors might explain why some states have significantly higher capacity than others?
Abundance of Organic Feedstock &amp; Resources: States with large forestry industries
 (e.g., Alabama, Arkansas), extensive agriculture, or wood waste have cheap, 
ready access to biomass materials (wood scraps, agricultural waste).
State Policy &amp; Incentives: Renewable Portfolio Standards (RPS), state tax credits, 
or carbon reduction mandates encourage heavier capital investment in bioenergy facilities.
Grid Infrastructure &amp; Existing Facilities: States with existing paper/pulp plants 
or bio-processing facilities can retrofit infrastructure for bioenergy generation 
more cost-effectively than building from scratch.
Land Availability &amp; Population Size: Larger states have more space to establish 
biomass processing plants and manage supply chain logistics for organic waste collection.
</t>
  </si>
  <si>
    <t xml:space="preserve">PART TWO: In a 100% stacked area chart of California's renewable capacity from 2020 to 2024, 
what does it mean if one energy type's band is narrowing while another is widening?
What Narrowing vs. Widening Bands Mean
In a 100% stacked area chart, the vertical axis always represents 100% 
of the total capacity for that year, regardless of how much
total capacity (in MW) grew in raw numbers.
A Widening Band: Means that specific energy type is increasing its share 
of the total portfolio relative to the other sources. It is growing at a faster 
rate than the rest of the overall mix.
A Narrowing Band: Means that energy type is losing
relative share of the overall mix.
</t>
  </si>
  <si>
    <r>
      <rPr>
        <rFont val="Arial"/>
        <b/>
        <color theme="1"/>
      </rPr>
      <t xml:space="preserve">Crucial Key Insight: Relative Share vs. Absolute Growth
</t>
    </r>
    <r>
      <rPr>
        <rFont val="Arial"/>
        <color theme="1"/>
      </rPr>
      <t xml:space="preserve">A narrowing band does NOT necessarily mean capacity is declining in raw megawatts.
</t>
    </r>
    <r>
      <rPr>
        <rFont val="Arial"/>
        <b/>
        <i/>
        <color theme="1"/>
      </rPr>
      <t xml:space="preserve">For example, looking at California's data from 2020 to 2024:
</t>
    </r>
    <r>
      <rPr>
        <rFont val="Arial"/>
        <color theme="1"/>
      </rPr>
      <t xml:space="preserve">Solar's band narrows slightly </t>
    </r>
    <r>
      <rPr>
        <rFont val="Arial"/>
        <b/>
        <i/>
        <color theme="1"/>
      </rPr>
      <t>(falling from 18.90% of the mix in 2020 down to 17.36% in 2024)</t>
    </r>
    <r>
      <rPr>
        <rFont val="Arial"/>
        <color theme="1"/>
      </rPr>
      <t xml:space="preserve">.
However, Solar's actual capacity increased from </t>
    </r>
    <r>
      <rPr>
        <rFont val="Arial"/>
        <b/>
        <color theme="1"/>
      </rPr>
      <t>233.1 MW to 363.5 MW</t>
    </r>
    <r>
      <rPr>
        <rFont val="Arial"/>
        <color theme="1"/>
      </rPr>
      <t xml:space="preserve"> in that same timeframe.
Because Hydroelectric </t>
    </r>
    <r>
      <rPr>
        <rFont val="Arial"/>
        <b/>
        <color theme="1"/>
      </rPr>
      <t>(18.45% =&gt; 20.76%)</t>
    </r>
    <r>
      <rPr>
        <rFont val="Arial"/>
        <color theme="1"/>
      </rPr>
      <t xml:space="preserve"> and Wind </t>
    </r>
    <r>
      <rPr>
        <rFont val="Arial"/>
        <b/>
        <color theme="1"/>
      </rPr>
      <t>(17.66% =&gt; 19.82%)</t>
    </r>
    <r>
      <rPr>
        <rFont val="Arial"/>
        <color theme="1"/>
      </rPr>
      <t xml:space="preserve">
grew at a slightly faster proportional rate during these years, their bands widened, 
causing Solar's relative slice of the 100% pie to contract. 
</t>
    </r>
    <r>
      <rPr>
        <rFont val="Arial"/>
        <b/>
        <i/>
        <color theme="1"/>
      </rPr>
      <t>In short:</t>
    </r>
    <r>
      <rPr>
        <rFont val="Arial"/>
        <color theme="1"/>
      </rPr>
      <t xml:space="preserve"> 
Widening = Outpacing the portfolio's average growth rate.
Narrowing = Lagging behind the portfolio's average growth rate
(even if its actual capacity is still rising)</t>
    </r>
  </si>
  <si>
    <r>
      <rPr>
        <rFont val="Arial"/>
        <b/>
        <i/>
        <color theme="1"/>
      </rPr>
      <t>Key Analytical Takeaways for the Policy Advisory Team
Does Installed Capacity correlate with Annual Generati</t>
    </r>
    <r>
      <rPr>
        <rFont val="Arial"/>
        <color theme="1"/>
      </rPr>
      <t>on?
Yes, strongly. The scatter plot demonstrates a strong positive 
linear correlation (r = 0.736). As installed megawatt capacity
increases, annual gigawatt-hour output increases predictably.
Where have Investments ($ million) had the greatest return?
Data points in the upper-left region of the bubble chart represent 
high efficiency/return (high generation output for lower total dollar investment). 
Conversely, bubbles in the lower-right represent lower capital efficiency.
How does Number of Projects factor in?
Larger bubbles (more projects) spread across lower individual 
generation outputs suggest fragmented, smaller-scale investments. 
Smaller, higher-positioned bubbles indicate consolidated, large-scale utility 
projects that yield significantly higher annual generation per dollar invested.</t>
    </r>
  </si>
  <si>
    <r>
      <rPr>
        <rFont val="Arial"/>
        <b/>
        <color theme="1"/>
      </rPr>
      <t xml:space="preserve">What is the median annual generation?
</t>
    </r>
    <r>
      <rPr>
        <rFont val="Arial"/>
        <color theme="1"/>
      </rPr>
      <t>968.45 GWh or 968.5 GWh</t>
    </r>
  </si>
  <si>
    <t>The median is the exact midpoint
(50th percentile) of state wind generation
-half of the U.S. states generated more 
than this amount in 2024, and half generated less.</t>
  </si>
  <si>
    <t>What is the interquartile range (IQR)?
226.75 GWh</t>
  </si>
  <si>
    <r>
      <rPr>
        <rFont val="Arial"/>
        <b/>
        <color theme="1"/>
      </rPr>
      <t xml:space="preserve">Which (if any) states appear as outliers on the high end,
 and what are their approximate generation values?
</t>
    </r>
    <r>
      <rPr>
        <rFont val="Arial"/>
        <b val="0"/>
        <color theme="1"/>
      </rPr>
      <t>There are no high-end outliers in this 2024 dataset</t>
    </r>
  </si>
  <si>
    <r>
      <rPr>
        <rFont val="Arial"/>
        <b/>
        <i/>
        <color theme="1"/>
      </rPr>
      <t xml:space="preserve">In a box plot of wind energy generation across U.S. states in 2024, 
what does a large IQR compared to the median suggest about
 the equity of wind energy development across states?
</t>
    </r>
    <r>
      <rPr>
        <rFont val="Arial"/>
        <color theme="1"/>
      </rPr>
      <t>A large Interquartile Range (IQR) relative to the median indicates significant geographical 
inequality/disparity in wind energy development across U.S. states.
Here is what that relationship reveals in detail:
1. High Regional Concentration
The median tells you what a "typical" or middle-performing state generates.
 If the IQR (the spread covering the middle 50% of states) is wide compared to that median, 
it means states are not developing wind capacity at a uniform pace. Instead, a small cluster of 
top-tier states is driving the bulk of generation, while a large portion of states lags far behind.
2. Policy and Resource Disparities
In the context of clean energy transition and equity, a large IQR highlights that wind energy 
success is heavily influenced by state-level factors rather than a balanced national rollout.
Specifically:
Resource Availability: States in regions with naturally high wind potential (like the Great Plains) 
dominate, while states with lower wind yields produce significantly less.
Policy Incentives: States with aggressive Renewable Portfolio Standards (RPS), favorable tax credits, 
and streamlined permitting frameworks attract far more infrastructure investment than states 
without those policy drivers.
Grid Infrastructure: States with modernized grid capacity capable of integrating variable
renewables can support far higher generation levels without severe curtailment.
3. Implications for Energy Equity
From a policy standpoint, a wide spread signals an uneven distribution
of economic and environmental benefits:
Economic Development: Leading states capture a disproportionate share of green jobs,
 landowner lease payments, and local tax revenues generated by wind farms.
Decarbonization Disparity: States at the bottom end of the IQR remain more reliant
 on fossil fuels, leading to localized air quality and health disparities compared 
to high-generation states.
A large IQR relative to the median signals that national wind generation is highly stratified,
 indicating a need for targeted federal support, regional grid integration, or tailored
policy interventions to help lagging states build out their renewable capacity.</t>
    </r>
  </si>
  <si>
    <t>1. Scatter Chart
Question Asked: What is the relationship between Installed Capacity (MW) and Annual Generation (GWh)?
Why it was the best choice:
A scatter plot is specifically designed to plot two continuous numerical variables against each other on a Cartesian plane (X and Y). It is the industry-standard visualization for:
Evaluating correlation (whether generation increases proportionally with capacity).
Identifying the shape of the relationship (linear vs. non-linear).
Detecting clusters or unusual variance (states generating far above or below their capacity limit).
2. Bubble Chart
Question Asked: How do states compare in return on investment (ROI) across generation output, total capital expenditure, and project scale?
Why it was the best choice:
A standard 2D chart can only plot two variables (X and Y). The analytical question required comparing four distinct data dimensions simultaneously:
Horizontal (X): Investment ($ million)
Vertical (Y): Annual Generation (GWh)
Bubble Size: Number of Projects (Scale/Fragmentation)
Color (Series): Renewable Energy Type (Categorical group)
A bubble chart expands on a scatter plot by encoding a 3rd numerical metric into area/size and a 4th metric into color, allowing you to instantly assess capital efficiency (top-left positions) and project consolidation (bubble size) in a single visual.
3. Box Plot (Candlestick Chart)
Question Asked: What is the distribution, central tendency, spread, and outlier profile of Wind energy generation across all U.S. states?
Why it was the best choice:
Bar charts or pie charts show aggregate sums or averages, but they completely hide data dispersion and skewness. A box plot is the ideal statistical visualization because it condenses an entire 50-state distribution into a clean 5-number summary:
Central Tendency: Pinpoints the median (50th percentile), avoiding the distortion caused by extreme values in standard averages.
Spread &amp; Skew: Visualizes the Interquartile Range (IQR, middle 50%) and overall range via whiskers.
Outlier Detection: Highlights extreme observations that fall beyond 1.5×IQR, making it effortless to identify regional disparities and runaway state outputs.</t>
  </si>
</sst>
</file>

<file path=xl/styles.xml><?xml version="1.0" encoding="utf-8"?>
<styleSheet xmlns="http://schemas.openxmlformats.org/spreadsheetml/2006/main" xmlns:x14ac="http://schemas.microsoft.com/office/spreadsheetml/2009/9/ac" xmlns:mc="http://schemas.openxmlformats.org/markup-compatibility/2006">
  <fonts count="8">
    <font>
      <sz val="12.0"/>
      <color theme="1"/>
      <name val="Aptos Narrow"/>
      <scheme val="minor"/>
    </font>
    <font>
      <b/>
      <sz val="12.0"/>
      <color theme="1"/>
      <name val="Arial"/>
    </font>
    <font>
      <b/>
      <sz val="12.0"/>
      <color theme="1"/>
      <name val="Aptos Narrow"/>
    </font>
    <font>
      <color theme="1"/>
      <name val="Aptos Narrow"/>
      <scheme val="minor"/>
    </font>
    <font>
      <color theme="1"/>
      <name val="Arial"/>
    </font>
    <font>
      <b/>
      <i/>
      <color theme="1"/>
      <name val="Arial"/>
    </font>
    <font>
      <b/>
      <i/>
      <sz val="12.0"/>
      <color rgb="FF002B56"/>
      <name val="Poppins"/>
    </font>
    <font>
      <b/>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3" numFmtId="10" xfId="0" applyFont="1" applyNumberFormat="1"/>
    <xf borderId="0" fillId="0" fontId="4" numFmtId="0" xfId="0" applyAlignment="1" applyFont="1">
      <alignment readingOrder="0"/>
    </xf>
    <xf borderId="0" fillId="0" fontId="3" numFmtId="0" xfId="0" applyAlignment="1" applyFont="1">
      <alignment readingOrder="0"/>
    </xf>
    <xf borderId="0" fillId="0" fontId="5" numFmtId="0" xfId="0" applyAlignment="1" applyFont="1">
      <alignment readingOrder="0" shrinkToFit="0" wrapText="0"/>
    </xf>
    <xf borderId="0" fillId="0" fontId="2" numFmtId="0" xfId="0" applyAlignment="1" applyFont="1">
      <alignment shrinkToFit="0" wrapText="1"/>
    </xf>
    <xf borderId="0" fillId="0" fontId="4" numFmtId="0" xfId="0" applyAlignment="1" applyFont="1">
      <alignment readingOrder="0" shrinkToFit="0" wrapText="0"/>
    </xf>
    <xf borderId="0" fillId="0" fontId="5" numFmtId="0" xfId="0" applyAlignment="1" applyFont="1">
      <alignment readingOrder="0"/>
    </xf>
    <xf borderId="0" fillId="2" fontId="6" numFmtId="0" xfId="0" applyAlignment="1" applyFill="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pivotCacheDefinition" Target="pivotCache/pivotCacheDefinition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California Renewable Energy Capacity Mix (2020–2024)</a:t>
            </a:r>
          </a:p>
        </c:rich>
      </c:tx>
      <c:overlay val="0"/>
    </c:title>
    <c:plotArea>
      <c:layout/>
      <c:areaChart>
        <c:grouping val="percentStacked"/>
        <c:ser>
          <c:idx val="0"/>
          <c:order val="0"/>
          <c:tx>
            <c:strRef>
              <c:f>'Pivot Table 1'!$B$1:$B$2</c:f>
            </c:strRef>
          </c:tx>
          <c:spPr>
            <a:solidFill>
              <a:srgbClr val="156082">
                <a:alpha val="30000"/>
              </a:srgbClr>
            </a:solidFill>
            <a:ln cmpd="sng">
              <a:solidFill>
                <a:srgbClr val="156082"/>
              </a:solidFill>
            </a:ln>
          </c:spPr>
          <c:cat>
            <c:strRef>
              <c:f>'Pivot Table 1'!$A$3:$A$7</c:f>
            </c:strRef>
          </c:cat>
          <c:val>
            <c:numRef>
              <c:f>'Pivot Table 1'!$B$3:$B$7</c:f>
              <c:numCache/>
            </c:numRef>
          </c:val>
        </c:ser>
        <c:ser>
          <c:idx val="1"/>
          <c:order val="1"/>
          <c:tx>
            <c:strRef>
              <c:f>'Pivot Table 1'!$C$1:$C$2</c:f>
            </c:strRef>
          </c:tx>
          <c:spPr>
            <a:solidFill>
              <a:srgbClr val="E97132">
                <a:alpha val="30000"/>
              </a:srgbClr>
            </a:solidFill>
            <a:ln cmpd="sng">
              <a:solidFill>
                <a:srgbClr val="E97132"/>
              </a:solidFill>
            </a:ln>
          </c:spPr>
          <c:cat>
            <c:strRef>
              <c:f>'Pivot Table 1'!$A$3:$A$7</c:f>
            </c:strRef>
          </c:cat>
          <c:val>
            <c:numRef>
              <c:f>'Pivot Table 1'!$C$3:$C$7</c:f>
              <c:numCache/>
            </c:numRef>
          </c:val>
        </c:ser>
        <c:ser>
          <c:idx val="2"/>
          <c:order val="2"/>
          <c:tx>
            <c:strRef>
              <c:f>'Pivot Table 1'!$D$1:$D$2</c:f>
            </c:strRef>
          </c:tx>
          <c:spPr>
            <a:solidFill>
              <a:srgbClr val="196B24">
                <a:alpha val="30000"/>
              </a:srgbClr>
            </a:solidFill>
            <a:ln cmpd="sng">
              <a:solidFill>
                <a:srgbClr val="196B24"/>
              </a:solidFill>
            </a:ln>
          </c:spPr>
          <c:cat>
            <c:strRef>
              <c:f>'Pivot Table 1'!$A$3:$A$7</c:f>
            </c:strRef>
          </c:cat>
          <c:val>
            <c:numRef>
              <c:f>'Pivot Table 1'!$D$3:$D$7</c:f>
              <c:numCache/>
            </c:numRef>
          </c:val>
        </c:ser>
        <c:ser>
          <c:idx val="3"/>
          <c:order val="3"/>
          <c:tx>
            <c:strRef>
              <c:f>'Pivot Table 1'!$E$1:$E$2</c:f>
            </c:strRef>
          </c:tx>
          <c:spPr>
            <a:solidFill>
              <a:srgbClr val="0F9ED5">
                <a:alpha val="30000"/>
              </a:srgbClr>
            </a:solidFill>
            <a:ln cmpd="sng">
              <a:solidFill>
                <a:srgbClr val="0F9ED5"/>
              </a:solidFill>
            </a:ln>
          </c:spPr>
          <c:cat>
            <c:strRef>
              <c:f>'Pivot Table 1'!$A$3:$A$7</c:f>
            </c:strRef>
          </c:cat>
          <c:val>
            <c:numRef>
              <c:f>'Pivot Table 1'!$E$3:$E$7</c:f>
              <c:numCache/>
            </c:numRef>
          </c:val>
        </c:ser>
        <c:ser>
          <c:idx val="4"/>
          <c:order val="4"/>
          <c:tx>
            <c:strRef>
              <c:f>'Pivot Table 1'!$F$1:$F$2</c:f>
            </c:strRef>
          </c:tx>
          <c:spPr>
            <a:solidFill>
              <a:srgbClr val="A02B93">
                <a:alpha val="30000"/>
              </a:srgbClr>
            </a:solidFill>
            <a:ln cmpd="sng">
              <a:solidFill>
                <a:srgbClr val="A02B93"/>
              </a:solidFill>
            </a:ln>
          </c:spPr>
          <c:cat>
            <c:strRef>
              <c:f>'Pivot Table 1'!$A$3:$A$7</c:f>
            </c:strRef>
          </c:cat>
          <c:val>
            <c:numRef>
              <c:f>'Pivot Table 1'!$F$3:$F$7</c:f>
              <c:numCache/>
            </c:numRef>
          </c:val>
        </c:ser>
        <c:axId val="185141361"/>
        <c:axId val="1386231738"/>
      </c:areaChart>
      <c:catAx>
        <c:axId val="1851413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86231738"/>
      </c:catAx>
      <c:valAx>
        <c:axId val="13862317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Share of Total Installed Capacity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141361"/>
      </c:valAx>
    </c:plotArea>
    <c:legend>
      <c:legendPos val="t"/>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Installed Capacity vs. Annual Generation</a:t>
            </a:r>
          </a:p>
        </c:rich>
      </c:tx>
      <c:overlay val="0"/>
    </c:title>
    <c:plotArea>
      <c:layout/>
      <c:scatterChart>
        <c:scatterStyle val="lineMarker"/>
        <c:varyColors val="0"/>
        <c:ser>
          <c:idx val="0"/>
          <c:order val="0"/>
          <c:tx>
            <c:strRef>
              <c:f>'2022_Data'!$E$1</c:f>
            </c:strRef>
          </c:tx>
          <c:spPr>
            <a:ln>
              <a:noFill/>
            </a:ln>
          </c:spPr>
          <c:marker>
            <c:symbol val="circle"/>
            <c:size val="7"/>
            <c:spPr>
              <a:solidFill>
                <a:schemeClr val="accent1"/>
              </a:solidFill>
              <a:ln cmpd="sng">
                <a:solidFill>
                  <a:schemeClr val="accent1"/>
                </a:solidFill>
              </a:ln>
            </c:spPr>
          </c:marker>
          <c:xVal>
            <c:numRef>
              <c:f>'2022_Data'!$D$2:$D$1000</c:f>
            </c:numRef>
          </c:xVal>
          <c:yVal>
            <c:numRef>
              <c:f>'2022_Data'!$E$2:$E$1000</c:f>
              <c:numCache/>
            </c:numRef>
          </c:yVal>
        </c:ser>
        <c:dLbls>
          <c:showLegendKey val="0"/>
          <c:showVal val="0"/>
          <c:showCatName val="0"/>
          <c:showSerName val="0"/>
          <c:showPercent val="0"/>
          <c:showBubbleSize val="0"/>
        </c:dLbls>
        <c:axId val="1628700892"/>
        <c:axId val="1865270211"/>
      </c:scatterChart>
      <c:valAx>
        <c:axId val="16287008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Installed Capacity (MW)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65270211"/>
      </c:valAx>
      <c:valAx>
        <c:axId val="18652702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Annual Generation (GWh)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28700892"/>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Investment Return: Generation vs. Capital ($M)</a:t>
            </a:r>
          </a:p>
        </c:rich>
      </c:tx>
      <c:overlay val="0"/>
    </c:title>
    <c:plotArea>
      <c:layout/>
      <c:bubbleChart>
        <c:ser>
          <c:idx val="0"/>
          <c:order val="0"/>
          <c:tx>
            <c:strRef>
              <c:f>'2022_Data'!$A$1</c:f>
            </c:strRef>
          </c:tx>
          <c:dLbls>
            <c:dLblPos val="ctr"/>
            <c:showLegendKey val="0"/>
            <c:showVal val="0"/>
            <c:showCatName val="0"/>
            <c:showSerName val="1"/>
            <c:showPercent val="0"/>
            <c:showBubbleSize val="0"/>
          </c:dLbls>
          <c:xVal>
            <c:strRef>
              <c:f>'2022_Data'!$F$1</c:f>
            </c:strRef>
          </c:xVal>
          <c:yVal>
            <c:numRef>
              <c:f>'2022_Data'!$E$1</c:f>
              <c:numCache/>
            </c:numRef>
          </c:yVal>
          <c:bubbleSize>
            <c:numRef>
              <c:f>'2022_Data'!$G$1</c:f>
            </c:numRef>
          </c:bubbleSize>
        </c:ser>
        <c:ser>
          <c:idx val="1"/>
          <c:order val="1"/>
          <c:tx>
            <c:strRef>
              <c:f>'2022_Data'!$A$2</c:f>
            </c:strRef>
          </c:tx>
          <c:dLbls>
            <c:dLblPos val="ctr"/>
            <c:showLegendKey val="0"/>
            <c:showVal val="0"/>
            <c:showCatName val="0"/>
            <c:showSerName val="1"/>
            <c:showPercent val="0"/>
            <c:showBubbleSize val="0"/>
          </c:dLbls>
          <c:xVal>
            <c:strRef>
              <c:f>'2022_Data'!$F$2</c:f>
            </c:strRef>
          </c:xVal>
          <c:yVal>
            <c:numRef>
              <c:f>'2022_Data'!$E$2</c:f>
              <c:numCache/>
            </c:numRef>
          </c:yVal>
          <c:bubbleSize>
            <c:numRef>
              <c:f>'2022_Data'!$G$2</c:f>
            </c:numRef>
          </c:bubbleSize>
        </c:ser>
        <c:ser>
          <c:idx val="2"/>
          <c:order val="2"/>
          <c:tx>
            <c:strRef>
              <c:f>'2022_Data'!$A$3</c:f>
            </c:strRef>
          </c:tx>
          <c:dLbls>
            <c:dLblPos val="ctr"/>
            <c:showLegendKey val="0"/>
            <c:showVal val="0"/>
            <c:showCatName val="0"/>
            <c:showSerName val="1"/>
            <c:showPercent val="0"/>
            <c:showBubbleSize val="0"/>
          </c:dLbls>
          <c:xVal>
            <c:strRef>
              <c:f>'2022_Data'!$F$3</c:f>
            </c:strRef>
          </c:xVal>
          <c:yVal>
            <c:numRef>
              <c:f>'2022_Data'!$E$3</c:f>
              <c:numCache/>
            </c:numRef>
          </c:yVal>
          <c:bubbleSize>
            <c:numRef>
              <c:f>'2022_Data'!$G$3</c:f>
            </c:numRef>
          </c:bubbleSize>
        </c:ser>
        <c:ser>
          <c:idx val="3"/>
          <c:order val="3"/>
          <c:tx>
            <c:strRef>
              <c:f>'2022_Data'!$A$4</c:f>
            </c:strRef>
          </c:tx>
          <c:dLbls>
            <c:dLblPos val="ctr"/>
            <c:showLegendKey val="0"/>
            <c:showVal val="0"/>
            <c:showCatName val="0"/>
            <c:showSerName val="1"/>
            <c:showPercent val="0"/>
            <c:showBubbleSize val="0"/>
          </c:dLbls>
          <c:xVal>
            <c:strRef>
              <c:f>'2022_Data'!$F$4</c:f>
            </c:strRef>
          </c:xVal>
          <c:yVal>
            <c:numRef>
              <c:f>'2022_Data'!$E$4</c:f>
              <c:numCache/>
            </c:numRef>
          </c:yVal>
          <c:bubbleSize>
            <c:numRef>
              <c:f>'2022_Data'!$G$4</c:f>
            </c:numRef>
          </c:bubbleSize>
        </c:ser>
        <c:ser>
          <c:idx val="4"/>
          <c:order val="4"/>
          <c:tx>
            <c:strRef>
              <c:f>'2022_Data'!$A$5</c:f>
            </c:strRef>
          </c:tx>
          <c:dLbls>
            <c:dLblPos val="ctr"/>
            <c:showLegendKey val="0"/>
            <c:showVal val="0"/>
            <c:showCatName val="0"/>
            <c:showSerName val="1"/>
            <c:showPercent val="0"/>
            <c:showBubbleSize val="0"/>
          </c:dLbls>
          <c:xVal>
            <c:strRef>
              <c:f>'2022_Data'!$F$5</c:f>
            </c:strRef>
          </c:xVal>
          <c:yVal>
            <c:numRef>
              <c:f>'2022_Data'!$E$5</c:f>
              <c:numCache/>
            </c:numRef>
          </c:yVal>
          <c:bubbleSize>
            <c:numRef>
              <c:f>'2022_Data'!$G$5</c:f>
            </c:numRef>
          </c:bubbleSize>
        </c:ser>
        <c:ser>
          <c:idx val="5"/>
          <c:order val="5"/>
          <c:tx>
            <c:strRef>
              <c:f>'2022_Data'!$A$6</c:f>
            </c:strRef>
          </c:tx>
          <c:dLbls>
            <c:dLblPos val="ctr"/>
            <c:showLegendKey val="0"/>
            <c:showVal val="0"/>
            <c:showCatName val="0"/>
            <c:showSerName val="1"/>
            <c:showPercent val="0"/>
            <c:showBubbleSize val="0"/>
          </c:dLbls>
          <c:xVal>
            <c:strRef>
              <c:f>'2022_Data'!$F$6</c:f>
            </c:strRef>
          </c:xVal>
          <c:yVal>
            <c:numRef>
              <c:f>'2022_Data'!$E$6</c:f>
              <c:numCache/>
            </c:numRef>
          </c:yVal>
          <c:bubbleSize>
            <c:numRef>
              <c:f>'2022_Data'!$G$6</c:f>
            </c:numRef>
          </c:bubbleSize>
        </c:ser>
        <c:ser>
          <c:idx val="6"/>
          <c:order val="6"/>
          <c:tx>
            <c:strRef>
              <c:f>'2022_Data'!$A$7</c:f>
            </c:strRef>
          </c:tx>
          <c:dLbls>
            <c:dLblPos val="ctr"/>
            <c:showLegendKey val="0"/>
            <c:showVal val="0"/>
            <c:showCatName val="0"/>
            <c:showSerName val="1"/>
            <c:showPercent val="0"/>
            <c:showBubbleSize val="0"/>
          </c:dLbls>
          <c:xVal>
            <c:strRef>
              <c:f>'2022_Data'!$F$7</c:f>
            </c:strRef>
          </c:xVal>
          <c:yVal>
            <c:numRef>
              <c:f>'2022_Data'!$E$7</c:f>
              <c:numCache/>
            </c:numRef>
          </c:yVal>
          <c:bubbleSize>
            <c:numRef>
              <c:f>'2022_Data'!$G$7</c:f>
            </c:numRef>
          </c:bubbleSize>
        </c:ser>
        <c:ser>
          <c:idx val="7"/>
          <c:order val="7"/>
          <c:tx>
            <c:strRef>
              <c:f>'2022_Data'!$A$8</c:f>
            </c:strRef>
          </c:tx>
          <c:dLbls>
            <c:dLblPos val="ctr"/>
            <c:showLegendKey val="0"/>
            <c:showVal val="0"/>
            <c:showCatName val="0"/>
            <c:showSerName val="1"/>
            <c:showPercent val="0"/>
            <c:showBubbleSize val="0"/>
          </c:dLbls>
          <c:xVal>
            <c:strRef>
              <c:f>'2022_Data'!$F$8</c:f>
            </c:strRef>
          </c:xVal>
          <c:yVal>
            <c:numRef>
              <c:f>'2022_Data'!$E$8</c:f>
              <c:numCache/>
            </c:numRef>
          </c:yVal>
          <c:bubbleSize>
            <c:numRef>
              <c:f>'2022_Data'!$G$8</c:f>
            </c:numRef>
          </c:bubbleSize>
        </c:ser>
        <c:ser>
          <c:idx val="8"/>
          <c:order val="8"/>
          <c:tx>
            <c:strRef>
              <c:f>'2022_Data'!$A$9</c:f>
            </c:strRef>
          </c:tx>
          <c:dLbls>
            <c:dLblPos val="ctr"/>
            <c:showLegendKey val="0"/>
            <c:showVal val="0"/>
            <c:showCatName val="0"/>
            <c:showSerName val="1"/>
            <c:showPercent val="0"/>
            <c:showBubbleSize val="0"/>
          </c:dLbls>
          <c:xVal>
            <c:strRef>
              <c:f>'2022_Data'!$F$9</c:f>
            </c:strRef>
          </c:xVal>
          <c:yVal>
            <c:numRef>
              <c:f>'2022_Data'!$E$9</c:f>
              <c:numCache/>
            </c:numRef>
          </c:yVal>
          <c:bubbleSize>
            <c:numRef>
              <c:f>'2022_Data'!$G$9</c:f>
            </c:numRef>
          </c:bubbleSize>
        </c:ser>
        <c:ser>
          <c:idx val="9"/>
          <c:order val="9"/>
          <c:tx>
            <c:strRef>
              <c:f>'2022_Data'!$A$10</c:f>
            </c:strRef>
          </c:tx>
          <c:dLbls>
            <c:dLblPos val="ctr"/>
            <c:showLegendKey val="0"/>
            <c:showVal val="0"/>
            <c:showCatName val="0"/>
            <c:showSerName val="1"/>
            <c:showPercent val="0"/>
            <c:showBubbleSize val="0"/>
          </c:dLbls>
          <c:xVal>
            <c:strRef>
              <c:f>'2022_Data'!$F$10</c:f>
            </c:strRef>
          </c:xVal>
          <c:yVal>
            <c:numRef>
              <c:f>'2022_Data'!$E$10</c:f>
              <c:numCache/>
            </c:numRef>
          </c:yVal>
          <c:bubbleSize>
            <c:numRef>
              <c:f>'2022_Data'!$G$10</c:f>
            </c:numRef>
          </c:bubbleSize>
        </c:ser>
        <c:ser>
          <c:idx val="10"/>
          <c:order val="10"/>
          <c:tx>
            <c:strRef>
              <c:f>'2022_Data'!$A$11</c:f>
            </c:strRef>
          </c:tx>
          <c:dLbls>
            <c:dLblPos val="ctr"/>
            <c:showLegendKey val="0"/>
            <c:showVal val="0"/>
            <c:showCatName val="0"/>
            <c:showSerName val="1"/>
            <c:showPercent val="0"/>
            <c:showBubbleSize val="0"/>
          </c:dLbls>
          <c:xVal>
            <c:strRef>
              <c:f>'2022_Data'!$F$11</c:f>
            </c:strRef>
          </c:xVal>
          <c:yVal>
            <c:numRef>
              <c:f>'2022_Data'!$E$11</c:f>
              <c:numCache/>
            </c:numRef>
          </c:yVal>
          <c:bubbleSize>
            <c:numRef>
              <c:f>'2022_Data'!$G$11</c:f>
            </c:numRef>
          </c:bubbleSize>
        </c:ser>
        <c:ser>
          <c:idx val="11"/>
          <c:order val="11"/>
          <c:tx>
            <c:strRef>
              <c:f>'2022_Data'!$A$12</c:f>
            </c:strRef>
          </c:tx>
          <c:dLbls>
            <c:dLblPos val="ctr"/>
            <c:showLegendKey val="0"/>
            <c:showVal val="0"/>
            <c:showCatName val="0"/>
            <c:showSerName val="1"/>
            <c:showPercent val="0"/>
            <c:showBubbleSize val="0"/>
          </c:dLbls>
          <c:xVal>
            <c:strRef>
              <c:f>'2022_Data'!$F$12</c:f>
            </c:strRef>
          </c:xVal>
          <c:yVal>
            <c:numRef>
              <c:f>'2022_Data'!$E$12</c:f>
              <c:numCache/>
            </c:numRef>
          </c:yVal>
          <c:bubbleSize>
            <c:numRef>
              <c:f>'2022_Data'!$G$12</c:f>
            </c:numRef>
          </c:bubbleSize>
        </c:ser>
        <c:ser>
          <c:idx val="12"/>
          <c:order val="12"/>
          <c:tx>
            <c:strRef>
              <c:f>'2022_Data'!$A$13</c:f>
            </c:strRef>
          </c:tx>
          <c:dLbls>
            <c:dLblPos val="ctr"/>
            <c:showLegendKey val="0"/>
            <c:showVal val="0"/>
            <c:showCatName val="0"/>
            <c:showSerName val="1"/>
            <c:showPercent val="0"/>
            <c:showBubbleSize val="0"/>
          </c:dLbls>
          <c:xVal>
            <c:strRef>
              <c:f>'2022_Data'!$F$13</c:f>
            </c:strRef>
          </c:xVal>
          <c:yVal>
            <c:numRef>
              <c:f>'2022_Data'!$E$13</c:f>
              <c:numCache/>
            </c:numRef>
          </c:yVal>
          <c:bubbleSize>
            <c:numRef>
              <c:f>'2022_Data'!$G$13</c:f>
            </c:numRef>
          </c:bubbleSize>
        </c:ser>
        <c:ser>
          <c:idx val="13"/>
          <c:order val="13"/>
          <c:tx>
            <c:strRef>
              <c:f>'2022_Data'!$A$14</c:f>
            </c:strRef>
          </c:tx>
          <c:dLbls>
            <c:dLblPos val="ctr"/>
            <c:showLegendKey val="0"/>
            <c:showVal val="0"/>
            <c:showCatName val="0"/>
            <c:showSerName val="1"/>
            <c:showPercent val="0"/>
            <c:showBubbleSize val="0"/>
          </c:dLbls>
          <c:xVal>
            <c:strRef>
              <c:f>'2022_Data'!$F$14</c:f>
            </c:strRef>
          </c:xVal>
          <c:yVal>
            <c:numRef>
              <c:f>'2022_Data'!$E$14</c:f>
              <c:numCache/>
            </c:numRef>
          </c:yVal>
          <c:bubbleSize>
            <c:numRef>
              <c:f>'2022_Data'!$G$14</c:f>
            </c:numRef>
          </c:bubbleSize>
        </c:ser>
        <c:ser>
          <c:idx val="14"/>
          <c:order val="14"/>
          <c:tx>
            <c:strRef>
              <c:f>'2022_Data'!$A$15</c:f>
            </c:strRef>
          </c:tx>
          <c:dLbls>
            <c:dLblPos val="ctr"/>
            <c:showLegendKey val="0"/>
            <c:showVal val="0"/>
            <c:showCatName val="0"/>
            <c:showSerName val="1"/>
            <c:showPercent val="0"/>
            <c:showBubbleSize val="0"/>
          </c:dLbls>
          <c:xVal>
            <c:strRef>
              <c:f>'2022_Data'!$F$15</c:f>
            </c:strRef>
          </c:xVal>
          <c:yVal>
            <c:numRef>
              <c:f>'2022_Data'!$E$15</c:f>
              <c:numCache/>
            </c:numRef>
          </c:yVal>
          <c:bubbleSize>
            <c:numRef>
              <c:f>'2022_Data'!$G$15</c:f>
            </c:numRef>
          </c:bubbleSize>
        </c:ser>
        <c:ser>
          <c:idx val="15"/>
          <c:order val="15"/>
          <c:tx>
            <c:strRef>
              <c:f>'2022_Data'!$A$16</c:f>
            </c:strRef>
          </c:tx>
          <c:dLbls>
            <c:dLblPos val="ctr"/>
            <c:showLegendKey val="0"/>
            <c:showVal val="0"/>
            <c:showCatName val="0"/>
            <c:showSerName val="1"/>
            <c:showPercent val="0"/>
            <c:showBubbleSize val="0"/>
          </c:dLbls>
          <c:xVal>
            <c:strRef>
              <c:f>'2022_Data'!$F$16</c:f>
            </c:strRef>
          </c:xVal>
          <c:yVal>
            <c:numRef>
              <c:f>'2022_Data'!$E$16</c:f>
              <c:numCache/>
            </c:numRef>
          </c:yVal>
          <c:bubbleSize>
            <c:numRef>
              <c:f>'2022_Data'!$G$16</c:f>
            </c:numRef>
          </c:bubbleSize>
        </c:ser>
        <c:ser>
          <c:idx val="16"/>
          <c:order val="16"/>
          <c:tx>
            <c:strRef>
              <c:f>'2022_Data'!$A$17</c:f>
            </c:strRef>
          </c:tx>
          <c:dLbls>
            <c:dLblPos val="ctr"/>
            <c:showLegendKey val="0"/>
            <c:showVal val="0"/>
            <c:showCatName val="0"/>
            <c:showSerName val="1"/>
            <c:showPercent val="0"/>
            <c:showBubbleSize val="0"/>
          </c:dLbls>
          <c:xVal>
            <c:strRef>
              <c:f>'2022_Data'!$F$17</c:f>
            </c:strRef>
          </c:xVal>
          <c:yVal>
            <c:numRef>
              <c:f>'2022_Data'!$E$17</c:f>
              <c:numCache/>
            </c:numRef>
          </c:yVal>
          <c:bubbleSize>
            <c:numRef>
              <c:f>'2022_Data'!$G$17</c:f>
            </c:numRef>
          </c:bubbleSize>
        </c:ser>
        <c:ser>
          <c:idx val="17"/>
          <c:order val="17"/>
          <c:tx>
            <c:strRef>
              <c:f>'2022_Data'!$A$18</c:f>
            </c:strRef>
          </c:tx>
          <c:dLbls>
            <c:dLblPos val="ctr"/>
            <c:showLegendKey val="0"/>
            <c:showVal val="0"/>
            <c:showCatName val="0"/>
            <c:showSerName val="1"/>
            <c:showPercent val="0"/>
            <c:showBubbleSize val="0"/>
          </c:dLbls>
          <c:xVal>
            <c:strRef>
              <c:f>'2022_Data'!$F$18</c:f>
            </c:strRef>
          </c:xVal>
          <c:yVal>
            <c:numRef>
              <c:f>'2022_Data'!$E$18</c:f>
              <c:numCache/>
            </c:numRef>
          </c:yVal>
          <c:bubbleSize>
            <c:numRef>
              <c:f>'2022_Data'!$G$18</c:f>
            </c:numRef>
          </c:bubbleSize>
        </c:ser>
        <c:ser>
          <c:idx val="18"/>
          <c:order val="18"/>
          <c:tx>
            <c:strRef>
              <c:f>'2022_Data'!$A$19</c:f>
            </c:strRef>
          </c:tx>
          <c:dLbls>
            <c:dLblPos val="ctr"/>
            <c:showLegendKey val="0"/>
            <c:showVal val="0"/>
            <c:showCatName val="0"/>
            <c:showSerName val="1"/>
            <c:showPercent val="0"/>
            <c:showBubbleSize val="0"/>
          </c:dLbls>
          <c:xVal>
            <c:strRef>
              <c:f>'2022_Data'!$F$19</c:f>
            </c:strRef>
          </c:xVal>
          <c:yVal>
            <c:numRef>
              <c:f>'2022_Data'!$E$19</c:f>
              <c:numCache/>
            </c:numRef>
          </c:yVal>
          <c:bubbleSize>
            <c:numRef>
              <c:f>'2022_Data'!$G$19</c:f>
            </c:numRef>
          </c:bubbleSize>
        </c:ser>
        <c:ser>
          <c:idx val="19"/>
          <c:order val="19"/>
          <c:tx>
            <c:strRef>
              <c:f>'2022_Data'!$A$20</c:f>
            </c:strRef>
          </c:tx>
          <c:dLbls>
            <c:dLblPos val="ctr"/>
            <c:showLegendKey val="0"/>
            <c:showVal val="0"/>
            <c:showCatName val="0"/>
            <c:showSerName val="1"/>
            <c:showPercent val="0"/>
            <c:showBubbleSize val="0"/>
          </c:dLbls>
          <c:xVal>
            <c:strRef>
              <c:f>'2022_Data'!$F$20</c:f>
            </c:strRef>
          </c:xVal>
          <c:yVal>
            <c:numRef>
              <c:f>'2022_Data'!$E$20</c:f>
              <c:numCache/>
            </c:numRef>
          </c:yVal>
          <c:bubbleSize>
            <c:numRef>
              <c:f>'2022_Data'!$G$20</c:f>
            </c:numRef>
          </c:bubbleSize>
        </c:ser>
        <c:ser>
          <c:idx val="20"/>
          <c:order val="20"/>
          <c:tx>
            <c:strRef>
              <c:f>'2022_Data'!$A$21</c:f>
            </c:strRef>
          </c:tx>
          <c:dLbls>
            <c:dLblPos val="ctr"/>
            <c:showLegendKey val="0"/>
            <c:showVal val="0"/>
            <c:showCatName val="0"/>
            <c:showSerName val="1"/>
            <c:showPercent val="0"/>
            <c:showBubbleSize val="0"/>
          </c:dLbls>
          <c:xVal>
            <c:strRef>
              <c:f>'2022_Data'!$F$21</c:f>
            </c:strRef>
          </c:xVal>
          <c:yVal>
            <c:numRef>
              <c:f>'2022_Data'!$E$21</c:f>
              <c:numCache/>
            </c:numRef>
          </c:yVal>
          <c:bubbleSize>
            <c:numRef>
              <c:f>'2022_Data'!$G$21</c:f>
            </c:numRef>
          </c:bubbleSize>
        </c:ser>
        <c:ser>
          <c:idx val="21"/>
          <c:order val="21"/>
          <c:tx>
            <c:strRef>
              <c:f>'2022_Data'!$A$22</c:f>
            </c:strRef>
          </c:tx>
          <c:dLbls>
            <c:dLblPos val="ctr"/>
            <c:showLegendKey val="0"/>
            <c:showVal val="0"/>
            <c:showCatName val="0"/>
            <c:showSerName val="1"/>
            <c:showPercent val="0"/>
            <c:showBubbleSize val="0"/>
          </c:dLbls>
          <c:xVal>
            <c:strRef>
              <c:f>'2022_Data'!$F$22</c:f>
            </c:strRef>
          </c:xVal>
          <c:yVal>
            <c:numRef>
              <c:f>'2022_Data'!$E$22</c:f>
              <c:numCache/>
            </c:numRef>
          </c:yVal>
          <c:bubbleSize>
            <c:numRef>
              <c:f>'2022_Data'!$G$22</c:f>
            </c:numRef>
          </c:bubbleSize>
        </c:ser>
        <c:ser>
          <c:idx val="22"/>
          <c:order val="22"/>
          <c:tx>
            <c:strRef>
              <c:f>'2022_Data'!$A$23</c:f>
            </c:strRef>
          </c:tx>
          <c:dLbls>
            <c:dLblPos val="ctr"/>
            <c:showLegendKey val="0"/>
            <c:showVal val="0"/>
            <c:showCatName val="0"/>
            <c:showSerName val="1"/>
            <c:showPercent val="0"/>
            <c:showBubbleSize val="0"/>
          </c:dLbls>
          <c:xVal>
            <c:strRef>
              <c:f>'2022_Data'!$F$23</c:f>
            </c:strRef>
          </c:xVal>
          <c:yVal>
            <c:numRef>
              <c:f>'2022_Data'!$E$23</c:f>
              <c:numCache/>
            </c:numRef>
          </c:yVal>
          <c:bubbleSize>
            <c:numRef>
              <c:f>'2022_Data'!$G$23</c:f>
            </c:numRef>
          </c:bubbleSize>
        </c:ser>
        <c:ser>
          <c:idx val="23"/>
          <c:order val="23"/>
          <c:tx>
            <c:strRef>
              <c:f>'2022_Data'!$A$24</c:f>
            </c:strRef>
          </c:tx>
          <c:dLbls>
            <c:dLblPos val="ctr"/>
            <c:showLegendKey val="0"/>
            <c:showVal val="0"/>
            <c:showCatName val="0"/>
            <c:showSerName val="1"/>
            <c:showPercent val="0"/>
            <c:showBubbleSize val="0"/>
          </c:dLbls>
          <c:xVal>
            <c:strRef>
              <c:f>'2022_Data'!$F$24</c:f>
            </c:strRef>
          </c:xVal>
          <c:yVal>
            <c:numRef>
              <c:f>'2022_Data'!$E$24</c:f>
              <c:numCache/>
            </c:numRef>
          </c:yVal>
          <c:bubbleSize>
            <c:numRef>
              <c:f>'2022_Data'!$G$24</c:f>
            </c:numRef>
          </c:bubbleSize>
        </c:ser>
        <c:ser>
          <c:idx val="24"/>
          <c:order val="24"/>
          <c:tx>
            <c:strRef>
              <c:f>'2022_Data'!$A$25</c:f>
            </c:strRef>
          </c:tx>
          <c:dLbls>
            <c:dLblPos val="ctr"/>
            <c:showLegendKey val="0"/>
            <c:showVal val="0"/>
            <c:showCatName val="0"/>
            <c:showSerName val="1"/>
            <c:showPercent val="0"/>
            <c:showBubbleSize val="0"/>
          </c:dLbls>
          <c:xVal>
            <c:strRef>
              <c:f>'2022_Data'!$F$25</c:f>
            </c:strRef>
          </c:xVal>
          <c:yVal>
            <c:numRef>
              <c:f>'2022_Data'!$E$25</c:f>
              <c:numCache/>
            </c:numRef>
          </c:yVal>
          <c:bubbleSize>
            <c:numRef>
              <c:f>'2022_Data'!$G$25</c:f>
            </c:numRef>
          </c:bubbleSize>
        </c:ser>
        <c:ser>
          <c:idx val="25"/>
          <c:order val="25"/>
          <c:tx>
            <c:strRef>
              <c:f>'2022_Data'!$A$26</c:f>
            </c:strRef>
          </c:tx>
          <c:dLbls>
            <c:dLblPos val="ctr"/>
            <c:showLegendKey val="0"/>
            <c:showVal val="0"/>
            <c:showCatName val="0"/>
            <c:showSerName val="1"/>
            <c:showPercent val="0"/>
            <c:showBubbleSize val="0"/>
          </c:dLbls>
          <c:xVal>
            <c:strRef>
              <c:f>'2022_Data'!$F$26</c:f>
            </c:strRef>
          </c:xVal>
          <c:yVal>
            <c:numRef>
              <c:f>'2022_Data'!$E$26</c:f>
              <c:numCache/>
            </c:numRef>
          </c:yVal>
          <c:bubbleSize>
            <c:numRef>
              <c:f>'2022_Data'!$G$26</c:f>
            </c:numRef>
          </c:bubbleSize>
        </c:ser>
        <c:ser>
          <c:idx val="26"/>
          <c:order val="26"/>
          <c:tx>
            <c:strRef>
              <c:f>'2022_Data'!$A$27</c:f>
            </c:strRef>
          </c:tx>
          <c:dLbls>
            <c:dLblPos val="ctr"/>
            <c:showLegendKey val="0"/>
            <c:showVal val="0"/>
            <c:showCatName val="0"/>
            <c:showSerName val="1"/>
            <c:showPercent val="0"/>
            <c:showBubbleSize val="0"/>
          </c:dLbls>
          <c:xVal>
            <c:strRef>
              <c:f>'2022_Data'!$F$27</c:f>
            </c:strRef>
          </c:xVal>
          <c:yVal>
            <c:numRef>
              <c:f>'2022_Data'!$E$27</c:f>
              <c:numCache/>
            </c:numRef>
          </c:yVal>
          <c:bubbleSize>
            <c:numRef>
              <c:f>'2022_Data'!$G$27</c:f>
            </c:numRef>
          </c:bubbleSize>
        </c:ser>
        <c:ser>
          <c:idx val="27"/>
          <c:order val="27"/>
          <c:tx>
            <c:strRef>
              <c:f>'2022_Data'!$A$28</c:f>
            </c:strRef>
          </c:tx>
          <c:dLbls>
            <c:dLblPos val="ctr"/>
            <c:showLegendKey val="0"/>
            <c:showVal val="0"/>
            <c:showCatName val="0"/>
            <c:showSerName val="1"/>
            <c:showPercent val="0"/>
            <c:showBubbleSize val="0"/>
          </c:dLbls>
          <c:xVal>
            <c:strRef>
              <c:f>'2022_Data'!$F$28</c:f>
            </c:strRef>
          </c:xVal>
          <c:yVal>
            <c:numRef>
              <c:f>'2022_Data'!$E$28</c:f>
              <c:numCache/>
            </c:numRef>
          </c:yVal>
          <c:bubbleSize>
            <c:numRef>
              <c:f>'2022_Data'!$G$28</c:f>
            </c:numRef>
          </c:bubbleSize>
        </c:ser>
        <c:ser>
          <c:idx val="28"/>
          <c:order val="28"/>
          <c:tx>
            <c:strRef>
              <c:f>'2022_Data'!$A$29</c:f>
            </c:strRef>
          </c:tx>
          <c:dLbls>
            <c:dLblPos val="ctr"/>
            <c:showLegendKey val="0"/>
            <c:showVal val="0"/>
            <c:showCatName val="0"/>
            <c:showSerName val="1"/>
            <c:showPercent val="0"/>
            <c:showBubbleSize val="0"/>
          </c:dLbls>
          <c:xVal>
            <c:strRef>
              <c:f>'2022_Data'!$F$29</c:f>
            </c:strRef>
          </c:xVal>
          <c:yVal>
            <c:numRef>
              <c:f>'2022_Data'!$E$29</c:f>
              <c:numCache/>
            </c:numRef>
          </c:yVal>
          <c:bubbleSize>
            <c:numRef>
              <c:f>'2022_Data'!$G$29</c:f>
            </c:numRef>
          </c:bubbleSize>
        </c:ser>
        <c:ser>
          <c:idx val="29"/>
          <c:order val="29"/>
          <c:tx>
            <c:strRef>
              <c:f>'2022_Data'!$A$30</c:f>
            </c:strRef>
          </c:tx>
          <c:dLbls>
            <c:dLblPos val="ctr"/>
            <c:showLegendKey val="0"/>
            <c:showVal val="0"/>
            <c:showCatName val="0"/>
            <c:showSerName val="1"/>
            <c:showPercent val="0"/>
            <c:showBubbleSize val="0"/>
          </c:dLbls>
          <c:xVal>
            <c:strRef>
              <c:f>'2022_Data'!$F$30</c:f>
            </c:strRef>
          </c:xVal>
          <c:yVal>
            <c:numRef>
              <c:f>'2022_Data'!$E$30</c:f>
              <c:numCache/>
            </c:numRef>
          </c:yVal>
          <c:bubbleSize>
            <c:numRef>
              <c:f>'2022_Data'!$G$30</c:f>
            </c:numRef>
          </c:bubbleSize>
        </c:ser>
        <c:ser>
          <c:idx val="30"/>
          <c:order val="30"/>
          <c:tx>
            <c:strRef>
              <c:f>'2022_Data'!$A$31</c:f>
            </c:strRef>
          </c:tx>
          <c:dLbls>
            <c:dLblPos val="ctr"/>
            <c:showLegendKey val="0"/>
            <c:showVal val="0"/>
            <c:showCatName val="0"/>
            <c:showSerName val="1"/>
            <c:showPercent val="0"/>
            <c:showBubbleSize val="0"/>
          </c:dLbls>
          <c:xVal>
            <c:strRef>
              <c:f>'2022_Data'!$F$31</c:f>
            </c:strRef>
          </c:xVal>
          <c:yVal>
            <c:numRef>
              <c:f>'2022_Data'!$E$31</c:f>
              <c:numCache/>
            </c:numRef>
          </c:yVal>
          <c:bubbleSize>
            <c:numRef>
              <c:f>'2022_Data'!$G$31</c:f>
            </c:numRef>
          </c:bubbleSize>
        </c:ser>
        <c:ser>
          <c:idx val="31"/>
          <c:order val="31"/>
          <c:tx>
            <c:strRef>
              <c:f>'2022_Data'!$A$32</c:f>
            </c:strRef>
          </c:tx>
          <c:dLbls>
            <c:dLblPos val="ctr"/>
            <c:showLegendKey val="0"/>
            <c:showVal val="0"/>
            <c:showCatName val="0"/>
            <c:showSerName val="1"/>
            <c:showPercent val="0"/>
            <c:showBubbleSize val="0"/>
          </c:dLbls>
          <c:xVal>
            <c:strRef>
              <c:f>'2022_Data'!$F$32</c:f>
            </c:strRef>
          </c:xVal>
          <c:yVal>
            <c:numRef>
              <c:f>'2022_Data'!$E$32</c:f>
              <c:numCache/>
            </c:numRef>
          </c:yVal>
          <c:bubbleSize>
            <c:numRef>
              <c:f>'2022_Data'!$G$32</c:f>
            </c:numRef>
          </c:bubbleSize>
        </c:ser>
        <c:ser>
          <c:idx val="32"/>
          <c:order val="32"/>
          <c:tx>
            <c:strRef>
              <c:f>'2022_Data'!$A$33</c:f>
            </c:strRef>
          </c:tx>
          <c:dLbls>
            <c:dLblPos val="ctr"/>
            <c:showLegendKey val="0"/>
            <c:showVal val="0"/>
            <c:showCatName val="0"/>
            <c:showSerName val="1"/>
            <c:showPercent val="0"/>
            <c:showBubbleSize val="0"/>
          </c:dLbls>
          <c:xVal>
            <c:strRef>
              <c:f>'2022_Data'!$F$33</c:f>
            </c:strRef>
          </c:xVal>
          <c:yVal>
            <c:numRef>
              <c:f>'2022_Data'!$E$33</c:f>
              <c:numCache/>
            </c:numRef>
          </c:yVal>
          <c:bubbleSize>
            <c:numRef>
              <c:f>'2022_Data'!$G$33</c:f>
            </c:numRef>
          </c:bubbleSize>
        </c:ser>
        <c:ser>
          <c:idx val="33"/>
          <c:order val="33"/>
          <c:tx>
            <c:strRef>
              <c:f>'2022_Data'!$A$34</c:f>
            </c:strRef>
          </c:tx>
          <c:dLbls>
            <c:dLblPos val="ctr"/>
            <c:showLegendKey val="0"/>
            <c:showVal val="0"/>
            <c:showCatName val="0"/>
            <c:showSerName val="1"/>
            <c:showPercent val="0"/>
            <c:showBubbleSize val="0"/>
          </c:dLbls>
          <c:xVal>
            <c:strRef>
              <c:f>'2022_Data'!$F$34</c:f>
            </c:strRef>
          </c:xVal>
          <c:yVal>
            <c:numRef>
              <c:f>'2022_Data'!$E$34</c:f>
              <c:numCache/>
            </c:numRef>
          </c:yVal>
          <c:bubbleSize>
            <c:numRef>
              <c:f>'2022_Data'!$G$34</c:f>
            </c:numRef>
          </c:bubbleSize>
        </c:ser>
        <c:ser>
          <c:idx val="34"/>
          <c:order val="34"/>
          <c:tx>
            <c:strRef>
              <c:f>'2022_Data'!$A$35</c:f>
            </c:strRef>
          </c:tx>
          <c:dLbls>
            <c:dLblPos val="ctr"/>
            <c:showLegendKey val="0"/>
            <c:showVal val="0"/>
            <c:showCatName val="0"/>
            <c:showSerName val="1"/>
            <c:showPercent val="0"/>
            <c:showBubbleSize val="0"/>
          </c:dLbls>
          <c:xVal>
            <c:strRef>
              <c:f>'2022_Data'!$F$35</c:f>
            </c:strRef>
          </c:xVal>
          <c:yVal>
            <c:numRef>
              <c:f>'2022_Data'!$E$35</c:f>
              <c:numCache/>
            </c:numRef>
          </c:yVal>
          <c:bubbleSize>
            <c:numRef>
              <c:f>'2022_Data'!$G$35</c:f>
            </c:numRef>
          </c:bubbleSize>
        </c:ser>
        <c:ser>
          <c:idx val="35"/>
          <c:order val="35"/>
          <c:tx>
            <c:strRef>
              <c:f>'2022_Data'!$A$36</c:f>
            </c:strRef>
          </c:tx>
          <c:dLbls>
            <c:dLblPos val="ctr"/>
            <c:showLegendKey val="0"/>
            <c:showVal val="0"/>
            <c:showCatName val="0"/>
            <c:showSerName val="1"/>
            <c:showPercent val="0"/>
            <c:showBubbleSize val="0"/>
          </c:dLbls>
          <c:xVal>
            <c:strRef>
              <c:f>'2022_Data'!$F$36</c:f>
            </c:strRef>
          </c:xVal>
          <c:yVal>
            <c:numRef>
              <c:f>'2022_Data'!$E$36</c:f>
              <c:numCache/>
            </c:numRef>
          </c:yVal>
          <c:bubbleSize>
            <c:numRef>
              <c:f>'2022_Data'!$G$36</c:f>
            </c:numRef>
          </c:bubbleSize>
        </c:ser>
        <c:ser>
          <c:idx val="36"/>
          <c:order val="36"/>
          <c:tx>
            <c:strRef>
              <c:f>'2022_Data'!$A$37</c:f>
            </c:strRef>
          </c:tx>
          <c:dLbls>
            <c:dLblPos val="ctr"/>
            <c:showLegendKey val="0"/>
            <c:showVal val="0"/>
            <c:showCatName val="0"/>
            <c:showSerName val="1"/>
            <c:showPercent val="0"/>
            <c:showBubbleSize val="0"/>
          </c:dLbls>
          <c:xVal>
            <c:strRef>
              <c:f>'2022_Data'!$F$37</c:f>
            </c:strRef>
          </c:xVal>
          <c:yVal>
            <c:numRef>
              <c:f>'2022_Data'!$E$37</c:f>
              <c:numCache/>
            </c:numRef>
          </c:yVal>
          <c:bubbleSize>
            <c:numRef>
              <c:f>'2022_Data'!$G$37</c:f>
            </c:numRef>
          </c:bubbleSize>
        </c:ser>
        <c:ser>
          <c:idx val="37"/>
          <c:order val="37"/>
          <c:tx>
            <c:strRef>
              <c:f>'2022_Data'!$A$38</c:f>
            </c:strRef>
          </c:tx>
          <c:dLbls>
            <c:dLblPos val="ctr"/>
            <c:showLegendKey val="0"/>
            <c:showVal val="0"/>
            <c:showCatName val="0"/>
            <c:showSerName val="1"/>
            <c:showPercent val="0"/>
            <c:showBubbleSize val="0"/>
          </c:dLbls>
          <c:xVal>
            <c:strRef>
              <c:f>'2022_Data'!$F$38</c:f>
            </c:strRef>
          </c:xVal>
          <c:yVal>
            <c:numRef>
              <c:f>'2022_Data'!$E$38</c:f>
              <c:numCache/>
            </c:numRef>
          </c:yVal>
          <c:bubbleSize>
            <c:numRef>
              <c:f>'2022_Data'!$G$38</c:f>
            </c:numRef>
          </c:bubbleSize>
        </c:ser>
        <c:ser>
          <c:idx val="38"/>
          <c:order val="38"/>
          <c:tx>
            <c:strRef>
              <c:f>'2022_Data'!$A$39</c:f>
            </c:strRef>
          </c:tx>
          <c:dLbls>
            <c:dLblPos val="ctr"/>
            <c:showLegendKey val="0"/>
            <c:showVal val="0"/>
            <c:showCatName val="0"/>
            <c:showSerName val="1"/>
            <c:showPercent val="0"/>
            <c:showBubbleSize val="0"/>
          </c:dLbls>
          <c:xVal>
            <c:strRef>
              <c:f>'2022_Data'!$F$39</c:f>
            </c:strRef>
          </c:xVal>
          <c:yVal>
            <c:numRef>
              <c:f>'2022_Data'!$E$39</c:f>
              <c:numCache/>
            </c:numRef>
          </c:yVal>
          <c:bubbleSize>
            <c:numRef>
              <c:f>'2022_Data'!$G$39</c:f>
            </c:numRef>
          </c:bubbleSize>
        </c:ser>
        <c:ser>
          <c:idx val="39"/>
          <c:order val="39"/>
          <c:tx>
            <c:strRef>
              <c:f>'2022_Data'!$A$40</c:f>
            </c:strRef>
          </c:tx>
          <c:dLbls>
            <c:dLblPos val="ctr"/>
            <c:showLegendKey val="0"/>
            <c:showVal val="0"/>
            <c:showCatName val="0"/>
            <c:showSerName val="1"/>
            <c:showPercent val="0"/>
            <c:showBubbleSize val="0"/>
          </c:dLbls>
          <c:xVal>
            <c:strRef>
              <c:f>'2022_Data'!$F$40</c:f>
            </c:strRef>
          </c:xVal>
          <c:yVal>
            <c:numRef>
              <c:f>'2022_Data'!$E$40</c:f>
              <c:numCache/>
            </c:numRef>
          </c:yVal>
          <c:bubbleSize>
            <c:numRef>
              <c:f>'2022_Data'!$G$40</c:f>
            </c:numRef>
          </c:bubbleSize>
        </c:ser>
        <c:ser>
          <c:idx val="40"/>
          <c:order val="40"/>
          <c:tx>
            <c:strRef>
              <c:f>'2022_Data'!$A$41</c:f>
            </c:strRef>
          </c:tx>
          <c:dLbls>
            <c:dLblPos val="ctr"/>
            <c:showLegendKey val="0"/>
            <c:showVal val="0"/>
            <c:showCatName val="0"/>
            <c:showSerName val="1"/>
            <c:showPercent val="0"/>
            <c:showBubbleSize val="0"/>
          </c:dLbls>
          <c:xVal>
            <c:strRef>
              <c:f>'2022_Data'!$F$41</c:f>
            </c:strRef>
          </c:xVal>
          <c:yVal>
            <c:numRef>
              <c:f>'2022_Data'!$E$41</c:f>
              <c:numCache/>
            </c:numRef>
          </c:yVal>
          <c:bubbleSize>
            <c:numRef>
              <c:f>'2022_Data'!$G$41</c:f>
            </c:numRef>
          </c:bubbleSize>
        </c:ser>
        <c:ser>
          <c:idx val="41"/>
          <c:order val="41"/>
          <c:tx>
            <c:strRef>
              <c:f>'2022_Data'!$A$42</c:f>
            </c:strRef>
          </c:tx>
          <c:dLbls>
            <c:dLblPos val="ctr"/>
            <c:showLegendKey val="0"/>
            <c:showVal val="0"/>
            <c:showCatName val="0"/>
            <c:showSerName val="1"/>
            <c:showPercent val="0"/>
            <c:showBubbleSize val="0"/>
          </c:dLbls>
          <c:xVal>
            <c:strRef>
              <c:f>'2022_Data'!$F$42</c:f>
            </c:strRef>
          </c:xVal>
          <c:yVal>
            <c:numRef>
              <c:f>'2022_Data'!$E$42</c:f>
              <c:numCache/>
            </c:numRef>
          </c:yVal>
          <c:bubbleSize>
            <c:numRef>
              <c:f>'2022_Data'!$G$42</c:f>
            </c:numRef>
          </c:bubbleSize>
        </c:ser>
        <c:ser>
          <c:idx val="42"/>
          <c:order val="42"/>
          <c:tx>
            <c:strRef>
              <c:f>'2022_Data'!$A$43</c:f>
            </c:strRef>
          </c:tx>
          <c:dLbls>
            <c:dLblPos val="ctr"/>
            <c:showLegendKey val="0"/>
            <c:showVal val="0"/>
            <c:showCatName val="0"/>
            <c:showSerName val="1"/>
            <c:showPercent val="0"/>
            <c:showBubbleSize val="0"/>
          </c:dLbls>
          <c:xVal>
            <c:strRef>
              <c:f>'2022_Data'!$F$43</c:f>
            </c:strRef>
          </c:xVal>
          <c:yVal>
            <c:numRef>
              <c:f>'2022_Data'!$E$43</c:f>
              <c:numCache/>
            </c:numRef>
          </c:yVal>
          <c:bubbleSize>
            <c:numRef>
              <c:f>'2022_Data'!$G$43</c:f>
            </c:numRef>
          </c:bubbleSize>
        </c:ser>
        <c:ser>
          <c:idx val="43"/>
          <c:order val="43"/>
          <c:tx>
            <c:strRef>
              <c:f>'2022_Data'!$A$44</c:f>
            </c:strRef>
          </c:tx>
          <c:dLbls>
            <c:dLblPos val="ctr"/>
            <c:showLegendKey val="0"/>
            <c:showVal val="0"/>
            <c:showCatName val="0"/>
            <c:showSerName val="1"/>
            <c:showPercent val="0"/>
            <c:showBubbleSize val="0"/>
          </c:dLbls>
          <c:xVal>
            <c:strRef>
              <c:f>'2022_Data'!$F$44</c:f>
            </c:strRef>
          </c:xVal>
          <c:yVal>
            <c:numRef>
              <c:f>'2022_Data'!$E$44</c:f>
              <c:numCache/>
            </c:numRef>
          </c:yVal>
          <c:bubbleSize>
            <c:numRef>
              <c:f>'2022_Data'!$G$44</c:f>
            </c:numRef>
          </c:bubbleSize>
        </c:ser>
        <c:ser>
          <c:idx val="44"/>
          <c:order val="44"/>
          <c:tx>
            <c:strRef>
              <c:f>'2022_Data'!$A$45</c:f>
            </c:strRef>
          </c:tx>
          <c:dLbls>
            <c:dLblPos val="ctr"/>
            <c:showLegendKey val="0"/>
            <c:showVal val="0"/>
            <c:showCatName val="0"/>
            <c:showSerName val="1"/>
            <c:showPercent val="0"/>
            <c:showBubbleSize val="0"/>
          </c:dLbls>
          <c:xVal>
            <c:strRef>
              <c:f>'2022_Data'!$F$45</c:f>
            </c:strRef>
          </c:xVal>
          <c:yVal>
            <c:numRef>
              <c:f>'2022_Data'!$E$45</c:f>
              <c:numCache/>
            </c:numRef>
          </c:yVal>
          <c:bubbleSize>
            <c:numRef>
              <c:f>'2022_Data'!$G$45</c:f>
            </c:numRef>
          </c:bubbleSize>
        </c:ser>
        <c:ser>
          <c:idx val="45"/>
          <c:order val="45"/>
          <c:tx>
            <c:strRef>
              <c:f>'2022_Data'!$A$46</c:f>
            </c:strRef>
          </c:tx>
          <c:dLbls>
            <c:dLblPos val="ctr"/>
            <c:showLegendKey val="0"/>
            <c:showVal val="0"/>
            <c:showCatName val="0"/>
            <c:showSerName val="1"/>
            <c:showPercent val="0"/>
            <c:showBubbleSize val="0"/>
          </c:dLbls>
          <c:xVal>
            <c:strRef>
              <c:f>'2022_Data'!$F$46</c:f>
            </c:strRef>
          </c:xVal>
          <c:yVal>
            <c:numRef>
              <c:f>'2022_Data'!$E$46</c:f>
              <c:numCache/>
            </c:numRef>
          </c:yVal>
          <c:bubbleSize>
            <c:numRef>
              <c:f>'2022_Data'!$G$46</c:f>
            </c:numRef>
          </c:bubbleSize>
        </c:ser>
        <c:ser>
          <c:idx val="46"/>
          <c:order val="46"/>
          <c:tx>
            <c:strRef>
              <c:f>'2022_Data'!$A$47</c:f>
            </c:strRef>
          </c:tx>
          <c:dLbls>
            <c:dLblPos val="ctr"/>
            <c:showLegendKey val="0"/>
            <c:showVal val="0"/>
            <c:showCatName val="0"/>
            <c:showSerName val="1"/>
            <c:showPercent val="0"/>
            <c:showBubbleSize val="0"/>
          </c:dLbls>
          <c:xVal>
            <c:strRef>
              <c:f>'2022_Data'!$F$47</c:f>
            </c:strRef>
          </c:xVal>
          <c:yVal>
            <c:numRef>
              <c:f>'2022_Data'!$E$47</c:f>
              <c:numCache/>
            </c:numRef>
          </c:yVal>
          <c:bubbleSize>
            <c:numRef>
              <c:f>'2022_Data'!$G$47</c:f>
            </c:numRef>
          </c:bubbleSize>
        </c:ser>
        <c:ser>
          <c:idx val="47"/>
          <c:order val="47"/>
          <c:tx>
            <c:strRef>
              <c:f>'2022_Data'!$A$48</c:f>
            </c:strRef>
          </c:tx>
          <c:dLbls>
            <c:dLblPos val="ctr"/>
            <c:showLegendKey val="0"/>
            <c:showVal val="0"/>
            <c:showCatName val="0"/>
            <c:showSerName val="1"/>
            <c:showPercent val="0"/>
            <c:showBubbleSize val="0"/>
          </c:dLbls>
          <c:xVal>
            <c:strRef>
              <c:f>'2022_Data'!$F$48</c:f>
            </c:strRef>
          </c:xVal>
          <c:yVal>
            <c:numRef>
              <c:f>'2022_Data'!$E$48</c:f>
              <c:numCache/>
            </c:numRef>
          </c:yVal>
          <c:bubbleSize>
            <c:numRef>
              <c:f>'2022_Data'!$G$48</c:f>
            </c:numRef>
          </c:bubbleSize>
        </c:ser>
        <c:ser>
          <c:idx val="48"/>
          <c:order val="48"/>
          <c:tx>
            <c:strRef>
              <c:f>'2022_Data'!$A$49</c:f>
            </c:strRef>
          </c:tx>
          <c:dLbls>
            <c:dLblPos val="ctr"/>
            <c:showLegendKey val="0"/>
            <c:showVal val="0"/>
            <c:showCatName val="0"/>
            <c:showSerName val="1"/>
            <c:showPercent val="0"/>
            <c:showBubbleSize val="0"/>
          </c:dLbls>
          <c:xVal>
            <c:strRef>
              <c:f>'2022_Data'!$F$49</c:f>
            </c:strRef>
          </c:xVal>
          <c:yVal>
            <c:numRef>
              <c:f>'2022_Data'!$E$49</c:f>
              <c:numCache/>
            </c:numRef>
          </c:yVal>
          <c:bubbleSize>
            <c:numRef>
              <c:f>'2022_Data'!$G$49</c:f>
            </c:numRef>
          </c:bubbleSize>
        </c:ser>
        <c:ser>
          <c:idx val="49"/>
          <c:order val="49"/>
          <c:tx>
            <c:strRef>
              <c:f>'2022_Data'!$A$50</c:f>
            </c:strRef>
          </c:tx>
          <c:dLbls>
            <c:dLblPos val="ctr"/>
            <c:showLegendKey val="0"/>
            <c:showVal val="0"/>
            <c:showCatName val="0"/>
            <c:showSerName val="1"/>
            <c:showPercent val="0"/>
            <c:showBubbleSize val="0"/>
          </c:dLbls>
          <c:xVal>
            <c:strRef>
              <c:f>'2022_Data'!$F$50</c:f>
            </c:strRef>
          </c:xVal>
          <c:yVal>
            <c:numRef>
              <c:f>'2022_Data'!$E$50</c:f>
              <c:numCache/>
            </c:numRef>
          </c:yVal>
          <c:bubbleSize>
            <c:numRef>
              <c:f>'2022_Data'!$G$50</c:f>
            </c:numRef>
          </c:bubbleSize>
        </c:ser>
        <c:ser>
          <c:idx val="50"/>
          <c:order val="50"/>
          <c:tx>
            <c:strRef>
              <c:f>'2022_Data'!$A$51</c:f>
            </c:strRef>
          </c:tx>
          <c:dLbls>
            <c:dLblPos val="ctr"/>
            <c:showLegendKey val="0"/>
            <c:showVal val="0"/>
            <c:showCatName val="0"/>
            <c:showSerName val="1"/>
            <c:showPercent val="0"/>
            <c:showBubbleSize val="0"/>
          </c:dLbls>
          <c:xVal>
            <c:strRef>
              <c:f>'2022_Data'!$F$51</c:f>
            </c:strRef>
          </c:xVal>
          <c:yVal>
            <c:numRef>
              <c:f>'2022_Data'!$E$51</c:f>
              <c:numCache/>
            </c:numRef>
          </c:yVal>
          <c:bubbleSize>
            <c:numRef>
              <c:f>'2022_Data'!$G$51</c:f>
            </c:numRef>
          </c:bubbleSize>
        </c:ser>
        <c:ser>
          <c:idx val="51"/>
          <c:order val="51"/>
          <c:tx>
            <c:strRef>
              <c:f>'2022_Data'!$A$52</c:f>
            </c:strRef>
          </c:tx>
          <c:dLbls>
            <c:dLblPos val="ctr"/>
            <c:showLegendKey val="0"/>
            <c:showVal val="0"/>
            <c:showCatName val="0"/>
            <c:showSerName val="1"/>
            <c:showPercent val="0"/>
            <c:showBubbleSize val="0"/>
          </c:dLbls>
          <c:xVal>
            <c:strRef>
              <c:f>'2022_Data'!$F$52</c:f>
            </c:strRef>
          </c:xVal>
          <c:yVal>
            <c:numRef>
              <c:f>'2022_Data'!$E$52</c:f>
              <c:numCache/>
            </c:numRef>
          </c:yVal>
          <c:bubbleSize>
            <c:numRef>
              <c:f>'2022_Data'!$G$52</c:f>
            </c:numRef>
          </c:bubbleSize>
        </c:ser>
        <c:ser>
          <c:idx val="52"/>
          <c:order val="52"/>
          <c:tx>
            <c:strRef>
              <c:f>'2022_Data'!$A$53</c:f>
            </c:strRef>
          </c:tx>
          <c:dLbls>
            <c:dLblPos val="ctr"/>
            <c:showLegendKey val="0"/>
            <c:showVal val="0"/>
            <c:showCatName val="0"/>
            <c:showSerName val="1"/>
            <c:showPercent val="0"/>
            <c:showBubbleSize val="0"/>
          </c:dLbls>
          <c:xVal>
            <c:strRef>
              <c:f>'2022_Data'!$F$53</c:f>
            </c:strRef>
          </c:xVal>
          <c:yVal>
            <c:numRef>
              <c:f>'2022_Data'!$E$53</c:f>
              <c:numCache/>
            </c:numRef>
          </c:yVal>
          <c:bubbleSize>
            <c:numRef>
              <c:f>'2022_Data'!$G$53</c:f>
            </c:numRef>
          </c:bubbleSize>
        </c:ser>
        <c:ser>
          <c:idx val="53"/>
          <c:order val="53"/>
          <c:tx>
            <c:strRef>
              <c:f>'2022_Data'!$A$54</c:f>
            </c:strRef>
          </c:tx>
          <c:dLbls>
            <c:dLblPos val="ctr"/>
            <c:showLegendKey val="0"/>
            <c:showVal val="0"/>
            <c:showCatName val="0"/>
            <c:showSerName val="1"/>
            <c:showPercent val="0"/>
            <c:showBubbleSize val="0"/>
          </c:dLbls>
          <c:xVal>
            <c:strRef>
              <c:f>'2022_Data'!$F$54</c:f>
            </c:strRef>
          </c:xVal>
          <c:yVal>
            <c:numRef>
              <c:f>'2022_Data'!$E$54</c:f>
              <c:numCache/>
            </c:numRef>
          </c:yVal>
          <c:bubbleSize>
            <c:numRef>
              <c:f>'2022_Data'!$G$54</c:f>
            </c:numRef>
          </c:bubbleSize>
        </c:ser>
        <c:ser>
          <c:idx val="54"/>
          <c:order val="54"/>
          <c:tx>
            <c:strRef>
              <c:f>'2022_Data'!$A$55</c:f>
            </c:strRef>
          </c:tx>
          <c:dLbls>
            <c:dLblPos val="ctr"/>
            <c:showLegendKey val="0"/>
            <c:showVal val="0"/>
            <c:showCatName val="0"/>
            <c:showSerName val="1"/>
            <c:showPercent val="0"/>
            <c:showBubbleSize val="0"/>
          </c:dLbls>
          <c:xVal>
            <c:strRef>
              <c:f>'2022_Data'!$F$55</c:f>
            </c:strRef>
          </c:xVal>
          <c:yVal>
            <c:numRef>
              <c:f>'2022_Data'!$E$55</c:f>
              <c:numCache/>
            </c:numRef>
          </c:yVal>
          <c:bubbleSize>
            <c:numRef>
              <c:f>'2022_Data'!$G$55</c:f>
            </c:numRef>
          </c:bubbleSize>
        </c:ser>
        <c:ser>
          <c:idx val="55"/>
          <c:order val="55"/>
          <c:tx>
            <c:strRef>
              <c:f>'2022_Data'!$A$56</c:f>
            </c:strRef>
          </c:tx>
          <c:dLbls>
            <c:dLblPos val="ctr"/>
            <c:showLegendKey val="0"/>
            <c:showVal val="0"/>
            <c:showCatName val="0"/>
            <c:showSerName val="1"/>
            <c:showPercent val="0"/>
            <c:showBubbleSize val="0"/>
          </c:dLbls>
          <c:xVal>
            <c:strRef>
              <c:f>'2022_Data'!$F$56</c:f>
            </c:strRef>
          </c:xVal>
          <c:yVal>
            <c:numRef>
              <c:f>'2022_Data'!$E$56</c:f>
              <c:numCache/>
            </c:numRef>
          </c:yVal>
          <c:bubbleSize>
            <c:numRef>
              <c:f>'2022_Data'!$G$56</c:f>
            </c:numRef>
          </c:bubbleSize>
        </c:ser>
        <c:ser>
          <c:idx val="56"/>
          <c:order val="56"/>
          <c:tx>
            <c:strRef>
              <c:f>'2022_Data'!$A$57</c:f>
            </c:strRef>
          </c:tx>
          <c:dLbls>
            <c:dLblPos val="ctr"/>
            <c:showLegendKey val="0"/>
            <c:showVal val="0"/>
            <c:showCatName val="0"/>
            <c:showSerName val="1"/>
            <c:showPercent val="0"/>
            <c:showBubbleSize val="0"/>
          </c:dLbls>
          <c:xVal>
            <c:strRef>
              <c:f>'2022_Data'!$F$57</c:f>
            </c:strRef>
          </c:xVal>
          <c:yVal>
            <c:numRef>
              <c:f>'2022_Data'!$E$57</c:f>
              <c:numCache/>
            </c:numRef>
          </c:yVal>
          <c:bubbleSize>
            <c:numRef>
              <c:f>'2022_Data'!$G$57</c:f>
            </c:numRef>
          </c:bubbleSize>
        </c:ser>
        <c:ser>
          <c:idx val="57"/>
          <c:order val="57"/>
          <c:tx>
            <c:strRef>
              <c:f>'2022_Data'!$A$58</c:f>
            </c:strRef>
          </c:tx>
          <c:dLbls>
            <c:dLblPos val="ctr"/>
            <c:showLegendKey val="0"/>
            <c:showVal val="0"/>
            <c:showCatName val="0"/>
            <c:showSerName val="1"/>
            <c:showPercent val="0"/>
            <c:showBubbleSize val="0"/>
          </c:dLbls>
          <c:xVal>
            <c:strRef>
              <c:f>'2022_Data'!$F$58</c:f>
            </c:strRef>
          </c:xVal>
          <c:yVal>
            <c:numRef>
              <c:f>'2022_Data'!$E$58</c:f>
              <c:numCache/>
            </c:numRef>
          </c:yVal>
          <c:bubbleSize>
            <c:numRef>
              <c:f>'2022_Data'!$G$58</c:f>
            </c:numRef>
          </c:bubbleSize>
        </c:ser>
        <c:ser>
          <c:idx val="58"/>
          <c:order val="58"/>
          <c:tx>
            <c:strRef>
              <c:f>'2022_Data'!$A$59</c:f>
            </c:strRef>
          </c:tx>
          <c:dLbls>
            <c:dLblPos val="ctr"/>
            <c:showLegendKey val="0"/>
            <c:showVal val="0"/>
            <c:showCatName val="0"/>
            <c:showSerName val="1"/>
            <c:showPercent val="0"/>
            <c:showBubbleSize val="0"/>
          </c:dLbls>
          <c:xVal>
            <c:strRef>
              <c:f>'2022_Data'!$F$59</c:f>
            </c:strRef>
          </c:xVal>
          <c:yVal>
            <c:numRef>
              <c:f>'2022_Data'!$E$59</c:f>
              <c:numCache/>
            </c:numRef>
          </c:yVal>
          <c:bubbleSize>
            <c:numRef>
              <c:f>'2022_Data'!$G$59</c:f>
            </c:numRef>
          </c:bubbleSize>
        </c:ser>
        <c:ser>
          <c:idx val="59"/>
          <c:order val="59"/>
          <c:tx>
            <c:strRef>
              <c:f>'2022_Data'!$A$60</c:f>
            </c:strRef>
          </c:tx>
          <c:dLbls>
            <c:dLblPos val="ctr"/>
            <c:showLegendKey val="0"/>
            <c:showVal val="0"/>
            <c:showCatName val="0"/>
            <c:showSerName val="1"/>
            <c:showPercent val="0"/>
            <c:showBubbleSize val="0"/>
          </c:dLbls>
          <c:xVal>
            <c:strRef>
              <c:f>'2022_Data'!$F$60</c:f>
            </c:strRef>
          </c:xVal>
          <c:yVal>
            <c:numRef>
              <c:f>'2022_Data'!$E$60</c:f>
              <c:numCache/>
            </c:numRef>
          </c:yVal>
          <c:bubbleSize>
            <c:numRef>
              <c:f>'2022_Data'!$G$60</c:f>
            </c:numRef>
          </c:bubbleSize>
        </c:ser>
        <c:ser>
          <c:idx val="60"/>
          <c:order val="60"/>
          <c:tx>
            <c:strRef>
              <c:f>'2022_Data'!$A$61</c:f>
            </c:strRef>
          </c:tx>
          <c:dLbls>
            <c:dLblPos val="ctr"/>
            <c:showLegendKey val="0"/>
            <c:showVal val="0"/>
            <c:showCatName val="0"/>
            <c:showSerName val="1"/>
            <c:showPercent val="0"/>
            <c:showBubbleSize val="0"/>
          </c:dLbls>
          <c:xVal>
            <c:strRef>
              <c:f>'2022_Data'!$F$61</c:f>
            </c:strRef>
          </c:xVal>
          <c:yVal>
            <c:numRef>
              <c:f>'2022_Data'!$E$61</c:f>
              <c:numCache/>
            </c:numRef>
          </c:yVal>
          <c:bubbleSize>
            <c:numRef>
              <c:f>'2022_Data'!$G$61</c:f>
            </c:numRef>
          </c:bubbleSize>
        </c:ser>
        <c:ser>
          <c:idx val="61"/>
          <c:order val="61"/>
          <c:tx>
            <c:strRef>
              <c:f>'2022_Data'!$A$62</c:f>
            </c:strRef>
          </c:tx>
          <c:dLbls>
            <c:dLblPos val="ctr"/>
            <c:showLegendKey val="0"/>
            <c:showVal val="0"/>
            <c:showCatName val="0"/>
            <c:showSerName val="1"/>
            <c:showPercent val="0"/>
            <c:showBubbleSize val="0"/>
          </c:dLbls>
          <c:xVal>
            <c:strRef>
              <c:f>'2022_Data'!$F$62</c:f>
            </c:strRef>
          </c:xVal>
          <c:yVal>
            <c:numRef>
              <c:f>'2022_Data'!$E$62</c:f>
              <c:numCache/>
            </c:numRef>
          </c:yVal>
          <c:bubbleSize>
            <c:numRef>
              <c:f>'2022_Data'!$G$62</c:f>
            </c:numRef>
          </c:bubbleSize>
        </c:ser>
        <c:ser>
          <c:idx val="62"/>
          <c:order val="62"/>
          <c:tx>
            <c:strRef>
              <c:f>'2022_Data'!$A$63</c:f>
            </c:strRef>
          </c:tx>
          <c:dLbls>
            <c:dLblPos val="ctr"/>
            <c:showLegendKey val="0"/>
            <c:showVal val="0"/>
            <c:showCatName val="0"/>
            <c:showSerName val="1"/>
            <c:showPercent val="0"/>
            <c:showBubbleSize val="0"/>
          </c:dLbls>
          <c:xVal>
            <c:strRef>
              <c:f>'2022_Data'!$F$63</c:f>
            </c:strRef>
          </c:xVal>
          <c:yVal>
            <c:numRef>
              <c:f>'2022_Data'!$E$63</c:f>
              <c:numCache/>
            </c:numRef>
          </c:yVal>
          <c:bubbleSize>
            <c:numRef>
              <c:f>'2022_Data'!$G$63</c:f>
            </c:numRef>
          </c:bubbleSize>
        </c:ser>
        <c:ser>
          <c:idx val="63"/>
          <c:order val="63"/>
          <c:tx>
            <c:strRef>
              <c:f>'2022_Data'!$A$64</c:f>
            </c:strRef>
          </c:tx>
          <c:dLbls>
            <c:dLblPos val="ctr"/>
            <c:showLegendKey val="0"/>
            <c:showVal val="0"/>
            <c:showCatName val="0"/>
            <c:showSerName val="1"/>
            <c:showPercent val="0"/>
            <c:showBubbleSize val="0"/>
          </c:dLbls>
          <c:xVal>
            <c:strRef>
              <c:f>'2022_Data'!$F$64</c:f>
            </c:strRef>
          </c:xVal>
          <c:yVal>
            <c:numRef>
              <c:f>'2022_Data'!$E$64</c:f>
              <c:numCache/>
            </c:numRef>
          </c:yVal>
          <c:bubbleSize>
            <c:numRef>
              <c:f>'2022_Data'!$G$64</c:f>
            </c:numRef>
          </c:bubbleSize>
        </c:ser>
        <c:ser>
          <c:idx val="64"/>
          <c:order val="64"/>
          <c:tx>
            <c:strRef>
              <c:f>'2022_Data'!$A$65</c:f>
            </c:strRef>
          </c:tx>
          <c:dLbls>
            <c:dLblPos val="ctr"/>
            <c:showLegendKey val="0"/>
            <c:showVal val="0"/>
            <c:showCatName val="0"/>
            <c:showSerName val="1"/>
            <c:showPercent val="0"/>
            <c:showBubbleSize val="0"/>
          </c:dLbls>
          <c:xVal>
            <c:strRef>
              <c:f>'2022_Data'!$F$65</c:f>
            </c:strRef>
          </c:xVal>
          <c:yVal>
            <c:numRef>
              <c:f>'2022_Data'!$E$65</c:f>
              <c:numCache/>
            </c:numRef>
          </c:yVal>
          <c:bubbleSize>
            <c:numRef>
              <c:f>'2022_Data'!$G$65</c:f>
            </c:numRef>
          </c:bubbleSize>
        </c:ser>
        <c:ser>
          <c:idx val="65"/>
          <c:order val="65"/>
          <c:tx>
            <c:strRef>
              <c:f>'2022_Data'!$A$66</c:f>
            </c:strRef>
          </c:tx>
          <c:dLbls>
            <c:dLblPos val="ctr"/>
            <c:showLegendKey val="0"/>
            <c:showVal val="0"/>
            <c:showCatName val="0"/>
            <c:showSerName val="1"/>
            <c:showPercent val="0"/>
            <c:showBubbleSize val="0"/>
          </c:dLbls>
          <c:xVal>
            <c:strRef>
              <c:f>'2022_Data'!$F$66</c:f>
            </c:strRef>
          </c:xVal>
          <c:yVal>
            <c:numRef>
              <c:f>'2022_Data'!$E$66</c:f>
              <c:numCache/>
            </c:numRef>
          </c:yVal>
          <c:bubbleSize>
            <c:numRef>
              <c:f>'2022_Data'!$G$66</c:f>
            </c:numRef>
          </c:bubbleSize>
        </c:ser>
        <c:ser>
          <c:idx val="66"/>
          <c:order val="66"/>
          <c:tx>
            <c:strRef>
              <c:f>'2022_Data'!$A$67</c:f>
            </c:strRef>
          </c:tx>
          <c:dLbls>
            <c:dLblPos val="ctr"/>
            <c:showLegendKey val="0"/>
            <c:showVal val="0"/>
            <c:showCatName val="0"/>
            <c:showSerName val="1"/>
            <c:showPercent val="0"/>
            <c:showBubbleSize val="0"/>
          </c:dLbls>
          <c:xVal>
            <c:strRef>
              <c:f>'2022_Data'!$F$67</c:f>
            </c:strRef>
          </c:xVal>
          <c:yVal>
            <c:numRef>
              <c:f>'2022_Data'!$E$67</c:f>
              <c:numCache/>
            </c:numRef>
          </c:yVal>
          <c:bubbleSize>
            <c:numRef>
              <c:f>'2022_Data'!$G$67</c:f>
            </c:numRef>
          </c:bubbleSize>
        </c:ser>
        <c:ser>
          <c:idx val="67"/>
          <c:order val="67"/>
          <c:tx>
            <c:strRef>
              <c:f>'2022_Data'!$A$68</c:f>
            </c:strRef>
          </c:tx>
          <c:dLbls>
            <c:dLblPos val="ctr"/>
            <c:showLegendKey val="0"/>
            <c:showVal val="0"/>
            <c:showCatName val="0"/>
            <c:showSerName val="1"/>
            <c:showPercent val="0"/>
            <c:showBubbleSize val="0"/>
          </c:dLbls>
          <c:xVal>
            <c:strRef>
              <c:f>'2022_Data'!$F$68</c:f>
            </c:strRef>
          </c:xVal>
          <c:yVal>
            <c:numRef>
              <c:f>'2022_Data'!$E$68</c:f>
              <c:numCache/>
            </c:numRef>
          </c:yVal>
          <c:bubbleSize>
            <c:numRef>
              <c:f>'2022_Data'!$G$68</c:f>
            </c:numRef>
          </c:bubbleSize>
        </c:ser>
        <c:ser>
          <c:idx val="68"/>
          <c:order val="68"/>
          <c:tx>
            <c:strRef>
              <c:f>'2022_Data'!$A$69</c:f>
            </c:strRef>
          </c:tx>
          <c:dLbls>
            <c:dLblPos val="ctr"/>
            <c:showLegendKey val="0"/>
            <c:showVal val="0"/>
            <c:showCatName val="0"/>
            <c:showSerName val="1"/>
            <c:showPercent val="0"/>
            <c:showBubbleSize val="0"/>
          </c:dLbls>
          <c:xVal>
            <c:strRef>
              <c:f>'2022_Data'!$F$69</c:f>
            </c:strRef>
          </c:xVal>
          <c:yVal>
            <c:numRef>
              <c:f>'2022_Data'!$E$69</c:f>
              <c:numCache/>
            </c:numRef>
          </c:yVal>
          <c:bubbleSize>
            <c:numRef>
              <c:f>'2022_Data'!$G$69</c:f>
            </c:numRef>
          </c:bubbleSize>
        </c:ser>
        <c:ser>
          <c:idx val="69"/>
          <c:order val="69"/>
          <c:tx>
            <c:strRef>
              <c:f>'2022_Data'!$A$70</c:f>
            </c:strRef>
          </c:tx>
          <c:dLbls>
            <c:dLblPos val="ctr"/>
            <c:showLegendKey val="0"/>
            <c:showVal val="0"/>
            <c:showCatName val="0"/>
            <c:showSerName val="1"/>
            <c:showPercent val="0"/>
            <c:showBubbleSize val="0"/>
          </c:dLbls>
          <c:xVal>
            <c:strRef>
              <c:f>'2022_Data'!$F$70</c:f>
            </c:strRef>
          </c:xVal>
          <c:yVal>
            <c:numRef>
              <c:f>'2022_Data'!$E$70</c:f>
              <c:numCache/>
            </c:numRef>
          </c:yVal>
          <c:bubbleSize>
            <c:numRef>
              <c:f>'2022_Data'!$G$70</c:f>
            </c:numRef>
          </c:bubbleSize>
        </c:ser>
        <c:ser>
          <c:idx val="70"/>
          <c:order val="70"/>
          <c:tx>
            <c:strRef>
              <c:f>'2022_Data'!$A$71</c:f>
            </c:strRef>
          </c:tx>
          <c:dLbls>
            <c:dLblPos val="ctr"/>
            <c:showLegendKey val="0"/>
            <c:showVal val="0"/>
            <c:showCatName val="0"/>
            <c:showSerName val="1"/>
            <c:showPercent val="0"/>
            <c:showBubbleSize val="0"/>
          </c:dLbls>
          <c:xVal>
            <c:strRef>
              <c:f>'2022_Data'!$F$71</c:f>
            </c:strRef>
          </c:xVal>
          <c:yVal>
            <c:numRef>
              <c:f>'2022_Data'!$E$71</c:f>
              <c:numCache/>
            </c:numRef>
          </c:yVal>
          <c:bubbleSize>
            <c:numRef>
              <c:f>'2022_Data'!$G$71</c:f>
            </c:numRef>
          </c:bubbleSize>
        </c:ser>
        <c:ser>
          <c:idx val="71"/>
          <c:order val="71"/>
          <c:tx>
            <c:strRef>
              <c:f>'2022_Data'!$A$72</c:f>
            </c:strRef>
          </c:tx>
          <c:dLbls>
            <c:dLblPos val="ctr"/>
            <c:showLegendKey val="0"/>
            <c:showVal val="0"/>
            <c:showCatName val="0"/>
            <c:showSerName val="1"/>
            <c:showPercent val="0"/>
            <c:showBubbleSize val="0"/>
          </c:dLbls>
          <c:xVal>
            <c:strRef>
              <c:f>'2022_Data'!$F$72</c:f>
            </c:strRef>
          </c:xVal>
          <c:yVal>
            <c:numRef>
              <c:f>'2022_Data'!$E$72</c:f>
              <c:numCache/>
            </c:numRef>
          </c:yVal>
          <c:bubbleSize>
            <c:numRef>
              <c:f>'2022_Data'!$G$72</c:f>
            </c:numRef>
          </c:bubbleSize>
        </c:ser>
        <c:ser>
          <c:idx val="72"/>
          <c:order val="72"/>
          <c:tx>
            <c:strRef>
              <c:f>'2022_Data'!$A$73</c:f>
            </c:strRef>
          </c:tx>
          <c:dLbls>
            <c:dLblPos val="ctr"/>
            <c:showLegendKey val="0"/>
            <c:showVal val="0"/>
            <c:showCatName val="0"/>
            <c:showSerName val="1"/>
            <c:showPercent val="0"/>
            <c:showBubbleSize val="0"/>
          </c:dLbls>
          <c:xVal>
            <c:strRef>
              <c:f>'2022_Data'!$F$73</c:f>
            </c:strRef>
          </c:xVal>
          <c:yVal>
            <c:numRef>
              <c:f>'2022_Data'!$E$73</c:f>
              <c:numCache/>
            </c:numRef>
          </c:yVal>
          <c:bubbleSize>
            <c:numRef>
              <c:f>'2022_Data'!$G$73</c:f>
            </c:numRef>
          </c:bubbleSize>
        </c:ser>
        <c:ser>
          <c:idx val="73"/>
          <c:order val="73"/>
          <c:tx>
            <c:strRef>
              <c:f>'2022_Data'!$A$74</c:f>
            </c:strRef>
          </c:tx>
          <c:dLbls>
            <c:dLblPos val="ctr"/>
            <c:showLegendKey val="0"/>
            <c:showVal val="0"/>
            <c:showCatName val="0"/>
            <c:showSerName val="1"/>
            <c:showPercent val="0"/>
            <c:showBubbleSize val="0"/>
          </c:dLbls>
          <c:xVal>
            <c:strRef>
              <c:f>'2022_Data'!$F$74</c:f>
            </c:strRef>
          </c:xVal>
          <c:yVal>
            <c:numRef>
              <c:f>'2022_Data'!$E$74</c:f>
              <c:numCache/>
            </c:numRef>
          </c:yVal>
          <c:bubbleSize>
            <c:numRef>
              <c:f>'2022_Data'!$G$74</c:f>
            </c:numRef>
          </c:bubbleSize>
        </c:ser>
        <c:ser>
          <c:idx val="74"/>
          <c:order val="74"/>
          <c:tx>
            <c:strRef>
              <c:f>'2022_Data'!$A$75</c:f>
            </c:strRef>
          </c:tx>
          <c:dLbls>
            <c:dLblPos val="ctr"/>
            <c:showLegendKey val="0"/>
            <c:showVal val="0"/>
            <c:showCatName val="0"/>
            <c:showSerName val="1"/>
            <c:showPercent val="0"/>
            <c:showBubbleSize val="0"/>
          </c:dLbls>
          <c:xVal>
            <c:strRef>
              <c:f>'2022_Data'!$F$75</c:f>
            </c:strRef>
          </c:xVal>
          <c:yVal>
            <c:numRef>
              <c:f>'2022_Data'!$E$75</c:f>
              <c:numCache/>
            </c:numRef>
          </c:yVal>
          <c:bubbleSize>
            <c:numRef>
              <c:f>'2022_Data'!$G$75</c:f>
            </c:numRef>
          </c:bubbleSize>
        </c:ser>
        <c:ser>
          <c:idx val="75"/>
          <c:order val="75"/>
          <c:tx>
            <c:strRef>
              <c:f>'2022_Data'!$A$76</c:f>
            </c:strRef>
          </c:tx>
          <c:dLbls>
            <c:dLblPos val="ctr"/>
            <c:showLegendKey val="0"/>
            <c:showVal val="0"/>
            <c:showCatName val="0"/>
            <c:showSerName val="1"/>
            <c:showPercent val="0"/>
            <c:showBubbleSize val="0"/>
          </c:dLbls>
          <c:xVal>
            <c:strRef>
              <c:f>'2022_Data'!$F$76</c:f>
            </c:strRef>
          </c:xVal>
          <c:yVal>
            <c:numRef>
              <c:f>'2022_Data'!$E$76</c:f>
              <c:numCache/>
            </c:numRef>
          </c:yVal>
          <c:bubbleSize>
            <c:numRef>
              <c:f>'2022_Data'!$G$76</c:f>
            </c:numRef>
          </c:bubbleSize>
        </c:ser>
        <c:ser>
          <c:idx val="76"/>
          <c:order val="76"/>
          <c:tx>
            <c:strRef>
              <c:f>'2022_Data'!$A$77</c:f>
            </c:strRef>
          </c:tx>
          <c:dLbls>
            <c:dLblPos val="ctr"/>
            <c:showLegendKey val="0"/>
            <c:showVal val="0"/>
            <c:showCatName val="0"/>
            <c:showSerName val="1"/>
            <c:showPercent val="0"/>
            <c:showBubbleSize val="0"/>
          </c:dLbls>
          <c:xVal>
            <c:strRef>
              <c:f>'2022_Data'!$F$77</c:f>
            </c:strRef>
          </c:xVal>
          <c:yVal>
            <c:numRef>
              <c:f>'2022_Data'!$E$77</c:f>
              <c:numCache/>
            </c:numRef>
          </c:yVal>
          <c:bubbleSize>
            <c:numRef>
              <c:f>'2022_Data'!$G$77</c:f>
            </c:numRef>
          </c:bubbleSize>
        </c:ser>
        <c:ser>
          <c:idx val="77"/>
          <c:order val="77"/>
          <c:tx>
            <c:strRef>
              <c:f>'2022_Data'!$A$78</c:f>
            </c:strRef>
          </c:tx>
          <c:dLbls>
            <c:dLblPos val="ctr"/>
            <c:showLegendKey val="0"/>
            <c:showVal val="0"/>
            <c:showCatName val="0"/>
            <c:showSerName val="1"/>
            <c:showPercent val="0"/>
            <c:showBubbleSize val="0"/>
          </c:dLbls>
          <c:xVal>
            <c:strRef>
              <c:f>'2022_Data'!$F$78</c:f>
            </c:strRef>
          </c:xVal>
          <c:yVal>
            <c:numRef>
              <c:f>'2022_Data'!$E$78</c:f>
              <c:numCache/>
            </c:numRef>
          </c:yVal>
          <c:bubbleSize>
            <c:numRef>
              <c:f>'2022_Data'!$G$78</c:f>
            </c:numRef>
          </c:bubbleSize>
        </c:ser>
        <c:ser>
          <c:idx val="78"/>
          <c:order val="78"/>
          <c:tx>
            <c:strRef>
              <c:f>'2022_Data'!$A$79</c:f>
            </c:strRef>
          </c:tx>
          <c:dLbls>
            <c:dLblPos val="ctr"/>
            <c:showLegendKey val="0"/>
            <c:showVal val="0"/>
            <c:showCatName val="0"/>
            <c:showSerName val="1"/>
            <c:showPercent val="0"/>
            <c:showBubbleSize val="0"/>
          </c:dLbls>
          <c:xVal>
            <c:strRef>
              <c:f>'2022_Data'!$F$79</c:f>
            </c:strRef>
          </c:xVal>
          <c:yVal>
            <c:numRef>
              <c:f>'2022_Data'!$E$79</c:f>
              <c:numCache/>
            </c:numRef>
          </c:yVal>
          <c:bubbleSize>
            <c:numRef>
              <c:f>'2022_Data'!$G$79</c:f>
            </c:numRef>
          </c:bubbleSize>
        </c:ser>
        <c:ser>
          <c:idx val="79"/>
          <c:order val="79"/>
          <c:tx>
            <c:strRef>
              <c:f>'2022_Data'!$A$80</c:f>
            </c:strRef>
          </c:tx>
          <c:dLbls>
            <c:dLblPos val="ctr"/>
            <c:showLegendKey val="0"/>
            <c:showVal val="0"/>
            <c:showCatName val="0"/>
            <c:showSerName val="1"/>
            <c:showPercent val="0"/>
            <c:showBubbleSize val="0"/>
          </c:dLbls>
          <c:xVal>
            <c:strRef>
              <c:f>'2022_Data'!$F$80</c:f>
            </c:strRef>
          </c:xVal>
          <c:yVal>
            <c:numRef>
              <c:f>'2022_Data'!$E$80</c:f>
              <c:numCache/>
            </c:numRef>
          </c:yVal>
          <c:bubbleSize>
            <c:numRef>
              <c:f>'2022_Data'!$G$80</c:f>
            </c:numRef>
          </c:bubbleSize>
        </c:ser>
        <c:ser>
          <c:idx val="80"/>
          <c:order val="80"/>
          <c:tx>
            <c:strRef>
              <c:f>'2022_Data'!$A$81</c:f>
            </c:strRef>
          </c:tx>
          <c:dLbls>
            <c:dLblPos val="ctr"/>
            <c:showLegendKey val="0"/>
            <c:showVal val="0"/>
            <c:showCatName val="0"/>
            <c:showSerName val="1"/>
            <c:showPercent val="0"/>
            <c:showBubbleSize val="0"/>
          </c:dLbls>
          <c:xVal>
            <c:strRef>
              <c:f>'2022_Data'!$F$81</c:f>
            </c:strRef>
          </c:xVal>
          <c:yVal>
            <c:numRef>
              <c:f>'2022_Data'!$E$81</c:f>
              <c:numCache/>
            </c:numRef>
          </c:yVal>
          <c:bubbleSize>
            <c:numRef>
              <c:f>'2022_Data'!$G$81</c:f>
            </c:numRef>
          </c:bubbleSize>
        </c:ser>
        <c:ser>
          <c:idx val="81"/>
          <c:order val="81"/>
          <c:tx>
            <c:strRef>
              <c:f>'2022_Data'!$A$82</c:f>
            </c:strRef>
          </c:tx>
          <c:dLbls>
            <c:dLblPos val="ctr"/>
            <c:showLegendKey val="0"/>
            <c:showVal val="0"/>
            <c:showCatName val="0"/>
            <c:showSerName val="1"/>
            <c:showPercent val="0"/>
            <c:showBubbleSize val="0"/>
          </c:dLbls>
          <c:xVal>
            <c:strRef>
              <c:f>'2022_Data'!$F$82</c:f>
            </c:strRef>
          </c:xVal>
          <c:yVal>
            <c:numRef>
              <c:f>'2022_Data'!$E$82</c:f>
              <c:numCache/>
            </c:numRef>
          </c:yVal>
          <c:bubbleSize>
            <c:numRef>
              <c:f>'2022_Data'!$G$82</c:f>
            </c:numRef>
          </c:bubbleSize>
        </c:ser>
        <c:ser>
          <c:idx val="82"/>
          <c:order val="82"/>
          <c:tx>
            <c:strRef>
              <c:f>'2022_Data'!$A$83</c:f>
            </c:strRef>
          </c:tx>
          <c:dLbls>
            <c:dLblPos val="ctr"/>
            <c:showLegendKey val="0"/>
            <c:showVal val="0"/>
            <c:showCatName val="0"/>
            <c:showSerName val="1"/>
            <c:showPercent val="0"/>
            <c:showBubbleSize val="0"/>
          </c:dLbls>
          <c:xVal>
            <c:strRef>
              <c:f>'2022_Data'!$F$83</c:f>
            </c:strRef>
          </c:xVal>
          <c:yVal>
            <c:numRef>
              <c:f>'2022_Data'!$E$83</c:f>
              <c:numCache/>
            </c:numRef>
          </c:yVal>
          <c:bubbleSize>
            <c:numRef>
              <c:f>'2022_Data'!$G$83</c:f>
            </c:numRef>
          </c:bubbleSize>
        </c:ser>
        <c:ser>
          <c:idx val="83"/>
          <c:order val="83"/>
          <c:tx>
            <c:strRef>
              <c:f>'2022_Data'!$A$84</c:f>
            </c:strRef>
          </c:tx>
          <c:dLbls>
            <c:dLblPos val="ctr"/>
            <c:showLegendKey val="0"/>
            <c:showVal val="0"/>
            <c:showCatName val="0"/>
            <c:showSerName val="1"/>
            <c:showPercent val="0"/>
            <c:showBubbleSize val="0"/>
          </c:dLbls>
          <c:xVal>
            <c:strRef>
              <c:f>'2022_Data'!$F$84</c:f>
            </c:strRef>
          </c:xVal>
          <c:yVal>
            <c:numRef>
              <c:f>'2022_Data'!$E$84</c:f>
              <c:numCache/>
            </c:numRef>
          </c:yVal>
          <c:bubbleSize>
            <c:numRef>
              <c:f>'2022_Data'!$G$84</c:f>
            </c:numRef>
          </c:bubbleSize>
        </c:ser>
        <c:ser>
          <c:idx val="84"/>
          <c:order val="84"/>
          <c:tx>
            <c:strRef>
              <c:f>'2022_Data'!$A$85</c:f>
            </c:strRef>
          </c:tx>
          <c:dLbls>
            <c:dLblPos val="ctr"/>
            <c:showLegendKey val="0"/>
            <c:showVal val="0"/>
            <c:showCatName val="0"/>
            <c:showSerName val="1"/>
            <c:showPercent val="0"/>
            <c:showBubbleSize val="0"/>
          </c:dLbls>
          <c:xVal>
            <c:strRef>
              <c:f>'2022_Data'!$F$85</c:f>
            </c:strRef>
          </c:xVal>
          <c:yVal>
            <c:numRef>
              <c:f>'2022_Data'!$E$85</c:f>
              <c:numCache/>
            </c:numRef>
          </c:yVal>
          <c:bubbleSize>
            <c:numRef>
              <c:f>'2022_Data'!$G$85</c:f>
            </c:numRef>
          </c:bubbleSize>
        </c:ser>
        <c:ser>
          <c:idx val="85"/>
          <c:order val="85"/>
          <c:tx>
            <c:strRef>
              <c:f>'2022_Data'!$A$86</c:f>
            </c:strRef>
          </c:tx>
          <c:dLbls>
            <c:dLblPos val="ctr"/>
            <c:showLegendKey val="0"/>
            <c:showVal val="0"/>
            <c:showCatName val="0"/>
            <c:showSerName val="1"/>
            <c:showPercent val="0"/>
            <c:showBubbleSize val="0"/>
          </c:dLbls>
          <c:xVal>
            <c:strRef>
              <c:f>'2022_Data'!$F$86</c:f>
            </c:strRef>
          </c:xVal>
          <c:yVal>
            <c:numRef>
              <c:f>'2022_Data'!$E$86</c:f>
              <c:numCache/>
            </c:numRef>
          </c:yVal>
          <c:bubbleSize>
            <c:numRef>
              <c:f>'2022_Data'!$G$86</c:f>
            </c:numRef>
          </c:bubbleSize>
        </c:ser>
        <c:ser>
          <c:idx val="86"/>
          <c:order val="86"/>
          <c:tx>
            <c:strRef>
              <c:f>'2022_Data'!$A$87</c:f>
            </c:strRef>
          </c:tx>
          <c:dLbls>
            <c:dLblPos val="ctr"/>
            <c:showLegendKey val="0"/>
            <c:showVal val="0"/>
            <c:showCatName val="0"/>
            <c:showSerName val="1"/>
            <c:showPercent val="0"/>
            <c:showBubbleSize val="0"/>
          </c:dLbls>
          <c:xVal>
            <c:strRef>
              <c:f>'2022_Data'!$F$87</c:f>
            </c:strRef>
          </c:xVal>
          <c:yVal>
            <c:numRef>
              <c:f>'2022_Data'!$E$87</c:f>
              <c:numCache/>
            </c:numRef>
          </c:yVal>
          <c:bubbleSize>
            <c:numRef>
              <c:f>'2022_Data'!$G$87</c:f>
            </c:numRef>
          </c:bubbleSize>
        </c:ser>
        <c:ser>
          <c:idx val="87"/>
          <c:order val="87"/>
          <c:tx>
            <c:strRef>
              <c:f>'2022_Data'!$A$88</c:f>
            </c:strRef>
          </c:tx>
          <c:dLbls>
            <c:dLblPos val="ctr"/>
            <c:showLegendKey val="0"/>
            <c:showVal val="0"/>
            <c:showCatName val="0"/>
            <c:showSerName val="1"/>
            <c:showPercent val="0"/>
            <c:showBubbleSize val="0"/>
          </c:dLbls>
          <c:xVal>
            <c:strRef>
              <c:f>'2022_Data'!$F$88</c:f>
            </c:strRef>
          </c:xVal>
          <c:yVal>
            <c:numRef>
              <c:f>'2022_Data'!$E$88</c:f>
              <c:numCache/>
            </c:numRef>
          </c:yVal>
          <c:bubbleSize>
            <c:numRef>
              <c:f>'2022_Data'!$G$88</c:f>
            </c:numRef>
          </c:bubbleSize>
        </c:ser>
        <c:ser>
          <c:idx val="88"/>
          <c:order val="88"/>
          <c:tx>
            <c:strRef>
              <c:f>'2022_Data'!$A$89</c:f>
            </c:strRef>
          </c:tx>
          <c:dLbls>
            <c:dLblPos val="ctr"/>
            <c:showLegendKey val="0"/>
            <c:showVal val="0"/>
            <c:showCatName val="0"/>
            <c:showSerName val="1"/>
            <c:showPercent val="0"/>
            <c:showBubbleSize val="0"/>
          </c:dLbls>
          <c:xVal>
            <c:strRef>
              <c:f>'2022_Data'!$F$89</c:f>
            </c:strRef>
          </c:xVal>
          <c:yVal>
            <c:numRef>
              <c:f>'2022_Data'!$E$89</c:f>
              <c:numCache/>
            </c:numRef>
          </c:yVal>
          <c:bubbleSize>
            <c:numRef>
              <c:f>'2022_Data'!$G$89</c:f>
            </c:numRef>
          </c:bubbleSize>
        </c:ser>
        <c:ser>
          <c:idx val="89"/>
          <c:order val="89"/>
          <c:tx>
            <c:strRef>
              <c:f>'2022_Data'!$A$90</c:f>
            </c:strRef>
          </c:tx>
          <c:dLbls>
            <c:dLblPos val="ctr"/>
            <c:showLegendKey val="0"/>
            <c:showVal val="0"/>
            <c:showCatName val="0"/>
            <c:showSerName val="1"/>
            <c:showPercent val="0"/>
            <c:showBubbleSize val="0"/>
          </c:dLbls>
          <c:xVal>
            <c:strRef>
              <c:f>'2022_Data'!$F$90</c:f>
            </c:strRef>
          </c:xVal>
          <c:yVal>
            <c:numRef>
              <c:f>'2022_Data'!$E$90</c:f>
              <c:numCache/>
            </c:numRef>
          </c:yVal>
          <c:bubbleSize>
            <c:numRef>
              <c:f>'2022_Data'!$G$90</c:f>
            </c:numRef>
          </c:bubbleSize>
        </c:ser>
        <c:ser>
          <c:idx val="90"/>
          <c:order val="90"/>
          <c:tx>
            <c:strRef>
              <c:f>'2022_Data'!$A$91</c:f>
            </c:strRef>
          </c:tx>
          <c:dLbls>
            <c:dLblPos val="ctr"/>
            <c:showLegendKey val="0"/>
            <c:showVal val="0"/>
            <c:showCatName val="0"/>
            <c:showSerName val="1"/>
            <c:showPercent val="0"/>
            <c:showBubbleSize val="0"/>
          </c:dLbls>
          <c:xVal>
            <c:strRef>
              <c:f>'2022_Data'!$F$91</c:f>
            </c:strRef>
          </c:xVal>
          <c:yVal>
            <c:numRef>
              <c:f>'2022_Data'!$E$91</c:f>
              <c:numCache/>
            </c:numRef>
          </c:yVal>
          <c:bubbleSize>
            <c:numRef>
              <c:f>'2022_Data'!$G$91</c:f>
            </c:numRef>
          </c:bubbleSize>
        </c:ser>
        <c:ser>
          <c:idx val="91"/>
          <c:order val="91"/>
          <c:tx>
            <c:strRef>
              <c:f>'2022_Data'!$A$92</c:f>
            </c:strRef>
          </c:tx>
          <c:dLbls>
            <c:dLblPos val="ctr"/>
            <c:showLegendKey val="0"/>
            <c:showVal val="0"/>
            <c:showCatName val="0"/>
            <c:showSerName val="1"/>
            <c:showPercent val="0"/>
            <c:showBubbleSize val="0"/>
          </c:dLbls>
          <c:xVal>
            <c:strRef>
              <c:f>'2022_Data'!$F$92</c:f>
            </c:strRef>
          </c:xVal>
          <c:yVal>
            <c:numRef>
              <c:f>'2022_Data'!$E$92</c:f>
              <c:numCache/>
            </c:numRef>
          </c:yVal>
          <c:bubbleSize>
            <c:numRef>
              <c:f>'2022_Data'!$G$92</c:f>
            </c:numRef>
          </c:bubbleSize>
        </c:ser>
        <c:ser>
          <c:idx val="92"/>
          <c:order val="92"/>
          <c:tx>
            <c:strRef>
              <c:f>'2022_Data'!$A$93</c:f>
            </c:strRef>
          </c:tx>
          <c:dLbls>
            <c:dLblPos val="ctr"/>
            <c:showLegendKey val="0"/>
            <c:showVal val="0"/>
            <c:showCatName val="0"/>
            <c:showSerName val="1"/>
            <c:showPercent val="0"/>
            <c:showBubbleSize val="0"/>
          </c:dLbls>
          <c:xVal>
            <c:strRef>
              <c:f>'2022_Data'!$F$93</c:f>
            </c:strRef>
          </c:xVal>
          <c:yVal>
            <c:numRef>
              <c:f>'2022_Data'!$E$93</c:f>
              <c:numCache/>
            </c:numRef>
          </c:yVal>
          <c:bubbleSize>
            <c:numRef>
              <c:f>'2022_Data'!$G$93</c:f>
            </c:numRef>
          </c:bubbleSize>
        </c:ser>
        <c:ser>
          <c:idx val="93"/>
          <c:order val="93"/>
          <c:tx>
            <c:strRef>
              <c:f>'2022_Data'!$A$94</c:f>
            </c:strRef>
          </c:tx>
          <c:dLbls>
            <c:dLblPos val="ctr"/>
            <c:showLegendKey val="0"/>
            <c:showVal val="0"/>
            <c:showCatName val="0"/>
            <c:showSerName val="1"/>
            <c:showPercent val="0"/>
            <c:showBubbleSize val="0"/>
          </c:dLbls>
          <c:xVal>
            <c:strRef>
              <c:f>'2022_Data'!$F$94</c:f>
            </c:strRef>
          </c:xVal>
          <c:yVal>
            <c:numRef>
              <c:f>'2022_Data'!$E$94</c:f>
              <c:numCache/>
            </c:numRef>
          </c:yVal>
          <c:bubbleSize>
            <c:numRef>
              <c:f>'2022_Data'!$G$94</c:f>
            </c:numRef>
          </c:bubbleSize>
        </c:ser>
        <c:ser>
          <c:idx val="94"/>
          <c:order val="94"/>
          <c:tx>
            <c:strRef>
              <c:f>'2022_Data'!$A$95</c:f>
            </c:strRef>
          </c:tx>
          <c:dLbls>
            <c:dLblPos val="ctr"/>
            <c:showLegendKey val="0"/>
            <c:showVal val="0"/>
            <c:showCatName val="0"/>
            <c:showSerName val="1"/>
            <c:showPercent val="0"/>
            <c:showBubbleSize val="0"/>
          </c:dLbls>
          <c:xVal>
            <c:strRef>
              <c:f>'2022_Data'!$F$95</c:f>
            </c:strRef>
          </c:xVal>
          <c:yVal>
            <c:numRef>
              <c:f>'2022_Data'!$E$95</c:f>
              <c:numCache/>
            </c:numRef>
          </c:yVal>
          <c:bubbleSize>
            <c:numRef>
              <c:f>'2022_Data'!$G$95</c:f>
            </c:numRef>
          </c:bubbleSize>
        </c:ser>
        <c:ser>
          <c:idx val="95"/>
          <c:order val="95"/>
          <c:tx>
            <c:strRef>
              <c:f>'2022_Data'!$A$96</c:f>
            </c:strRef>
          </c:tx>
          <c:dLbls>
            <c:dLblPos val="ctr"/>
            <c:showLegendKey val="0"/>
            <c:showVal val="0"/>
            <c:showCatName val="0"/>
            <c:showSerName val="1"/>
            <c:showPercent val="0"/>
            <c:showBubbleSize val="0"/>
          </c:dLbls>
          <c:xVal>
            <c:strRef>
              <c:f>'2022_Data'!$F$96</c:f>
            </c:strRef>
          </c:xVal>
          <c:yVal>
            <c:numRef>
              <c:f>'2022_Data'!$E$96</c:f>
              <c:numCache/>
            </c:numRef>
          </c:yVal>
          <c:bubbleSize>
            <c:numRef>
              <c:f>'2022_Data'!$G$96</c:f>
            </c:numRef>
          </c:bubbleSize>
        </c:ser>
        <c:ser>
          <c:idx val="96"/>
          <c:order val="96"/>
          <c:tx>
            <c:strRef>
              <c:f>'2022_Data'!$A$97</c:f>
            </c:strRef>
          </c:tx>
          <c:dLbls>
            <c:dLblPos val="ctr"/>
            <c:showLegendKey val="0"/>
            <c:showVal val="0"/>
            <c:showCatName val="0"/>
            <c:showSerName val="1"/>
            <c:showPercent val="0"/>
            <c:showBubbleSize val="0"/>
          </c:dLbls>
          <c:xVal>
            <c:strRef>
              <c:f>'2022_Data'!$F$97</c:f>
            </c:strRef>
          </c:xVal>
          <c:yVal>
            <c:numRef>
              <c:f>'2022_Data'!$E$97</c:f>
              <c:numCache/>
            </c:numRef>
          </c:yVal>
          <c:bubbleSize>
            <c:numRef>
              <c:f>'2022_Data'!$G$97</c:f>
            </c:numRef>
          </c:bubbleSize>
        </c:ser>
        <c:ser>
          <c:idx val="97"/>
          <c:order val="97"/>
          <c:tx>
            <c:strRef>
              <c:f>'2022_Data'!$A$98</c:f>
            </c:strRef>
          </c:tx>
          <c:dLbls>
            <c:dLblPos val="ctr"/>
            <c:showLegendKey val="0"/>
            <c:showVal val="0"/>
            <c:showCatName val="0"/>
            <c:showSerName val="1"/>
            <c:showPercent val="0"/>
            <c:showBubbleSize val="0"/>
          </c:dLbls>
          <c:xVal>
            <c:strRef>
              <c:f>'2022_Data'!$F$98</c:f>
            </c:strRef>
          </c:xVal>
          <c:yVal>
            <c:numRef>
              <c:f>'2022_Data'!$E$98</c:f>
              <c:numCache/>
            </c:numRef>
          </c:yVal>
          <c:bubbleSize>
            <c:numRef>
              <c:f>'2022_Data'!$G$98</c:f>
            </c:numRef>
          </c:bubbleSize>
        </c:ser>
        <c:ser>
          <c:idx val="98"/>
          <c:order val="98"/>
          <c:tx>
            <c:strRef>
              <c:f>'2022_Data'!$A$99</c:f>
            </c:strRef>
          </c:tx>
          <c:dLbls>
            <c:dLblPos val="ctr"/>
            <c:showLegendKey val="0"/>
            <c:showVal val="0"/>
            <c:showCatName val="0"/>
            <c:showSerName val="1"/>
            <c:showPercent val="0"/>
            <c:showBubbleSize val="0"/>
          </c:dLbls>
          <c:xVal>
            <c:strRef>
              <c:f>'2022_Data'!$F$99</c:f>
            </c:strRef>
          </c:xVal>
          <c:yVal>
            <c:numRef>
              <c:f>'2022_Data'!$E$99</c:f>
              <c:numCache/>
            </c:numRef>
          </c:yVal>
          <c:bubbleSize>
            <c:numRef>
              <c:f>'2022_Data'!$G$99</c:f>
            </c:numRef>
          </c:bubbleSize>
        </c:ser>
        <c:ser>
          <c:idx val="99"/>
          <c:order val="99"/>
          <c:tx>
            <c:strRef>
              <c:f>'2022_Data'!$A$100</c:f>
            </c:strRef>
          </c:tx>
          <c:dLbls>
            <c:dLblPos val="ctr"/>
            <c:showLegendKey val="0"/>
            <c:showVal val="0"/>
            <c:showCatName val="0"/>
            <c:showSerName val="1"/>
            <c:showPercent val="0"/>
            <c:showBubbleSize val="0"/>
          </c:dLbls>
          <c:xVal>
            <c:strRef>
              <c:f>'2022_Data'!$F$100</c:f>
            </c:strRef>
          </c:xVal>
          <c:yVal>
            <c:numRef>
              <c:f>'2022_Data'!$E$100</c:f>
              <c:numCache/>
            </c:numRef>
          </c:yVal>
          <c:bubbleSize>
            <c:numRef>
              <c:f>'2022_Data'!$G$100</c:f>
            </c:numRef>
          </c:bubbleSize>
        </c:ser>
        <c:ser>
          <c:idx val="100"/>
          <c:order val="100"/>
          <c:tx>
            <c:strRef>
              <c:f>'2022_Data'!$A$101</c:f>
            </c:strRef>
          </c:tx>
          <c:dLbls>
            <c:dLblPos val="ctr"/>
            <c:showLegendKey val="0"/>
            <c:showVal val="0"/>
            <c:showCatName val="0"/>
            <c:showSerName val="1"/>
            <c:showPercent val="0"/>
            <c:showBubbleSize val="0"/>
          </c:dLbls>
          <c:xVal>
            <c:strRef>
              <c:f>'2022_Data'!$F$101</c:f>
            </c:strRef>
          </c:xVal>
          <c:yVal>
            <c:numRef>
              <c:f>'2022_Data'!$E$101</c:f>
              <c:numCache/>
            </c:numRef>
          </c:yVal>
          <c:bubbleSize>
            <c:numRef>
              <c:f>'2022_Data'!$G$101</c:f>
            </c:numRef>
          </c:bubbleSize>
        </c:ser>
        <c:ser>
          <c:idx val="101"/>
          <c:order val="101"/>
          <c:tx>
            <c:strRef>
              <c:f>'2022_Data'!$A$102</c:f>
            </c:strRef>
          </c:tx>
          <c:dLbls>
            <c:dLblPos val="ctr"/>
            <c:showLegendKey val="0"/>
            <c:showVal val="0"/>
            <c:showCatName val="0"/>
            <c:showSerName val="1"/>
            <c:showPercent val="0"/>
            <c:showBubbleSize val="0"/>
          </c:dLbls>
          <c:xVal>
            <c:strRef>
              <c:f>'2022_Data'!$F$102</c:f>
            </c:strRef>
          </c:xVal>
          <c:yVal>
            <c:numRef>
              <c:f>'2022_Data'!$E$102</c:f>
              <c:numCache/>
            </c:numRef>
          </c:yVal>
          <c:bubbleSize>
            <c:numRef>
              <c:f>'2022_Data'!$G$102</c:f>
            </c:numRef>
          </c:bubbleSize>
        </c:ser>
        <c:ser>
          <c:idx val="102"/>
          <c:order val="102"/>
          <c:tx>
            <c:strRef>
              <c:f>'2022_Data'!$A$103</c:f>
            </c:strRef>
          </c:tx>
          <c:dLbls>
            <c:dLblPos val="ctr"/>
            <c:showLegendKey val="0"/>
            <c:showVal val="0"/>
            <c:showCatName val="0"/>
            <c:showSerName val="1"/>
            <c:showPercent val="0"/>
            <c:showBubbleSize val="0"/>
          </c:dLbls>
          <c:xVal>
            <c:strRef>
              <c:f>'2022_Data'!$F$103</c:f>
            </c:strRef>
          </c:xVal>
          <c:yVal>
            <c:numRef>
              <c:f>'2022_Data'!$E$103</c:f>
              <c:numCache/>
            </c:numRef>
          </c:yVal>
          <c:bubbleSize>
            <c:numRef>
              <c:f>'2022_Data'!$G$103</c:f>
            </c:numRef>
          </c:bubbleSize>
        </c:ser>
        <c:ser>
          <c:idx val="103"/>
          <c:order val="103"/>
          <c:tx>
            <c:strRef>
              <c:f>'2022_Data'!$A$104</c:f>
            </c:strRef>
          </c:tx>
          <c:dLbls>
            <c:dLblPos val="ctr"/>
            <c:showLegendKey val="0"/>
            <c:showVal val="0"/>
            <c:showCatName val="0"/>
            <c:showSerName val="1"/>
            <c:showPercent val="0"/>
            <c:showBubbleSize val="0"/>
          </c:dLbls>
          <c:xVal>
            <c:strRef>
              <c:f>'2022_Data'!$F$104</c:f>
            </c:strRef>
          </c:xVal>
          <c:yVal>
            <c:numRef>
              <c:f>'2022_Data'!$E$104</c:f>
              <c:numCache/>
            </c:numRef>
          </c:yVal>
          <c:bubbleSize>
            <c:numRef>
              <c:f>'2022_Data'!$G$104</c:f>
            </c:numRef>
          </c:bubbleSize>
        </c:ser>
        <c:ser>
          <c:idx val="104"/>
          <c:order val="104"/>
          <c:tx>
            <c:strRef>
              <c:f>'2022_Data'!$A$105</c:f>
            </c:strRef>
          </c:tx>
          <c:dLbls>
            <c:dLblPos val="ctr"/>
            <c:showLegendKey val="0"/>
            <c:showVal val="0"/>
            <c:showCatName val="0"/>
            <c:showSerName val="1"/>
            <c:showPercent val="0"/>
            <c:showBubbleSize val="0"/>
          </c:dLbls>
          <c:xVal>
            <c:strRef>
              <c:f>'2022_Data'!$F$105</c:f>
            </c:strRef>
          </c:xVal>
          <c:yVal>
            <c:numRef>
              <c:f>'2022_Data'!$E$105</c:f>
              <c:numCache/>
            </c:numRef>
          </c:yVal>
          <c:bubbleSize>
            <c:numRef>
              <c:f>'2022_Data'!$G$105</c:f>
            </c:numRef>
          </c:bubbleSize>
        </c:ser>
        <c:ser>
          <c:idx val="105"/>
          <c:order val="105"/>
          <c:tx>
            <c:strRef>
              <c:f>'2022_Data'!$A$106</c:f>
            </c:strRef>
          </c:tx>
          <c:dLbls>
            <c:dLblPos val="ctr"/>
            <c:showLegendKey val="0"/>
            <c:showVal val="0"/>
            <c:showCatName val="0"/>
            <c:showSerName val="1"/>
            <c:showPercent val="0"/>
            <c:showBubbleSize val="0"/>
          </c:dLbls>
          <c:xVal>
            <c:strRef>
              <c:f>'2022_Data'!$F$106</c:f>
            </c:strRef>
          </c:xVal>
          <c:yVal>
            <c:numRef>
              <c:f>'2022_Data'!$E$106</c:f>
              <c:numCache/>
            </c:numRef>
          </c:yVal>
          <c:bubbleSize>
            <c:numRef>
              <c:f>'2022_Data'!$G$106</c:f>
            </c:numRef>
          </c:bubbleSize>
        </c:ser>
        <c:ser>
          <c:idx val="106"/>
          <c:order val="106"/>
          <c:tx>
            <c:strRef>
              <c:f>'2022_Data'!$A$107</c:f>
            </c:strRef>
          </c:tx>
          <c:dLbls>
            <c:dLblPos val="ctr"/>
            <c:showLegendKey val="0"/>
            <c:showVal val="0"/>
            <c:showCatName val="0"/>
            <c:showSerName val="1"/>
            <c:showPercent val="0"/>
            <c:showBubbleSize val="0"/>
          </c:dLbls>
          <c:xVal>
            <c:strRef>
              <c:f>'2022_Data'!$F$107</c:f>
            </c:strRef>
          </c:xVal>
          <c:yVal>
            <c:numRef>
              <c:f>'2022_Data'!$E$107</c:f>
              <c:numCache/>
            </c:numRef>
          </c:yVal>
          <c:bubbleSize>
            <c:numRef>
              <c:f>'2022_Data'!$G$107</c:f>
            </c:numRef>
          </c:bubbleSize>
        </c:ser>
        <c:ser>
          <c:idx val="107"/>
          <c:order val="107"/>
          <c:tx>
            <c:strRef>
              <c:f>'2022_Data'!$A$108</c:f>
            </c:strRef>
          </c:tx>
          <c:dLbls>
            <c:dLblPos val="ctr"/>
            <c:showLegendKey val="0"/>
            <c:showVal val="0"/>
            <c:showCatName val="0"/>
            <c:showSerName val="1"/>
            <c:showPercent val="0"/>
            <c:showBubbleSize val="0"/>
          </c:dLbls>
          <c:xVal>
            <c:strRef>
              <c:f>'2022_Data'!$F$108</c:f>
            </c:strRef>
          </c:xVal>
          <c:yVal>
            <c:numRef>
              <c:f>'2022_Data'!$E$108</c:f>
              <c:numCache/>
            </c:numRef>
          </c:yVal>
          <c:bubbleSize>
            <c:numRef>
              <c:f>'2022_Data'!$G$108</c:f>
            </c:numRef>
          </c:bubbleSize>
        </c:ser>
        <c:ser>
          <c:idx val="108"/>
          <c:order val="108"/>
          <c:tx>
            <c:strRef>
              <c:f>'2022_Data'!$A$109</c:f>
            </c:strRef>
          </c:tx>
          <c:dLbls>
            <c:dLblPos val="ctr"/>
            <c:showLegendKey val="0"/>
            <c:showVal val="0"/>
            <c:showCatName val="0"/>
            <c:showSerName val="1"/>
            <c:showPercent val="0"/>
            <c:showBubbleSize val="0"/>
          </c:dLbls>
          <c:xVal>
            <c:strRef>
              <c:f>'2022_Data'!$F$109</c:f>
            </c:strRef>
          </c:xVal>
          <c:yVal>
            <c:numRef>
              <c:f>'2022_Data'!$E$109</c:f>
              <c:numCache/>
            </c:numRef>
          </c:yVal>
          <c:bubbleSize>
            <c:numRef>
              <c:f>'2022_Data'!$G$109</c:f>
            </c:numRef>
          </c:bubbleSize>
        </c:ser>
        <c:ser>
          <c:idx val="109"/>
          <c:order val="109"/>
          <c:tx>
            <c:strRef>
              <c:f>'2022_Data'!$A$110</c:f>
            </c:strRef>
          </c:tx>
          <c:dLbls>
            <c:dLblPos val="ctr"/>
            <c:showLegendKey val="0"/>
            <c:showVal val="0"/>
            <c:showCatName val="0"/>
            <c:showSerName val="1"/>
            <c:showPercent val="0"/>
            <c:showBubbleSize val="0"/>
          </c:dLbls>
          <c:xVal>
            <c:strRef>
              <c:f>'2022_Data'!$F$110</c:f>
            </c:strRef>
          </c:xVal>
          <c:yVal>
            <c:numRef>
              <c:f>'2022_Data'!$E$110</c:f>
              <c:numCache/>
            </c:numRef>
          </c:yVal>
          <c:bubbleSize>
            <c:numRef>
              <c:f>'2022_Data'!$G$110</c:f>
            </c:numRef>
          </c:bubbleSize>
        </c:ser>
        <c:ser>
          <c:idx val="110"/>
          <c:order val="110"/>
          <c:tx>
            <c:strRef>
              <c:f>'2022_Data'!$A$111</c:f>
            </c:strRef>
          </c:tx>
          <c:dLbls>
            <c:dLblPos val="ctr"/>
            <c:showLegendKey val="0"/>
            <c:showVal val="0"/>
            <c:showCatName val="0"/>
            <c:showSerName val="1"/>
            <c:showPercent val="0"/>
            <c:showBubbleSize val="0"/>
          </c:dLbls>
          <c:xVal>
            <c:strRef>
              <c:f>'2022_Data'!$F$111</c:f>
            </c:strRef>
          </c:xVal>
          <c:yVal>
            <c:numRef>
              <c:f>'2022_Data'!$E$111</c:f>
              <c:numCache/>
            </c:numRef>
          </c:yVal>
          <c:bubbleSize>
            <c:numRef>
              <c:f>'2022_Data'!$G$111</c:f>
            </c:numRef>
          </c:bubbleSize>
        </c:ser>
        <c:ser>
          <c:idx val="111"/>
          <c:order val="111"/>
          <c:tx>
            <c:strRef>
              <c:f>'2022_Data'!$A$112</c:f>
            </c:strRef>
          </c:tx>
          <c:dLbls>
            <c:dLblPos val="ctr"/>
            <c:showLegendKey val="0"/>
            <c:showVal val="0"/>
            <c:showCatName val="0"/>
            <c:showSerName val="1"/>
            <c:showPercent val="0"/>
            <c:showBubbleSize val="0"/>
          </c:dLbls>
          <c:xVal>
            <c:strRef>
              <c:f>'2022_Data'!$F$112</c:f>
            </c:strRef>
          </c:xVal>
          <c:yVal>
            <c:numRef>
              <c:f>'2022_Data'!$E$112</c:f>
              <c:numCache/>
            </c:numRef>
          </c:yVal>
          <c:bubbleSize>
            <c:numRef>
              <c:f>'2022_Data'!$G$112</c:f>
            </c:numRef>
          </c:bubbleSize>
        </c:ser>
        <c:ser>
          <c:idx val="112"/>
          <c:order val="112"/>
          <c:tx>
            <c:strRef>
              <c:f>'2022_Data'!$A$113</c:f>
            </c:strRef>
          </c:tx>
          <c:dLbls>
            <c:dLblPos val="ctr"/>
            <c:showLegendKey val="0"/>
            <c:showVal val="0"/>
            <c:showCatName val="0"/>
            <c:showSerName val="1"/>
            <c:showPercent val="0"/>
            <c:showBubbleSize val="0"/>
          </c:dLbls>
          <c:xVal>
            <c:strRef>
              <c:f>'2022_Data'!$F$113</c:f>
            </c:strRef>
          </c:xVal>
          <c:yVal>
            <c:numRef>
              <c:f>'2022_Data'!$E$113</c:f>
              <c:numCache/>
            </c:numRef>
          </c:yVal>
          <c:bubbleSize>
            <c:numRef>
              <c:f>'2022_Data'!$G$113</c:f>
            </c:numRef>
          </c:bubbleSize>
        </c:ser>
        <c:ser>
          <c:idx val="113"/>
          <c:order val="113"/>
          <c:tx>
            <c:strRef>
              <c:f>'2022_Data'!$A$114</c:f>
            </c:strRef>
          </c:tx>
          <c:dLbls>
            <c:dLblPos val="ctr"/>
            <c:showLegendKey val="0"/>
            <c:showVal val="0"/>
            <c:showCatName val="0"/>
            <c:showSerName val="1"/>
            <c:showPercent val="0"/>
            <c:showBubbleSize val="0"/>
          </c:dLbls>
          <c:xVal>
            <c:strRef>
              <c:f>'2022_Data'!$F$114</c:f>
            </c:strRef>
          </c:xVal>
          <c:yVal>
            <c:numRef>
              <c:f>'2022_Data'!$E$114</c:f>
              <c:numCache/>
            </c:numRef>
          </c:yVal>
          <c:bubbleSize>
            <c:numRef>
              <c:f>'2022_Data'!$G$114</c:f>
            </c:numRef>
          </c:bubbleSize>
        </c:ser>
        <c:ser>
          <c:idx val="114"/>
          <c:order val="114"/>
          <c:tx>
            <c:strRef>
              <c:f>'2022_Data'!$A$115</c:f>
            </c:strRef>
          </c:tx>
          <c:dLbls>
            <c:dLblPos val="ctr"/>
            <c:showLegendKey val="0"/>
            <c:showVal val="0"/>
            <c:showCatName val="0"/>
            <c:showSerName val="1"/>
            <c:showPercent val="0"/>
            <c:showBubbleSize val="0"/>
          </c:dLbls>
          <c:xVal>
            <c:strRef>
              <c:f>'2022_Data'!$F$115</c:f>
            </c:strRef>
          </c:xVal>
          <c:yVal>
            <c:numRef>
              <c:f>'2022_Data'!$E$115</c:f>
              <c:numCache/>
            </c:numRef>
          </c:yVal>
          <c:bubbleSize>
            <c:numRef>
              <c:f>'2022_Data'!$G$115</c:f>
            </c:numRef>
          </c:bubbleSize>
        </c:ser>
        <c:ser>
          <c:idx val="115"/>
          <c:order val="115"/>
          <c:tx>
            <c:strRef>
              <c:f>'2022_Data'!$A$116</c:f>
            </c:strRef>
          </c:tx>
          <c:dLbls>
            <c:dLblPos val="ctr"/>
            <c:showLegendKey val="0"/>
            <c:showVal val="0"/>
            <c:showCatName val="0"/>
            <c:showSerName val="1"/>
            <c:showPercent val="0"/>
            <c:showBubbleSize val="0"/>
          </c:dLbls>
          <c:xVal>
            <c:strRef>
              <c:f>'2022_Data'!$F$116</c:f>
            </c:strRef>
          </c:xVal>
          <c:yVal>
            <c:numRef>
              <c:f>'2022_Data'!$E$116</c:f>
              <c:numCache/>
            </c:numRef>
          </c:yVal>
          <c:bubbleSize>
            <c:numRef>
              <c:f>'2022_Data'!$G$116</c:f>
            </c:numRef>
          </c:bubbleSize>
        </c:ser>
        <c:ser>
          <c:idx val="116"/>
          <c:order val="116"/>
          <c:tx>
            <c:strRef>
              <c:f>'2022_Data'!$A$117</c:f>
            </c:strRef>
          </c:tx>
          <c:dLbls>
            <c:dLblPos val="ctr"/>
            <c:showLegendKey val="0"/>
            <c:showVal val="0"/>
            <c:showCatName val="0"/>
            <c:showSerName val="1"/>
            <c:showPercent val="0"/>
            <c:showBubbleSize val="0"/>
          </c:dLbls>
          <c:xVal>
            <c:strRef>
              <c:f>'2022_Data'!$F$117</c:f>
            </c:strRef>
          </c:xVal>
          <c:yVal>
            <c:numRef>
              <c:f>'2022_Data'!$E$117</c:f>
              <c:numCache/>
            </c:numRef>
          </c:yVal>
          <c:bubbleSize>
            <c:numRef>
              <c:f>'2022_Data'!$G$117</c:f>
            </c:numRef>
          </c:bubbleSize>
        </c:ser>
        <c:ser>
          <c:idx val="117"/>
          <c:order val="117"/>
          <c:tx>
            <c:strRef>
              <c:f>'2022_Data'!$A$118</c:f>
            </c:strRef>
          </c:tx>
          <c:dLbls>
            <c:dLblPos val="ctr"/>
            <c:showLegendKey val="0"/>
            <c:showVal val="0"/>
            <c:showCatName val="0"/>
            <c:showSerName val="1"/>
            <c:showPercent val="0"/>
            <c:showBubbleSize val="0"/>
          </c:dLbls>
          <c:xVal>
            <c:strRef>
              <c:f>'2022_Data'!$F$118</c:f>
            </c:strRef>
          </c:xVal>
          <c:yVal>
            <c:numRef>
              <c:f>'2022_Data'!$E$118</c:f>
              <c:numCache/>
            </c:numRef>
          </c:yVal>
          <c:bubbleSize>
            <c:numRef>
              <c:f>'2022_Data'!$G$118</c:f>
            </c:numRef>
          </c:bubbleSize>
        </c:ser>
        <c:ser>
          <c:idx val="118"/>
          <c:order val="118"/>
          <c:tx>
            <c:strRef>
              <c:f>'2022_Data'!$A$119</c:f>
            </c:strRef>
          </c:tx>
          <c:dLbls>
            <c:dLblPos val="ctr"/>
            <c:showLegendKey val="0"/>
            <c:showVal val="0"/>
            <c:showCatName val="0"/>
            <c:showSerName val="1"/>
            <c:showPercent val="0"/>
            <c:showBubbleSize val="0"/>
          </c:dLbls>
          <c:xVal>
            <c:strRef>
              <c:f>'2022_Data'!$F$119</c:f>
            </c:strRef>
          </c:xVal>
          <c:yVal>
            <c:numRef>
              <c:f>'2022_Data'!$E$119</c:f>
              <c:numCache/>
            </c:numRef>
          </c:yVal>
          <c:bubbleSize>
            <c:numRef>
              <c:f>'2022_Data'!$G$119</c:f>
            </c:numRef>
          </c:bubbleSize>
        </c:ser>
        <c:ser>
          <c:idx val="119"/>
          <c:order val="119"/>
          <c:tx>
            <c:strRef>
              <c:f>'2022_Data'!$A$120</c:f>
            </c:strRef>
          </c:tx>
          <c:dLbls>
            <c:dLblPos val="ctr"/>
            <c:showLegendKey val="0"/>
            <c:showVal val="0"/>
            <c:showCatName val="0"/>
            <c:showSerName val="1"/>
            <c:showPercent val="0"/>
            <c:showBubbleSize val="0"/>
          </c:dLbls>
          <c:xVal>
            <c:strRef>
              <c:f>'2022_Data'!$F$120</c:f>
            </c:strRef>
          </c:xVal>
          <c:yVal>
            <c:numRef>
              <c:f>'2022_Data'!$E$120</c:f>
              <c:numCache/>
            </c:numRef>
          </c:yVal>
          <c:bubbleSize>
            <c:numRef>
              <c:f>'2022_Data'!$G$120</c:f>
            </c:numRef>
          </c:bubbleSize>
        </c:ser>
        <c:ser>
          <c:idx val="120"/>
          <c:order val="120"/>
          <c:tx>
            <c:strRef>
              <c:f>'2022_Data'!$A$121</c:f>
            </c:strRef>
          </c:tx>
          <c:dLbls>
            <c:dLblPos val="ctr"/>
            <c:showLegendKey val="0"/>
            <c:showVal val="0"/>
            <c:showCatName val="0"/>
            <c:showSerName val="1"/>
            <c:showPercent val="0"/>
            <c:showBubbleSize val="0"/>
          </c:dLbls>
          <c:xVal>
            <c:strRef>
              <c:f>'2022_Data'!$F$121</c:f>
            </c:strRef>
          </c:xVal>
          <c:yVal>
            <c:numRef>
              <c:f>'2022_Data'!$E$121</c:f>
              <c:numCache/>
            </c:numRef>
          </c:yVal>
          <c:bubbleSize>
            <c:numRef>
              <c:f>'2022_Data'!$G$121</c:f>
            </c:numRef>
          </c:bubbleSize>
        </c:ser>
        <c:ser>
          <c:idx val="121"/>
          <c:order val="121"/>
          <c:tx>
            <c:strRef>
              <c:f>'2022_Data'!$A$122</c:f>
            </c:strRef>
          </c:tx>
          <c:dLbls>
            <c:dLblPos val="ctr"/>
            <c:showLegendKey val="0"/>
            <c:showVal val="0"/>
            <c:showCatName val="0"/>
            <c:showSerName val="1"/>
            <c:showPercent val="0"/>
            <c:showBubbleSize val="0"/>
          </c:dLbls>
          <c:xVal>
            <c:strRef>
              <c:f>'2022_Data'!$F$122</c:f>
            </c:strRef>
          </c:xVal>
          <c:yVal>
            <c:numRef>
              <c:f>'2022_Data'!$E$122</c:f>
              <c:numCache/>
            </c:numRef>
          </c:yVal>
          <c:bubbleSize>
            <c:numRef>
              <c:f>'2022_Data'!$G$122</c:f>
            </c:numRef>
          </c:bubbleSize>
        </c:ser>
        <c:ser>
          <c:idx val="122"/>
          <c:order val="122"/>
          <c:tx>
            <c:strRef>
              <c:f>'2022_Data'!$A$123</c:f>
            </c:strRef>
          </c:tx>
          <c:dLbls>
            <c:dLblPos val="ctr"/>
            <c:showLegendKey val="0"/>
            <c:showVal val="0"/>
            <c:showCatName val="0"/>
            <c:showSerName val="1"/>
            <c:showPercent val="0"/>
            <c:showBubbleSize val="0"/>
          </c:dLbls>
          <c:xVal>
            <c:strRef>
              <c:f>'2022_Data'!$F$123</c:f>
            </c:strRef>
          </c:xVal>
          <c:yVal>
            <c:numRef>
              <c:f>'2022_Data'!$E$123</c:f>
              <c:numCache/>
            </c:numRef>
          </c:yVal>
          <c:bubbleSize>
            <c:numRef>
              <c:f>'2022_Data'!$G$123</c:f>
            </c:numRef>
          </c:bubbleSize>
        </c:ser>
        <c:ser>
          <c:idx val="123"/>
          <c:order val="123"/>
          <c:tx>
            <c:strRef>
              <c:f>'2022_Data'!$A$124</c:f>
            </c:strRef>
          </c:tx>
          <c:dLbls>
            <c:dLblPos val="ctr"/>
            <c:showLegendKey val="0"/>
            <c:showVal val="0"/>
            <c:showCatName val="0"/>
            <c:showSerName val="1"/>
            <c:showPercent val="0"/>
            <c:showBubbleSize val="0"/>
          </c:dLbls>
          <c:xVal>
            <c:strRef>
              <c:f>'2022_Data'!$F$124</c:f>
            </c:strRef>
          </c:xVal>
          <c:yVal>
            <c:numRef>
              <c:f>'2022_Data'!$E$124</c:f>
              <c:numCache/>
            </c:numRef>
          </c:yVal>
          <c:bubbleSize>
            <c:numRef>
              <c:f>'2022_Data'!$G$124</c:f>
            </c:numRef>
          </c:bubbleSize>
        </c:ser>
        <c:ser>
          <c:idx val="124"/>
          <c:order val="124"/>
          <c:tx>
            <c:strRef>
              <c:f>'2022_Data'!$A$125</c:f>
            </c:strRef>
          </c:tx>
          <c:dLbls>
            <c:dLblPos val="ctr"/>
            <c:showLegendKey val="0"/>
            <c:showVal val="0"/>
            <c:showCatName val="0"/>
            <c:showSerName val="1"/>
            <c:showPercent val="0"/>
            <c:showBubbleSize val="0"/>
          </c:dLbls>
          <c:xVal>
            <c:strRef>
              <c:f>'2022_Data'!$F$125</c:f>
            </c:strRef>
          </c:xVal>
          <c:yVal>
            <c:numRef>
              <c:f>'2022_Data'!$E$125</c:f>
              <c:numCache/>
            </c:numRef>
          </c:yVal>
          <c:bubbleSize>
            <c:numRef>
              <c:f>'2022_Data'!$G$125</c:f>
            </c:numRef>
          </c:bubbleSize>
        </c:ser>
        <c:ser>
          <c:idx val="125"/>
          <c:order val="125"/>
          <c:tx>
            <c:strRef>
              <c:f>'2022_Data'!$A$126</c:f>
            </c:strRef>
          </c:tx>
          <c:dLbls>
            <c:dLblPos val="ctr"/>
            <c:showLegendKey val="0"/>
            <c:showVal val="0"/>
            <c:showCatName val="0"/>
            <c:showSerName val="1"/>
            <c:showPercent val="0"/>
            <c:showBubbleSize val="0"/>
          </c:dLbls>
          <c:xVal>
            <c:strRef>
              <c:f>'2022_Data'!$F$126</c:f>
            </c:strRef>
          </c:xVal>
          <c:yVal>
            <c:numRef>
              <c:f>'2022_Data'!$E$126</c:f>
              <c:numCache/>
            </c:numRef>
          </c:yVal>
          <c:bubbleSize>
            <c:numRef>
              <c:f>'2022_Data'!$G$126</c:f>
            </c:numRef>
          </c:bubbleSize>
        </c:ser>
        <c:ser>
          <c:idx val="126"/>
          <c:order val="126"/>
          <c:tx>
            <c:strRef>
              <c:f>'2022_Data'!$A$127</c:f>
            </c:strRef>
          </c:tx>
          <c:dLbls>
            <c:dLblPos val="ctr"/>
            <c:showLegendKey val="0"/>
            <c:showVal val="0"/>
            <c:showCatName val="0"/>
            <c:showSerName val="1"/>
            <c:showPercent val="0"/>
            <c:showBubbleSize val="0"/>
          </c:dLbls>
          <c:xVal>
            <c:strRef>
              <c:f>'2022_Data'!$F$127</c:f>
            </c:strRef>
          </c:xVal>
          <c:yVal>
            <c:numRef>
              <c:f>'2022_Data'!$E$127</c:f>
              <c:numCache/>
            </c:numRef>
          </c:yVal>
          <c:bubbleSize>
            <c:numRef>
              <c:f>'2022_Data'!$G$127</c:f>
            </c:numRef>
          </c:bubbleSize>
        </c:ser>
        <c:ser>
          <c:idx val="127"/>
          <c:order val="127"/>
          <c:tx>
            <c:strRef>
              <c:f>'2022_Data'!$A$128</c:f>
            </c:strRef>
          </c:tx>
          <c:dLbls>
            <c:dLblPos val="ctr"/>
            <c:showLegendKey val="0"/>
            <c:showVal val="0"/>
            <c:showCatName val="0"/>
            <c:showSerName val="1"/>
            <c:showPercent val="0"/>
            <c:showBubbleSize val="0"/>
          </c:dLbls>
          <c:xVal>
            <c:strRef>
              <c:f>'2022_Data'!$F$128</c:f>
            </c:strRef>
          </c:xVal>
          <c:yVal>
            <c:numRef>
              <c:f>'2022_Data'!$E$128</c:f>
              <c:numCache/>
            </c:numRef>
          </c:yVal>
          <c:bubbleSize>
            <c:numRef>
              <c:f>'2022_Data'!$G$128</c:f>
            </c:numRef>
          </c:bubbleSize>
        </c:ser>
        <c:ser>
          <c:idx val="128"/>
          <c:order val="128"/>
          <c:tx>
            <c:strRef>
              <c:f>'2022_Data'!$A$129</c:f>
            </c:strRef>
          </c:tx>
          <c:dLbls>
            <c:dLblPos val="ctr"/>
            <c:showLegendKey val="0"/>
            <c:showVal val="0"/>
            <c:showCatName val="0"/>
            <c:showSerName val="1"/>
            <c:showPercent val="0"/>
            <c:showBubbleSize val="0"/>
          </c:dLbls>
          <c:xVal>
            <c:strRef>
              <c:f>'2022_Data'!$F$129</c:f>
            </c:strRef>
          </c:xVal>
          <c:yVal>
            <c:numRef>
              <c:f>'2022_Data'!$E$129</c:f>
              <c:numCache/>
            </c:numRef>
          </c:yVal>
          <c:bubbleSize>
            <c:numRef>
              <c:f>'2022_Data'!$G$129</c:f>
            </c:numRef>
          </c:bubbleSize>
        </c:ser>
        <c:ser>
          <c:idx val="129"/>
          <c:order val="129"/>
          <c:tx>
            <c:strRef>
              <c:f>'2022_Data'!$A$130</c:f>
            </c:strRef>
          </c:tx>
          <c:dLbls>
            <c:dLblPos val="ctr"/>
            <c:showLegendKey val="0"/>
            <c:showVal val="0"/>
            <c:showCatName val="0"/>
            <c:showSerName val="1"/>
            <c:showPercent val="0"/>
            <c:showBubbleSize val="0"/>
          </c:dLbls>
          <c:xVal>
            <c:strRef>
              <c:f>'2022_Data'!$F$130</c:f>
            </c:strRef>
          </c:xVal>
          <c:yVal>
            <c:numRef>
              <c:f>'2022_Data'!$E$130</c:f>
              <c:numCache/>
            </c:numRef>
          </c:yVal>
          <c:bubbleSize>
            <c:numRef>
              <c:f>'2022_Data'!$G$130</c:f>
            </c:numRef>
          </c:bubbleSize>
        </c:ser>
        <c:ser>
          <c:idx val="130"/>
          <c:order val="130"/>
          <c:tx>
            <c:strRef>
              <c:f>'2022_Data'!$A$131</c:f>
            </c:strRef>
          </c:tx>
          <c:dLbls>
            <c:dLblPos val="ctr"/>
            <c:showLegendKey val="0"/>
            <c:showVal val="0"/>
            <c:showCatName val="0"/>
            <c:showSerName val="1"/>
            <c:showPercent val="0"/>
            <c:showBubbleSize val="0"/>
          </c:dLbls>
          <c:xVal>
            <c:strRef>
              <c:f>'2022_Data'!$F$131</c:f>
            </c:strRef>
          </c:xVal>
          <c:yVal>
            <c:numRef>
              <c:f>'2022_Data'!$E$131</c:f>
              <c:numCache/>
            </c:numRef>
          </c:yVal>
          <c:bubbleSize>
            <c:numRef>
              <c:f>'2022_Data'!$G$131</c:f>
            </c:numRef>
          </c:bubbleSize>
        </c:ser>
        <c:ser>
          <c:idx val="131"/>
          <c:order val="131"/>
          <c:tx>
            <c:strRef>
              <c:f>'2022_Data'!$A$132</c:f>
            </c:strRef>
          </c:tx>
          <c:dLbls>
            <c:dLblPos val="ctr"/>
            <c:showLegendKey val="0"/>
            <c:showVal val="0"/>
            <c:showCatName val="0"/>
            <c:showSerName val="1"/>
            <c:showPercent val="0"/>
            <c:showBubbleSize val="0"/>
          </c:dLbls>
          <c:xVal>
            <c:strRef>
              <c:f>'2022_Data'!$F$132</c:f>
            </c:strRef>
          </c:xVal>
          <c:yVal>
            <c:numRef>
              <c:f>'2022_Data'!$E$132</c:f>
              <c:numCache/>
            </c:numRef>
          </c:yVal>
          <c:bubbleSize>
            <c:numRef>
              <c:f>'2022_Data'!$G$132</c:f>
            </c:numRef>
          </c:bubbleSize>
        </c:ser>
        <c:ser>
          <c:idx val="132"/>
          <c:order val="132"/>
          <c:tx>
            <c:strRef>
              <c:f>'2022_Data'!$A$133</c:f>
            </c:strRef>
          </c:tx>
          <c:dLbls>
            <c:dLblPos val="ctr"/>
            <c:showLegendKey val="0"/>
            <c:showVal val="0"/>
            <c:showCatName val="0"/>
            <c:showSerName val="1"/>
            <c:showPercent val="0"/>
            <c:showBubbleSize val="0"/>
          </c:dLbls>
          <c:xVal>
            <c:strRef>
              <c:f>'2022_Data'!$F$133</c:f>
            </c:strRef>
          </c:xVal>
          <c:yVal>
            <c:numRef>
              <c:f>'2022_Data'!$E$133</c:f>
              <c:numCache/>
            </c:numRef>
          </c:yVal>
          <c:bubbleSize>
            <c:numRef>
              <c:f>'2022_Data'!$G$133</c:f>
            </c:numRef>
          </c:bubbleSize>
        </c:ser>
        <c:ser>
          <c:idx val="133"/>
          <c:order val="133"/>
          <c:tx>
            <c:strRef>
              <c:f>'2022_Data'!$A$134</c:f>
            </c:strRef>
          </c:tx>
          <c:dLbls>
            <c:dLblPos val="ctr"/>
            <c:showLegendKey val="0"/>
            <c:showVal val="0"/>
            <c:showCatName val="0"/>
            <c:showSerName val="1"/>
            <c:showPercent val="0"/>
            <c:showBubbleSize val="0"/>
          </c:dLbls>
          <c:xVal>
            <c:strRef>
              <c:f>'2022_Data'!$F$134</c:f>
            </c:strRef>
          </c:xVal>
          <c:yVal>
            <c:numRef>
              <c:f>'2022_Data'!$E$134</c:f>
              <c:numCache/>
            </c:numRef>
          </c:yVal>
          <c:bubbleSize>
            <c:numRef>
              <c:f>'2022_Data'!$G$134</c:f>
            </c:numRef>
          </c:bubbleSize>
        </c:ser>
        <c:ser>
          <c:idx val="134"/>
          <c:order val="134"/>
          <c:tx>
            <c:strRef>
              <c:f>'2022_Data'!$A$135</c:f>
            </c:strRef>
          </c:tx>
          <c:dLbls>
            <c:dLblPos val="ctr"/>
            <c:showLegendKey val="0"/>
            <c:showVal val="0"/>
            <c:showCatName val="0"/>
            <c:showSerName val="1"/>
            <c:showPercent val="0"/>
            <c:showBubbleSize val="0"/>
          </c:dLbls>
          <c:xVal>
            <c:strRef>
              <c:f>'2022_Data'!$F$135</c:f>
            </c:strRef>
          </c:xVal>
          <c:yVal>
            <c:numRef>
              <c:f>'2022_Data'!$E$135</c:f>
              <c:numCache/>
            </c:numRef>
          </c:yVal>
          <c:bubbleSize>
            <c:numRef>
              <c:f>'2022_Data'!$G$135</c:f>
            </c:numRef>
          </c:bubbleSize>
        </c:ser>
        <c:ser>
          <c:idx val="135"/>
          <c:order val="135"/>
          <c:tx>
            <c:strRef>
              <c:f>'2022_Data'!$A$136</c:f>
            </c:strRef>
          </c:tx>
          <c:dLbls>
            <c:dLblPos val="ctr"/>
            <c:showLegendKey val="0"/>
            <c:showVal val="0"/>
            <c:showCatName val="0"/>
            <c:showSerName val="1"/>
            <c:showPercent val="0"/>
            <c:showBubbleSize val="0"/>
          </c:dLbls>
          <c:xVal>
            <c:strRef>
              <c:f>'2022_Data'!$F$136</c:f>
            </c:strRef>
          </c:xVal>
          <c:yVal>
            <c:numRef>
              <c:f>'2022_Data'!$E$136</c:f>
              <c:numCache/>
            </c:numRef>
          </c:yVal>
          <c:bubbleSize>
            <c:numRef>
              <c:f>'2022_Data'!$G$136</c:f>
            </c:numRef>
          </c:bubbleSize>
        </c:ser>
        <c:ser>
          <c:idx val="136"/>
          <c:order val="136"/>
          <c:tx>
            <c:strRef>
              <c:f>'2022_Data'!$A$137</c:f>
            </c:strRef>
          </c:tx>
          <c:dLbls>
            <c:dLblPos val="ctr"/>
            <c:showLegendKey val="0"/>
            <c:showVal val="0"/>
            <c:showCatName val="0"/>
            <c:showSerName val="1"/>
            <c:showPercent val="0"/>
            <c:showBubbleSize val="0"/>
          </c:dLbls>
          <c:xVal>
            <c:strRef>
              <c:f>'2022_Data'!$F$137</c:f>
            </c:strRef>
          </c:xVal>
          <c:yVal>
            <c:numRef>
              <c:f>'2022_Data'!$E$137</c:f>
              <c:numCache/>
            </c:numRef>
          </c:yVal>
          <c:bubbleSize>
            <c:numRef>
              <c:f>'2022_Data'!$G$137</c:f>
            </c:numRef>
          </c:bubbleSize>
        </c:ser>
        <c:ser>
          <c:idx val="137"/>
          <c:order val="137"/>
          <c:tx>
            <c:strRef>
              <c:f>'2022_Data'!$A$138</c:f>
            </c:strRef>
          </c:tx>
          <c:dLbls>
            <c:dLblPos val="ctr"/>
            <c:showLegendKey val="0"/>
            <c:showVal val="0"/>
            <c:showCatName val="0"/>
            <c:showSerName val="1"/>
            <c:showPercent val="0"/>
            <c:showBubbleSize val="0"/>
          </c:dLbls>
          <c:xVal>
            <c:strRef>
              <c:f>'2022_Data'!$F$138</c:f>
            </c:strRef>
          </c:xVal>
          <c:yVal>
            <c:numRef>
              <c:f>'2022_Data'!$E$138</c:f>
              <c:numCache/>
            </c:numRef>
          </c:yVal>
          <c:bubbleSize>
            <c:numRef>
              <c:f>'2022_Data'!$G$138</c:f>
            </c:numRef>
          </c:bubbleSize>
        </c:ser>
        <c:ser>
          <c:idx val="138"/>
          <c:order val="138"/>
          <c:tx>
            <c:strRef>
              <c:f>'2022_Data'!$A$139</c:f>
            </c:strRef>
          </c:tx>
          <c:dLbls>
            <c:dLblPos val="ctr"/>
            <c:showLegendKey val="0"/>
            <c:showVal val="0"/>
            <c:showCatName val="0"/>
            <c:showSerName val="1"/>
            <c:showPercent val="0"/>
            <c:showBubbleSize val="0"/>
          </c:dLbls>
          <c:xVal>
            <c:strRef>
              <c:f>'2022_Data'!$F$139</c:f>
            </c:strRef>
          </c:xVal>
          <c:yVal>
            <c:numRef>
              <c:f>'2022_Data'!$E$139</c:f>
              <c:numCache/>
            </c:numRef>
          </c:yVal>
          <c:bubbleSize>
            <c:numRef>
              <c:f>'2022_Data'!$G$139</c:f>
            </c:numRef>
          </c:bubbleSize>
        </c:ser>
        <c:ser>
          <c:idx val="139"/>
          <c:order val="139"/>
          <c:tx>
            <c:strRef>
              <c:f>'2022_Data'!$A$140</c:f>
            </c:strRef>
          </c:tx>
          <c:dLbls>
            <c:dLblPos val="ctr"/>
            <c:showLegendKey val="0"/>
            <c:showVal val="0"/>
            <c:showCatName val="0"/>
            <c:showSerName val="1"/>
            <c:showPercent val="0"/>
            <c:showBubbleSize val="0"/>
          </c:dLbls>
          <c:xVal>
            <c:strRef>
              <c:f>'2022_Data'!$F$140</c:f>
            </c:strRef>
          </c:xVal>
          <c:yVal>
            <c:numRef>
              <c:f>'2022_Data'!$E$140</c:f>
              <c:numCache/>
            </c:numRef>
          </c:yVal>
          <c:bubbleSize>
            <c:numRef>
              <c:f>'2022_Data'!$G$140</c:f>
            </c:numRef>
          </c:bubbleSize>
        </c:ser>
        <c:ser>
          <c:idx val="140"/>
          <c:order val="140"/>
          <c:tx>
            <c:strRef>
              <c:f>'2022_Data'!$A$141</c:f>
            </c:strRef>
          </c:tx>
          <c:dLbls>
            <c:dLblPos val="ctr"/>
            <c:showLegendKey val="0"/>
            <c:showVal val="0"/>
            <c:showCatName val="0"/>
            <c:showSerName val="1"/>
            <c:showPercent val="0"/>
            <c:showBubbleSize val="0"/>
          </c:dLbls>
          <c:xVal>
            <c:strRef>
              <c:f>'2022_Data'!$F$141</c:f>
            </c:strRef>
          </c:xVal>
          <c:yVal>
            <c:numRef>
              <c:f>'2022_Data'!$E$141</c:f>
              <c:numCache/>
            </c:numRef>
          </c:yVal>
          <c:bubbleSize>
            <c:numRef>
              <c:f>'2022_Data'!$G$141</c:f>
            </c:numRef>
          </c:bubbleSize>
        </c:ser>
        <c:ser>
          <c:idx val="141"/>
          <c:order val="141"/>
          <c:tx>
            <c:strRef>
              <c:f>'2022_Data'!$A$142</c:f>
            </c:strRef>
          </c:tx>
          <c:dLbls>
            <c:dLblPos val="ctr"/>
            <c:showLegendKey val="0"/>
            <c:showVal val="0"/>
            <c:showCatName val="0"/>
            <c:showSerName val="1"/>
            <c:showPercent val="0"/>
            <c:showBubbleSize val="0"/>
          </c:dLbls>
          <c:xVal>
            <c:strRef>
              <c:f>'2022_Data'!$F$142</c:f>
            </c:strRef>
          </c:xVal>
          <c:yVal>
            <c:numRef>
              <c:f>'2022_Data'!$E$142</c:f>
              <c:numCache/>
            </c:numRef>
          </c:yVal>
          <c:bubbleSize>
            <c:numRef>
              <c:f>'2022_Data'!$G$142</c:f>
            </c:numRef>
          </c:bubbleSize>
        </c:ser>
        <c:ser>
          <c:idx val="142"/>
          <c:order val="142"/>
          <c:tx>
            <c:strRef>
              <c:f>'2022_Data'!$A$143</c:f>
            </c:strRef>
          </c:tx>
          <c:dLbls>
            <c:dLblPos val="ctr"/>
            <c:showLegendKey val="0"/>
            <c:showVal val="0"/>
            <c:showCatName val="0"/>
            <c:showSerName val="1"/>
            <c:showPercent val="0"/>
            <c:showBubbleSize val="0"/>
          </c:dLbls>
          <c:xVal>
            <c:strRef>
              <c:f>'2022_Data'!$F$143</c:f>
            </c:strRef>
          </c:xVal>
          <c:yVal>
            <c:numRef>
              <c:f>'2022_Data'!$E$143</c:f>
              <c:numCache/>
            </c:numRef>
          </c:yVal>
          <c:bubbleSize>
            <c:numRef>
              <c:f>'2022_Data'!$G$143</c:f>
            </c:numRef>
          </c:bubbleSize>
        </c:ser>
        <c:ser>
          <c:idx val="143"/>
          <c:order val="143"/>
          <c:tx>
            <c:strRef>
              <c:f>'2022_Data'!$A$144</c:f>
            </c:strRef>
          </c:tx>
          <c:dLbls>
            <c:dLblPos val="ctr"/>
            <c:showLegendKey val="0"/>
            <c:showVal val="0"/>
            <c:showCatName val="0"/>
            <c:showSerName val="1"/>
            <c:showPercent val="0"/>
            <c:showBubbleSize val="0"/>
          </c:dLbls>
          <c:xVal>
            <c:strRef>
              <c:f>'2022_Data'!$F$144</c:f>
            </c:strRef>
          </c:xVal>
          <c:yVal>
            <c:numRef>
              <c:f>'2022_Data'!$E$144</c:f>
              <c:numCache/>
            </c:numRef>
          </c:yVal>
          <c:bubbleSize>
            <c:numRef>
              <c:f>'2022_Data'!$G$144</c:f>
            </c:numRef>
          </c:bubbleSize>
        </c:ser>
        <c:ser>
          <c:idx val="144"/>
          <c:order val="144"/>
          <c:tx>
            <c:strRef>
              <c:f>'2022_Data'!$A$145</c:f>
            </c:strRef>
          </c:tx>
          <c:dLbls>
            <c:dLblPos val="ctr"/>
            <c:showLegendKey val="0"/>
            <c:showVal val="0"/>
            <c:showCatName val="0"/>
            <c:showSerName val="1"/>
            <c:showPercent val="0"/>
            <c:showBubbleSize val="0"/>
          </c:dLbls>
          <c:xVal>
            <c:strRef>
              <c:f>'2022_Data'!$F$145</c:f>
            </c:strRef>
          </c:xVal>
          <c:yVal>
            <c:numRef>
              <c:f>'2022_Data'!$E$145</c:f>
              <c:numCache/>
            </c:numRef>
          </c:yVal>
          <c:bubbleSize>
            <c:numRef>
              <c:f>'2022_Data'!$G$145</c:f>
            </c:numRef>
          </c:bubbleSize>
        </c:ser>
        <c:ser>
          <c:idx val="145"/>
          <c:order val="145"/>
          <c:tx>
            <c:strRef>
              <c:f>'2022_Data'!$A$146</c:f>
            </c:strRef>
          </c:tx>
          <c:dLbls>
            <c:dLblPos val="ctr"/>
            <c:showLegendKey val="0"/>
            <c:showVal val="0"/>
            <c:showCatName val="0"/>
            <c:showSerName val="1"/>
            <c:showPercent val="0"/>
            <c:showBubbleSize val="0"/>
          </c:dLbls>
          <c:xVal>
            <c:strRef>
              <c:f>'2022_Data'!$F$146</c:f>
            </c:strRef>
          </c:xVal>
          <c:yVal>
            <c:numRef>
              <c:f>'2022_Data'!$E$146</c:f>
              <c:numCache/>
            </c:numRef>
          </c:yVal>
          <c:bubbleSize>
            <c:numRef>
              <c:f>'2022_Data'!$G$146</c:f>
            </c:numRef>
          </c:bubbleSize>
        </c:ser>
        <c:ser>
          <c:idx val="146"/>
          <c:order val="146"/>
          <c:tx>
            <c:strRef>
              <c:f>'2022_Data'!$A$147</c:f>
            </c:strRef>
          </c:tx>
          <c:dLbls>
            <c:dLblPos val="ctr"/>
            <c:showLegendKey val="0"/>
            <c:showVal val="0"/>
            <c:showCatName val="0"/>
            <c:showSerName val="1"/>
            <c:showPercent val="0"/>
            <c:showBubbleSize val="0"/>
          </c:dLbls>
          <c:xVal>
            <c:strRef>
              <c:f>'2022_Data'!$F$147</c:f>
            </c:strRef>
          </c:xVal>
          <c:yVal>
            <c:numRef>
              <c:f>'2022_Data'!$E$147</c:f>
              <c:numCache/>
            </c:numRef>
          </c:yVal>
          <c:bubbleSize>
            <c:numRef>
              <c:f>'2022_Data'!$G$147</c:f>
            </c:numRef>
          </c:bubbleSize>
        </c:ser>
        <c:ser>
          <c:idx val="147"/>
          <c:order val="147"/>
          <c:tx>
            <c:strRef>
              <c:f>'2022_Data'!$A$148</c:f>
            </c:strRef>
          </c:tx>
          <c:dLbls>
            <c:dLblPos val="ctr"/>
            <c:showLegendKey val="0"/>
            <c:showVal val="0"/>
            <c:showCatName val="0"/>
            <c:showSerName val="1"/>
            <c:showPercent val="0"/>
            <c:showBubbleSize val="0"/>
          </c:dLbls>
          <c:xVal>
            <c:strRef>
              <c:f>'2022_Data'!$F$148</c:f>
            </c:strRef>
          </c:xVal>
          <c:yVal>
            <c:numRef>
              <c:f>'2022_Data'!$E$148</c:f>
              <c:numCache/>
            </c:numRef>
          </c:yVal>
          <c:bubbleSize>
            <c:numRef>
              <c:f>'2022_Data'!$G$148</c:f>
            </c:numRef>
          </c:bubbleSize>
        </c:ser>
        <c:ser>
          <c:idx val="148"/>
          <c:order val="148"/>
          <c:tx>
            <c:strRef>
              <c:f>'2022_Data'!$A$149</c:f>
            </c:strRef>
          </c:tx>
          <c:dLbls>
            <c:dLblPos val="ctr"/>
            <c:showLegendKey val="0"/>
            <c:showVal val="0"/>
            <c:showCatName val="0"/>
            <c:showSerName val="1"/>
            <c:showPercent val="0"/>
            <c:showBubbleSize val="0"/>
          </c:dLbls>
          <c:xVal>
            <c:strRef>
              <c:f>'2022_Data'!$F$149</c:f>
            </c:strRef>
          </c:xVal>
          <c:yVal>
            <c:numRef>
              <c:f>'2022_Data'!$E$149</c:f>
              <c:numCache/>
            </c:numRef>
          </c:yVal>
          <c:bubbleSize>
            <c:numRef>
              <c:f>'2022_Data'!$G$149</c:f>
            </c:numRef>
          </c:bubbleSize>
        </c:ser>
        <c:ser>
          <c:idx val="149"/>
          <c:order val="149"/>
          <c:tx>
            <c:strRef>
              <c:f>'2022_Data'!$A$150</c:f>
            </c:strRef>
          </c:tx>
          <c:dLbls>
            <c:dLblPos val="ctr"/>
            <c:showLegendKey val="0"/>
            <c:showVal val="0"/>
            <c:showCatName val="0"/>
            <c:showSerName val="1"/>
            <c:showPercent val="0"/>
            <c:showBubbleSize val="0"/>
          </c:dLbls>
          <c:xVal>
            <c:strRef>
              <c:f>'2022_Data'!$F$150</c:f>
            </c:strRef>
          </c:xVal>
          <c:yVal>
            <c:numRef>
              <c:f>'2022_Data'!$E$150</c:f>
              <c:numCache/>
            </c:numRef>
          </c:yVal>
          <c:bubbleSize>
            <c:numRef>
              <c:f>'2022_Data'!$G$150</c:f>
            </c:numRef>
          </c:bubbleSize>
        </c:ser>
        <c:ser>
          <c:idx val="150"/>
          <c:order val="150"/>
          <c:tx>
            <c:strRef>
              <c:f>'2022_Data'!$A$151</c:f>
            </c:strRef>
          </c:tx>
          <c:dLbls>
            <c:dLblPos val="ctr"/>
            <c:showLegendKey val="0"/>
            <c:showVal val="0"/>
            <c:showCatName val="0"/>
            <c:showSerName val="1"/>
            <c:showPercent val="0"/>
            <c:showBubbleSize val="0"/>
          </c:dLbls>
          <c:xVal>
            <c:strRef>
              <c:f>'2022_Data'!$F$151</c:f>
            </c:strRef>
          </c:xVal>
          <c:yVal>
            <c:numRef>
              <c:f>'2022_Data'!$E$151</c:f>
              <c:numCache/>
            </c:numRef>
          </c:yVal>
          <c:bubbleSize>
            <c:numRef>
              <c:f>'2022_Data'!$G$151</c:f>
            </c:numRef>
          </c:bubbleSize>
        </c:ser>
        <c:ser>
          <c:idx val="151"/>
          <c:order val="151"/>
          <c:tx>
            <c:strRef>
              <c:f>'2022_Data'!$A$152</c:f>
            </c:strRef>
          </c:tx>
          <c:dLbls>
            <c:dLblPos val="ctr"/>
            <c:showLegendKey val="0"/>
            <c:showVal val="0"/>
            <c:showCatName val="0"/>
            <c:showSerName val="1"/>
            <c:showPercent val="0"/>
            <c:showBubbleSize val="0"/>
          </c:dLbls>
          <c:xVal>
            <c:strRef>
              <c:f>'2022_Data'!$F$152</c:f>
            </c:strRef>
          </c:xVal>
          <c:yVal>
            <c:numRef>
              <c:f>'2022_Data'!$E$152</c:f>
              <c:numCache/>
            </c:numRef>
          </c:yVal>
          <c:bubbleSize>
            <c:numRef>
              <c:f>'2022_Data'!$G$152</c:f>
            </c:numRef>
          </c:bubbleSize>
        </c:ser>
        <c:ser>
          <c:idx val="152"/>
          <c:order val="152"/>
          <c:tx>
            <c:strRef>
              <c:f>'2022_Data'!$A$153</c:f>
            </c:strRef>
          </c:tx>
          <c:dLbls>
            <c:dLblPos val="ctr"/>
            <c:showLegendKey val="0"/>
            <c:showVal val="0"/>
            <c:showCatName val="0"/>
            <c:showSerName val="1"/>
            <c:showPercent val="0"/>
            <c:showBubbleSize val="0"/>
          </c:dLbls>
          <c:xVal>
            <c:strRef>
              <c:f>'2022_Data'!$F$153</c:f>
            </c:strRef>
          </c:xVal>
          <c:yVal>
            <c:numRef>
              <c:f>'2022_Data'!$E$153</c:f>
              <c:numCache/>
            </c:numRef>
          </c:yVal>
          <c:bubbleSize>
            <c:numRef>
              <c:f>'2022_Data'!$G$153</c:f>
            </c:numRef>
          </c:bubbleSize>
        </c:ser>
        <c:ser>
          <c:idx val="153"/>
          <c:order val="153"/>
          <c:tx>
            <c:strRef>
              <c:f>'2022_Data'!$A$154</c:f>
            </c:strRef>
          </c:tx>
          <c:dLbls>
            <c:dLblPos val="ctr"/>
            <c:showLegendKey val="0"/>
            <c:showVal val="0"/>
            <c:showCatName val="0"/>
            <c:showSerName val="1"/>
            <c:showPercent val="0"/>
            <c:showBubbleSize val="0"/>
          </c:dLbls>
          <c:xVal>
            <c:strRef>
              <c:f>'2022_Data'!$F$154</c:f>
            </c:strRef>
          </c:xVal>
          <c:yVal>
            <c:numRef>
              <c:f>'2022_Data'!$E$154</c:f>
              <c:numCache/>
            </c:numRef>
          </c:yVal>
          <c:bubbleSize>
            <c:numRef>
              <c:f>'2022_Data'!$G$154</c:f>
            </c:numRef>
          </c:bubbleSize>
        </c:ser>
        <c:ser>
          <c:idx val="154"/>
          <c:order val="154"/>
          <c:tx>
            <c:strRef>
              <c:f>'2022_Data'!$A$155</c:f>
            </c:strRef>
          </c:tx>
          <c:dLbls>
            <c:dLblPos val="ctr"/>
            <c:showLegendKey val="0"/>
            <c:showVal val="0"/>
            <c:showCatName val="0"/>
            <c:showSerName val="1"/>
            <c:showPercent val="0"/>
            <c:showBubbleSize val="0"/>
          </c:dLbls>
          <c:xVal>
            <c:strRef>
              <c:f>'2022_Data'!$F$155</c:f>
            </c:strRef>
          </c:xVal>
          <c:yVal>
            <c:numRef>
              <c:f>'2022_Data'!$E$155</c:f>
              <c:numCache/>
            </c:numRef>
          </c:yVal>
          <c:bubbleSize>
            <c:numRef>
              <c:f>'2022_Data'!$G$155</c:f>
            </c:numRef>
          </c:bubbleSize>
        </c:ser>
        <c:ser>
          <c:idx val="155"/>
          <c:order val="155"/>
          <c:tx>
            <c:strRef>
              <c:f>'2022_Data'!$A$156</c:f>
            </c:strRef>
          </c:tx>
          <c:dLbls>
            <c:dLblPos val="ctr"/>
            <c:showLegendKey val="0"/>
            <c:showVal val="0"/>
            <c:showCatName val="0"/>
            <c:showSerName val="1"/>
            <c:showPercent val="0"/>
            <c:showBubbleSize val="0"/>
          </c:dLbls>
          <c:xVal>
            <c:strRef>
              <c:f>'2022_Data'!$F$156</c:f>
            </c:strRef>
          </c:xVal>
          <c:yVal>
            <c:numRef>
              <c:f>'2022_Data'!$E$156</c:f>
              <c:numCache/>
            </c:numRef>
          </c:yVal>
          <c:bubbleSize>
            <c:numRef>
              <c:f>'2022_Data'!$G$156</c:f>
            </c:numRef>
          </c:bubbleSize>
        </c:ser>
        <c:ser>
          <c:idx val="156"/>
          <c:order val="156"/>
          <c:tx>
            <c:strRef>
              <c:f>'2022_Data'!$A$157</c:f>
            </c:strRef>
          </c:tx>
          <c:dLbls>
            <c:dLblPos val="ctr"/>
            <c:showLegendKey val="0"/>
            <c:showVal val="0"/>
            <c:showCatName val="0"/>
            <c:showSerName val="1"/>
            <c:showPercent val="0"/>
            <c:showBubbleSize val="0"/>
          </c:dLbls>
          <c:xVal>
            <c:strRef>
              <c:f>'2022_Data'!$F$157</c:f>
            </c:strRef>
          </c:xVal>
          <c:yVal>
            <c:numRef>
              <c:f>'2022_Data'!$E$157</c:f>
              <c:numCache/>
            </c:numRef>
          </c:yVal>
          <c:bubbleSize>
            <c:numRef>
              <c:f>'2022_Data'!$G$157</c:f>
            </c:numRef>
          </c:bubbleSize>
        </c:ser>
        <c:ser>
          <c:idx val="157"/>
          <c:order val="157"/>
          <c:tx>
            <c:strRef>
              <c:f>'2022_Data'!$A$158</c:f>
            </c:strRef>
          </c:tx>
          <c:dLbls>
            <c:dLblPos val="ctr"/>
            <c:showLegendKey val="0"/>
            <c:showVal val="0"/>
            <c:showCatName val="0"/>
            <c:showSerName val="1"/>
            <c:showPercent val="0"/>
            <c:showBubbleSize val="0"/>
          </c:dLbls>
          <c:xVal>
            <c:strRef>
              <c:f>'2022_Data'!$F$158</c:f>
            </c:strRef>
          </c:xVal>
          <c:yVal>
            <c:numRef>
              <c:f>'2022_Data'!$E$158</c:f>
              <c:numCache/>
            </c:numRef>
          </c:yVal>
          <c:bubbleSize>
            <c:numRef>
              <c:f>'2022_Data'!$G$158</c:f>
            </c:numRef>
          </c:bubbleSize>
        </c:ser>
        <c:ser>
          <c:idx val="158"/>
          <c:order val="158"/>
          <c:tx>
            <c:strRef>
              <c:f>'2022_Data'!$A$159</c:f>
            </c:strRef>
          </c:tx>
          <c:dLbls>
            <c:dLblPos val="ctr"/>
            <c:showLegendKey val="0"/>
            <c:showVal val="0"/>
            <c:showCatName val="0"/>
            <c:showSerName val="1"/>
            <c:showPercent val="0"/>
            <c:showBubbleSize val="0"/>
          </c:dLbls>
          <c:xVal>
            <c:strRef>
              <c:f>'2022_Data'!$F$159</c:f>
            </c:strRef>
          </c:xVal>
          <c:yVal>
            <c:numRef>
              <c:f>'2022_Data'!$E$159</c:f>
              <c:numCache/>
            </c:numRef>
          </c:yVal>
          <c:bubbleSize>
            <c:numRef>
              <c:f>'2022_Data'!$G$159</c:f>
            </c:numRef>
          </c:bubbleSize>
        </c:ser>
        <c:ser>
          <c:idx val="159"/>
          <c:order val="159"/>
          <c:tx>
            <c:strRef>
              <c:f>'2022_Data'!$A$160</c:f>
            </c:strRef>
          </c:tx>
          <c:dLbls>
            <c:dLblPos val="ctr"/>
            <c:showLegendKey val="0"/>
            <c:showVal val="0"/>
            <c:showCatName val="0"/>
            <c:showSerName val="1"/>
            <c:showPercent val="0"/>
            <c:showBubbleSize val="0"/>
          </c:dLbls>
          <c:xVal>
            <c:strRef>
              <c:f>'2022_Data'!$F$160</c:f>
            </c:strRef>
          </c:xVal>
          <c:yVal>
            <c:numRef>
              <c:f>'2022_Data'!$E$160</c:f>
              <c:numCache/>
            </c:numRef>
          </c:yVal>
          <c:bubbleSize>
            <c:numRef>
              <c:f>'2022_Data'!$G$160</c:f>
            </c:numRef>
          </c:bubbleSize>
        </c:ser>
        <c:ser>
          <c:idx val="160"/>
          <c:order val="160"/>
          <c:tx>
            <c:strRef>
              <c:f>'2022_Data'!$A$161</c:f>
            </c:strRef>
          </c:tx>
          <c:dLbls>
            <c:dLblPos val="ctr"/>
            <c:showLegendKey val="0"/>
            <c:showVal val="0"/>
            <c:showCatName val="0"/>
            <c:showSerName val="1"/>
            <c:showPercent val="0"/>
            <c:showBubbleSize val="0"/>
          </c:dLbls>
          <c:xVal>
            <c:strRef>
              <c:f>'2022_Data'!$F$161</c:f>
            </c:strRef>
          </c:xVal>
          <c:yVal>
            <c:numRef>
              <c:f>'2022_Data'!$E$161</c:f>
              <c:numCache/>
            </c:numRef>
          </c:yVal>
          <c:bubbleSize>
            <c:numRef>
              <c:f>'2022_Data'!$G$161</c:f>
            </c:numRef>
          </c:bubbleSize>
        </c:ser>
        <c:ser>
          <c:idx val="161"/>
          <c:order val="161"/>
          <c:tx>
            <c:strRef>
              <c:f>'2022_Data'!$A$162</c:f>
            </c:strRef>
          </c:tx>
          <c:dLbls>
            <c:dLblPos val="ctr"/>
            <c:showLegendKey val="0"/>
            <c:showVal val="0"/>
            <c:showCatName val="0"/>
            <c:showSerName val="1"/>
            <c:showPercent val="0"/>
            <c:showBubbleSize val="0"/>
          </c:dLbls>
          <c:xVal>
            <c:strRef>
              <c:f>'2022_Data'!$F$162</c:f>
            </c:strRef>
          </c:xVal>
          <c:yVal>
            <c:numRef>
              <c:f>'2022_Data'!$E$162</c:f>
              <c:numCache/>
            </c:numRef>
          </c:yVal>
          <c:bubbleSize>
            <c:numRef>
              <c:f>'2022_Data'!$G$162</c:f>
            </c:numRef>
          </c:bubbleSize>
        </c:ser>
        <c:ser>
          <c:idx val="162"/>
          <c:order val="162"/>
          <c:tx>
            <c:strRef>
              <c:f>'2022_Data'!$A$163</c:f>
            </c:strRef>
          </c:tx>
          <c:dLbls>
            <c:dLblPos val="ctr"/>
            <c:showLegendKey val="0"/>
            <c:showVal val="0"/>
            <c:showCatName val="0"/>
            <c:showSerName val="1"/>
            <c:showPercent val="0"/>
            <c:showBubbleSize val="0"/>
          </c:dLbls>
          <c:xVal>
            <c:strRef>
              <c:f>'2022_Data'!$F$163</c:f>
            </c:strRef>
          </c:xVal>
          <c:yVal>
            <c:numRef>
              <c:f>'2022_Data'!$E$163</c:f>
              <c:numCache/>
            </c:numRef>
          </c:yVal>
          <c:bubbleSize>
            <c:numRef>
              <c:f>'2022_Data'!$G$163</c:f>
            </c:numRef>
          </c:bubbleSize>
        </c:ser>
        <c:ser>
          <c:idx val="163"/>
          <c:order val="163"/>
          <c:tx>
            <c:strRef>
              <c:f>'2022_Data'!$A$164</c:f>
            </c:strRef>
          </c:tx>
          <c:dLbls>
            <c:dLblPos val="ctr"/>
            <c:showLegendKey val="0"/>
            <c:showVal val="0"/>
            <c:showCatName val="0"/>
            <c:showSerName val="1"/>
            <c:showPercent val="0"/>
            <c:showBubbleSize val="0"/>
          </c:dLbls>
          <c:xVal>
            <c:strRef>
              <c:f>'2022_Data'!$F$164</c:f>
            </c:strRef>
          </c:xVal>
          <c:yVal>
            <c:numRef>
              <c:f>'2022_Data'!$E$164</c:f>
              <c:numCache/>
            </c:numRef>
          </c:yVal>
          <c:bubbleSize>
            <c:numRef>
              <c:f>'2022_Data'!$G$164</c:f>
            </c:numRef>
          </c:bubbleSize>
        </c:ser>
        <c:ser>
          <c:idx val="164"/>
          <c:order val="164"/>
          <c:tx>
            <c:strRef>
              <c:f>'2022_Data'!$A$165</c:f>
            </c:strRef>
          </c:tx>
          <c:dLbls>
            <c:dLblPos val="ctr"/>
            <c:showLegendKey val="0"/>
            <c:showVal val="0"/>
            <c:showCatName val="0"/>
            <c:showSerName val="1"/>
            <c:showPercent val="0"/>
            <c:showBubbleSize val="0"/>
          </c:dLbls>
          <c:xVal>
            <c:strRef>
              <c:f>'2022_Data'!$F$165</c:f>
            </c:strRef>
          </c:xVal>
          <c:yVal>
            <c:numRef>
              <c:f>'2022_Data'!$E$165</c:f>
              <c:numCache/>
            </c:numRef>
          </c:yVal>
          <c:bubbleSize>
            <c:numRef>
              <c:f>'2022_Data'!$G$165</c:f>
            </c:numRef>
          </c:bubbleSize>
        </c:ser>
        <c:ser>
          <c:idx val="165"/>
          <c:order val="165"/>
          <c:tx>
            <c:strRef>
              <c:f>'2022_Data'!$A$166</c:f>
            </c:strRef>
          </c:tx>
          <c:dLbls>
            <c:dLblPos val="ctr"/>
            <c:showLegendKey val="0"/>
            <c:showVal val="0"/>
            <c:showCatName val="0"/>
            <c:showSerName val="1"/>
            <c:showPercent val="0"/>
            <c:showBubbleSize val="0"/>
          </c:dLbls>
          <c:xVal>
            <c:strRef>
              <c:f>'2022_Data'!$F$166</c:f>
            </c:strRef>
          </c:xVal>
          <c:yVal>
            <c:numRef>
              <c:f>'2022_Data'!$E$166</c:f>
              <c:numCache/>
            </c:numRef>
          </c:yVal>
          <c:bubbleSize>
            <c:numRef>
              <c:f>'2022_Data'!$G$166</c:f>
            </c:numRef>
          </c:bubbleSize>
        </c:ser>
        <c:ser>
          <c:idx val="166"/>
          <c:order val="166"/>
          <c:tx>
            <c:strRef>
              <c:f>'2022_Data'!$A$167</c:f>
            </c:strRef>
          </c:tx>
          <c:dLbls>
            <c:dLblPos val="ctr"/>
            <c:showLegendKey val="0"/>
            <c:showVal val="0"/>
            <c:showCatName val="0"/>
            <c:showSerName val="1"/>
            <c:showPercent val="0"/>
            <c:showBubbleSize val="0"/>
          </c:dLbls>
          <c:xVal>
            <c:strRef>
              <c:f>'2022_Data'!$F$167</c:f>
            </c:strRef>
          </c:xVal>
          <c:yVal>
            <c:numRef>
              <c:f>'2022_Data'!$E$167</c:f>
              <c:numCache/>
            </c:numRef>
          </c:yVal>
          <c:bubbleSize>
            <c:numRef>
              <c:f>'2022_Data'!$G$167</c:f>
            </c:numRef>
          </c:bubbleSize>
        </c:ser>
        <c:ser>
          <c:idx val="167"/>
          <c:order val="167"/>
          <c:tx>
            <c:strRef>
              <c:f>'2022_Data'!$A$168</c:f>
            </c:strRef>
          </c:tx>
          <c:dLbls>
            <c:dLblPos val="ctr"/>
            <c:showLegendKey val="0"/>
            <c:showVal val="0"/>
            <c:showCatName val="0"/>
            <c:showSerName val="1"/>
            <c:showPercent val="0"/>
            <c:showBubbleSize val="0"/>
          </c:dLbls>
          <c:xVal>
            <c:strRef>
              <c:f>'2022_Data'!$F$168</c:f>
            </c:strRef>
          </c:xVal>
          <c:yVal>
            <c:numRef>
              <c:f>'2022_Data'!$E$168</c:f>
              <c:numCache/>
            </c:numRef>
          </c:yVal>
          <c:bubbleSize>
            <c:numRef>
              <c:f>'2022_Data'!$G$168</c:f>
            </c:numRef>
          </c:bubbleSize>
        </c:ser>
        <c:ser>
          <c:idx val="168"/>
          <c:order val="168"/>
          <c:tx>
            <c:strRef>
              <c:f>'2022_Data'!$A$169</c:f>
            </c:strRef>
          </c:tx>
          <c:dLbls>
            <c:dLblPos val="ctr"/>
            <c:showLegendKey val="0"/>
            <c:showVal val="0"/>
            <c:showCatName val="0"/>
            <c:showSerName val="1"/>
            <c:showPercent val="0"/>
            <c:showBubbleSize val="0"/>
          </c:dLbls>
          <c:xVal>
            <c:strRef>
              <c:f>'2022_Data'!$F$169</c:f>
            </c:strRef>
          </c:xVal>
          <c:yVal>
            <c:numRef>
              <c:f>'2022_Data'!$E$169</c:f>
              <c:numCache/>
            </c:numRef>
          </c:yVal>
          <c:bubbleSize>
            <c:numRef>
              <c:f>'2022_Data'!$G$169</c:f>
            </c:numRef>
          </c:bubbleSize>
        </c:ser>
        <c:ser>
          <c:idx val="169"/>
          <c:order val="169"/>
          <c:tx>
            <c:strRef>
              <c:f>'2022_Data'!$A$170</c:f>
            </c:strRef>
          </c:tx>
          <c:dLbls>
            <c:dLblPos val="ctr"/>
            <c:showLegendKey val="0"/>
            <c:showVal val="0"/>
            <c:showCatName val="0"/>
            <c:showSerName val="1"/>
            <c:showPercent val="0"/>
            <c:showBubbleSize val="0"/>
          </c:dLbls>
          <c:xVal>
            <c:strRef>
              <c:f>'2022_Data'!$F$170</c:f>
            </c:strRef>
          </c:xVal>
          <c:yVal>
            <c:numRef>
              <c:f>'2022_Data'!$E$170</c:f>
              <c:numCache/>
            </c:numRef>
          </c:yVal>
          <c:bubbleSize>
            <c:numRef>
              <c:f>'2022_Data'!$G$170</c:f>
            </c:numRef>
          </c:bubbleSize>
        </c:ser>
        <c:ser>
          <c:idx val="170"/>
          <c:order val="170"/>
          <c:tx>
            <c:strRef>
              <c:f>'2022_Data'!$A$171</c:f>
            </c:strRef>
          </c:tx>
          <c:dLbls>
            <c:dLblPos val="ctr"/>
            <c:showLegendKey val="0"/>
            <c:showVal val="0"/>
            <c:showCatName val="0"/>
            <c:showSerName val="1"/>
            <c:showPercent val="0"/>
            <c:showBubbleSize val="0"/>
          </c:dLbls>
          <c:xVal>
            <c:strRef>
              <c:f>'2022_Data'!$F$171</c:f>
            </c:strRef>
          </c:xVal>
          <c:yVal>
            <c:numRef>
              <c:f>'2022_Data'!$E$171</c:f>
              <c:numCache/>
            </c:numRef>
          </c:yVal>
          <c:bubbleSize>
            <c:numRef>
              <c:f>'2022_Data'!$G$171</c:f>
            </c:numRef>
          </c:bubbleSize>
        </c:ser>
        <c:ser>
          <c:idx val="171"/>
          <c:order val="171"/>
          <c:tx>
            <c:strRef>
              <c:f>'2022_Data'!$A$172</c:f>
            </c:strRef>
          </c:tx>
          <c:dLbls>
            <c:dLblPos val="ctr"/>
            <c:showLegendKey val="0"/>
            <c:showVal val="0"/>
            <c:showCatName val="0"/>
            <c:showSerName val="1"/>
            <c:showPercent val="0"/>
            <c:showBubbleSize val="0"/>
          </c:dLbls>
          <c:xVal>
            <c:strRef>
              <c:f>'2022_Data'!$F$172</c:f>
            </c:strRef>
          </c:xVal>
          <c:yVal>
            <c:numRef>
              <c:f>'2022_Data'!$E$172</c:f>
              <c:numCache/>
            </c:numRef>
          </c:yVal>
          <c:bubbleSize>
            <c:numRef>
              <c:f>'2022_Data'!$G$172</c:f>
            </c:numRef>
          </c:bubbleSize>
        </c:ser>
        <c:ser>
          <c:idx val="172"/>
          <c:order val="172"/>
          <c:tx>
            <c:strRef>
              <c:f>'2022_Data'!$A$173</c:f>
            </c:strRef>
          </c:tx>
          <c:dLbls>
            <c:dLblPos val="ctr"/>
            <c:showLegendKey val="0"/>
            <c:showVal val="0"/>
            <c:showCatName val="0"/>
            <c:showSerName val="1"/>
            <c:showPercent val="0"/>
            <c:showBubbleSize val="0"/>
          </c:dLbls>
          <c:xVal>
            <c:strRef>
              <c:f>'2022_Data'!$F$173</c:f>
            </c:strRef>
          </c:xVal>
          <c:yVal>
            <c:numRef>
              <c:f>'2022_Data'!$E$173</c:f>
              <c:numCache/>
            </c:numRef>
          </c:yVal>
          <c:bubbleSize>
            <c:numRef>
              <c:f>'2022_Data'!$G$173</c:f>
            </c:numRef>
          </c:bubbleSize>
        </c:ser>
        <c:ser>
          <c:idx val="173"/>
          <c:order val="173"/>
          <c:tx>
            <c:strRef>
              <c:f>'2022_Data'!$A$174</c:f>
            </c:strRef>
          </c:tx>
          <c:dLbls>
            <c:dLblPos val="ctr"/>
            <c:showLegendKey val="0"/>
            <c:showVal val="0"/>
            <c:showCatName val="0"/>
            <c:showSerName val="1"/>
            <c:showPercent val="0"/>
            <c:showBubbleSize val="0"/>
          </c:dLbls>
          <c:xVal>
            <c:strRef>
              <c:f>'2022_Data'!$F$174</c:f>
            </c:strRef>
          </c:xVal>
          <c:yVal>
            <c:numRef>
              <c:f>'2022_Data'!$E$174</c:f>
              <c:numCache/>
            </c:numRef>
          </c:yVal>
          <c:bubbleSize>
            <c:numRef>
              <c:f>'2022_Data'!$G$174</c:f>
            </c:numRef>
          </c:bubbleSize>
        </c:ser>
        <c:ser>
          <c:idx val="174"/>
          <c:order val="174"/>
          <c:tx>
            <c:strRef>
              <c:f>'2022_Data'!$A$175</c:f>
            </c:strRef>
          </c:tx>
          <c:dLbls>
            <c:dLblPos val="ctr"/>
            <c:showLegendKey val="0"/>
            <c:showVal val="0"/>
            <c:showCatName val="0"/>
            <c:showSerName val="1"/>
            <c:showPercent val="0"/>
            <c:showBubbleSize val="0"/>
          </c:dLbls>
          <c:xVal>
            <c:strRef>
              <c:f>'2022_Data'!$F$175</c:f>
            </c:strRef>
          </c:xVal>
          <c:yVal>
            <c:numRef>
              <c:f>'2022_Data'!$E$175</c:f>
              <c:numCache/>
            </c:numRef>
          </c:yVal>
          <c:bubbleSize>
            <c:numRef>
              <c:f>'2022_Data'!$G$175</c:f>
            </c:numRef>
          </c:bubbleSize>
        </c:ser>
        <c:ser>
          <c:idx val="175"/>
          <c:order val="175"/>
          <c:tx>
            <c:strRef>
              <c:f>'2022_Data'!$A$176</c:f>
            </c:strRef>
          </c:tx>
          <c:dLbls>
            <c:dLblPos val="ctr"/>
            <c:showLegendKey val="0"/>
            <c:showVal val="0"/>
            <c:showCatName val="0"/>
            <c:showSerName val="1"/>
            <c:showPercent val="0"/>
            <c:showBubbleSize val="0"/>
          </c:dLbls>
          <c:xVal>
            <c:strRef>
              <c:f>'2022_Data'!$F$176</c:f>
            </c:strRef>
          </c:xVal>
          <c:yVal>
            <c:numRef>
              <c:f>'2022_Data'!$E$176</c:f>
              <c:numCache/>
            </c:numRef>
          </c:yVal>
          <c:bubbleSize>
            <c:numRef>
              <c:f>'2022_Data'!$G$176</c:f>
            </c:numRef>
          </c:bubbleSize>
        </c:ser>
        <c:ser>
          <c:idx val="176"/>
          <c:order val="176"/>
          <c:tx>
            <c:strRef>
              <c:f>'2022_Data'!$A$177</c:f>
            </c:strRef>
          </c:tx>
          <c:dLbls>
            <c:dLblPos val="ctr"/>
            <c:showLegendKey val="0"/>
            <c:showVal val="0"/>
            <c:showCatName val="0"/>
            <c:showSerName val="1"/>
            <c:showPercent val="0"/>
            <c:showBubbleSize val="0"/>
          </c:dLbls>
          <c:xVal>
            <c:strRef>
              <c:f>'2022_Data'!$F$177</c:f>
            </c:strRef>
          </c:xVal>
          <c:yVal>
            <c:numRef>
              <c:f>'2022_Data'!$E$177</c:f>
              <c:numCache/>
            </c:numRef>
          </c:yVal>
          <c:bubbleSize>
            <c:numRef>
              <c:f>'2022_Data'!$G$177</c:f>
            </c:numRef>
          </c:bubbleSize>
        </c:ser>
        <c:ser>
          <c:idx val="177"/>
          <c:order val="177"/>
          <c:tx>
            <c:strRef>
              <c:f>'2022_Data'!$A$178</c:f>
            </c:strRef>
          </c:tx>
          <c:dLbls>
            <c:dLblPos val="ctr"/>
            <c:showLegendKey val="0"/>
            <c:showVal val="0"/>
            <c:showCatName val="0"/>
            <c:showSerName val="1"/>
            <c:showPercent val="0"/>
            <c:showBubbleSize val="0"/>
          </c:dLbls>
          <c:xVal>
            <c:strRef>
              <c:f>'2022_Data'!$F$178</c:f>
            </c:strRef>
          </c:xVal>
          <c:yVal>
            <c:numRef>
              <c:f>'2022_Data'!$E$178</c:f>
              <c:numCache/>
            </c:numRef>
          </c:yVal>
          <c:bubbleSize>
            <c:numRef>
              <c:f>'2022_Data'!$G$178</c:f>
            </c:numRef>
          </c:bubbleSize>
        </c:ser>
        <c:ser>
          <c:idx val="178"/>
          <c:order val="178"/>
          <c:tx>
            <c:strRef>
              <c:f>'2022_Data'!$A$179</c:f>
            </c:strRef>
          </c:tx>
          <c:dLbls>
            <c:dLblPos val="ctr"/>
            <c:showLegendKey val="0"/>
            <c:showVal val="0"/>
            <c:showCatName val="0"/>
            <c:showSerName val="1"/>
            <c:showPercent val="0"/>
            <c:showBubbleSize val="0"/>
          </c:dLbls>
          <c:xVal>
            <c:strRef>
              <c:f>'2022_Data'!$F$179</c:f>
            </c:strRef>
          </c:xVal>
          <c:yVal>
            <c:numRef>
              <c:f>'2022_Data'!$E$179</c:f>
              <c:numCache/>
            </c:numRef>
          </c:yVal>
          <c:bubbleSize>
            <c:numRef>
              <c:f>'2022_Data'!$G$179</c:f>
            </c:numRef>
          </c:bubbleSize>
        </c:ser>
        <c:ser>
          <c:idx val="179"/>
          <c:order val="179"/>
          <c:tx>
            <c:strRef>
              <c:f>'2022_Data'!$A$180</c:f>
            </c:strRef>
          </c:tx>
          <c:dLbls>
            <c:dLblPos val="ctr"/>
            <c:showLegendKey val="0"/>
            <c:showVal val="0"/>
            <c:showCatName val="0"/>
            <c:showSerName val="1"/>
            <c:showPercent val="0"/>
            <c:showBubbleSize val="0"/>
          </c:dLbls>
          <c:xVal>
            <c:strRef>
              <c:f>'2022_Data'!$F$180</c:f>
            </c:strRef>
          </c:xVal>
          <c:yVal>
            <c:numRef>
              <c:f>'2022_Data'!$E$180</c:f>
              <c:numCache/>
            </c:numRef>
          </c:yVal>
          <c:bubbleSize>
            <c:numRef>
              <c:f>'2022_Data'!$G$180</c:f>
            </c:numRef>
          </c:bubbleSize>
        </c:ser>
        <c:ser>
          <c:idx val="180"/>
          <c:order val="180"/>
          <c:tx>
            <c:strRef>
              <c:f>'2022_Data'!$A$181</c:f>
            </c:strRef>
          </c:tx>
          <c:dLbls>
            <c:dLblPos val="ctr"/>
            <c:showLegendKey val="0"/>
            <c:showVal val="0"/>
            <c:showCatName val="0"/>
            <c:showSerName val="1"/>
            <c:showPercent val="0"/>
            <c:showBubbleSize val="0"/>
          </c:dLbls>
          <c:xVal>
            <c:strRef>
              <c:f>'2022_Data'!$F$181</c:f>
            </c:strRef>
          </c:xVal>
          <c:yVal>
            <c:numRef>
              <c:f>'2022_Data'!$E$181</c:f>
              <c:numCache/>
            </c:numRef>
          </c:yVal>
          <c:bubbleSize>
            <c:numRef>
              <c:f>'2022_Data'!$G$181</c:f>
            </c:numRef>
          </c:bubbleSize>
        </c:ser>
        <c:ser>
          <c:idx val="181"/>
          <c:order val="181"/>
          <c:tx>
            <c:strRef>
              <c:f>'2022_Data'!$A$182</c:f>
            </c:strRef>
          </c:tx>
          <c:dLbls>
            <c:dLblPos val="ctr"/>
            <c:showLegendKey val="0"/>
            <c:showVal val="0"/>
            <c:showCatName val="0"/>
            <c:showSerName val="1"/>
            <c:showPercent val="0"/>
            <c:showBubbleSize val="0"/>
          </c:dLbls>
          <c:xVal>
            <c:strRef>
              <c:f>'2022_Data'!$F$182</c:f>
            </c:strRef>
          </c:xVal>
          <c:yVal>
            <c:numRef>
              <c:f>'2022_Data'!$E$182</c:f>
              <c:numCache/>
            </c:numRef>
          </c:yVal>
          <c:bubbleSize>
            <c:numRef>
              <c:f>'2022_Data'!$G$182</c:f>
            </c:numRef>
          </c:bubbleSize>
        </c:ser>
        <c:ser>
          <c:idx val="182"/>
          <c:order val="182"/>
          <c:tx>
            <c:strRef>
              <c:f>'2022_Data'!$A$183</c:f>
            </c:strRef>
          </c:tx>
          <c:dLbls>
            <c:dLblPos val="ctr"/>
            <c:showLegendKey val="0"/>
            <c:showVal val="0"/>
            <c:showCatName val="0"/>
            <c:showSerName val="1"/>
            <c:showPercent val="0"/>
            <c:showBubbleSize val="0"/>
          </c:dLbls>
          <c:xVal>
            <c:strRef>
              <c:f>'2022_Data'!$F$183</c:f>
            </c:strRef>
          </c:xVal>
          <c:yVal>
            <c:numRef>
              <c:f>'2022_Data'!$E$183</c:f>
              <c:numCache/>
            </c:numRef>
          </c:yVal>
          <c:bubbleSize>
            <c:numRef>
              <c:f>'2022_Data'!$G$183</c:f>
            </c:numRef>
          </c:bubbleSize>
        </c:ser>
        <c:ser>
          <c:idx val="183"/>
          <c:order val="183"/>
          <c:tx>
            <c:strRef>
              <c:f>'2022_Data'!$A$184</c:f>
            </c:strRef>
          </c:tx>
          <c:dLbls>
            <c:dLblPos val="ctr"/>
            <c:showLegendKey val="0"/>
            <c:showVal val="0"/>
            <c:showCatName val="0"/>
            <c:showSerName val="1"/>
            <c:showPercent val="0"/>
            <c:showBubbleSize val="0"/>
          </c:dLbls>
          <c:xVal>
            <c:strRef>
              <c:f>'2022_Data'!$F$184</c:f>
            </c:strRef>
          </c:xVal>
          <c:yVal>
            <c:numRef>
              <c:f>'2022_Data'!$E$184</c:f>
              <c:numCache/>
            </c:numRef>
          </c:yVal>
          <c:bubbleSize>
            <c:numRef>
              <c:f>'2022_Data'!$G$184</c:f>
            </c:numRef>
          </c:bubbleSize>
        </c:ser>
        <c:ser>
          <c:idx val="184"/>
          <c:order val="184"/>
          <c:tx>
            <c:strRef>
              <c:f>'2022_Data'!$A$185</c:f>
            </c:strRef>
          </c:tx>
          <c:dLbls>
            <c:dLblPos val="ctr"/>
            <c:showLegendKey val="0"/>
            <c:showVal val="0"/>
            <c:showCatName val="0"/>
            <c:showSerName val="1"/>
            <c:showPercent val="0"/>
            <c:showBubbleSize val="0"/>
          </c:dLbls>
          <c:xVal>
            <c:strRef>
              <c:f>'2022_Data'!$F$185</c:f>
            </c:strRef>
          </c:xVal>
          <c:yVal>
            <c:numRef>
              <c:f>'2022_Data'!$E$185</c:f>
              <c:numCache/>
            </c:numRef>
          </c:yVal>
          <c:bubbleSize>
            <c:numRef>
              <c:f>'2022_Data'!$G$185</c:f>
            </c:numRef>
          </c:bubbleSize>
        </c:ser>
        <c:ser>
          <c:idx val="185"/>
          <c:order val="185"/>
          <c:tx>
            <c:strRef>
              <c:f>'2022_Data'!$A$186</c:f>
            </c:strRef>
          </c:tx>
          <c:dLbls>
            <c:dLblPos val="ctr"/>
            <c:showLegendKey val="0"/>
            <c:showVal val="0"/>
            <c:showCatName val="0"/>
            <c:showSerName val="1"/>
            <c:showPercent val="0"/>
            <c:showBubbleSize val="0"/>
          </c:dLbls>
          <c:xVal>
            <c:strRef>
              <c:f>'2022_Data'!$F$186</c:f>
            </c:strRef>
          </c:xVal>
          <c:yVal>
            <c:numRef>
              <c:f>'2022_Data'!$E$186</c:f>
              <c:numCache/>
            </c:numRef>
          </c:yVal>
          <c:bubbleSize>
            <c:numRef>
              <c:f>'2022_Data'!$G$186</c:f>
            </c:numRef>
          </c:bubbleSize>
        </c:ser>
        <c:ser>
          <c:idx val="186"/>
          <c:order val="186"/>
          <c:tx>
            <c:strRef>
              <c:f>'2022_Data'!$A$187</c:f>
            </c:strRef>
          </c:tx>
          <c:dLbls>
            <c:dLblPos val="ctr"/>
            <c:showLegendKey val="0"/>
            <c:showVal val="0"/>
            <c:showCatName val="0"/>
            <c:showSerName val="1"/>
            <c:showPercent val="0"/>
            <c:showBubbleSize val="0"/>
          </c:dLbls>
          <c:xVal>
            <c:strRef>
              <c:f>'2022_Data'!$F$187</c:f>
            </c:strRef>
          </c:xVal>
          <c:yVal>
            <c:numRef>
              <c:f>'2022_Data'!$E$187</c:f>
              <c:numCache/>
            </c:numRef>
          </c:yVal>
          <c:bubbleSize>
            <c:numRef>
              <c:f>'2022_Data'!$G$187</c:f>
            </c:numRef>
          </c:bubbleSize>
        </c:ser>
        <c:ser>
          <c:idx val="187"/>
          <c:order val="187"/>
          <c:tx>
            <c:strRef>
              <c:f>'2022_Data'!$A$188</c:f>
            </c:strRef>
          </c:tx>
          <c:dLbls>
            <c:dLblPos val="ctr"/>
            <c:showLegendKey val="0"/>
            <c:showVal val="0"/>
            <c:showCatName val="0"/>
            <c:showSerName val="1"/>
            <c:showPercent val="0"/>
            <c:showBubbleSize val="0"/>
          </c:dLbls>
          <c:xVal>
            <c:strRef>
              <c:f>'2022_Data'!$F$188</c:f>
            </c:strRef>
          </c:xVal>
          <c:yVal>
            <c:numRef>
              <c:f>'2022_Data'!$E$188</c:f>
              <c:numCache/>
            </c:numRef>
          </c:yVal>
          <c:bubbleSize>
            <c:numRef>
              <c:f>'2022_Data'!$G$188</c:f>
            </c:numRef>
          </c:bubbleSize>
        </c:ser>
        <c:ser>
          <c:idx val="188"/>
          <c:order val="188"/>
          <c:tx>
            <c:strRef>
              <c:f>'2022_Data'!$A$189</c:f>
            </c:strRef>
          </c:tx>
          <c:dLbls>
            <c:dLblPos val="ctr"/>
            <c:showLegendKey val="0"/>
            <c:showVal val="0"/>
            <c:showCatName val="0"/>
            <c:showSerName val="1"/>
            <c:showPercent val="0"/>
            <c:showBubbleSize val="0"/>
          </c:dLbls>
          <c:xVal>
            <c:strRef>
              <c:f>'2022_Data'!$F$189</c:f>
            </c:strRef>
          </c:xVal>
          <c:yVal>
            <c:numRef>
              <c:f>'2022_Data'!$E$189</c:f>
              <c:numCache/>
            </c:numRef>
          </c:yVal>
          <c:bubbleSize>
            <c:numRef>
              <c:f>'2022_Data'!$G$189</c:f>
            </c:numRef>
          </c:bubbleSize>
        </c:ser>
        <c:ser>
          <c:idx val="189"/>
          <c:order val="189"/>
          <c:tx>
            <c:strRef>
              <c:f>'2022_Data'!$A$190</c:f>
            </c:strRef>
          </c:tx>
          <c:dLbls>
            <c:dLblPos val="ctr"/>
            <c:showLegendKey val="0"/>
            <c:showVal val="0"/>
            <c:showCatName val="0"/>
            <c:showSerName val="1"/>
            <c:showPercent val="0"/>
            <c:showBubbleSize val="0"/>
          </c:dLbls>
          <c:xVal>
            <c:strRef>
              <c:f>'2022_Data'!$F$190</c:f>
            </c:strRef>
          </c:xVal>
          <c:yVal>
            <c:numRef>
              <c:f>'2022_Data'!$E$190</c:f>
              <c:numCache/>
            </c:numRef>
          </c:yVal>
          <c:bubbleSize>
            <c:numRef>
              <c:f>'2022_Data'!$G$190</c:f>
            </c:numRef>
          </c:bubbleSize>
        </c:ser>
        <c:ser>
          <c:idx val="190"/>
          <c:order val="190"/>
          <c:tx>
            <c:strRef>
              <c:f>'2022_Data'!$A$191</c:f>
            </c:strRef>
          </c:tx>
          <c:dLbls>
            <c:dLblPos val="ctr"/>
            <c:showLegendKey val="0"/>
            <c:showVal val="0"/>
            <c:showCatName val="0"/>
            <c:showSerName val="1"/>
            <c:showPercent val="0"/>
            <c:showBubbleSize val="0"/>
          </c:dLbls>
          <c:xVal>
            <c:strRef>
              <c:f>'2022_Data'!$F$191</c:f>
            </c:strRef>
          </c:xVal>
          <c:yVal>
            <c:numRef>
              <c:f>'2022_Data'!$E$191</c:f>
              <c:numCache/>
            </c:numRef>
          </c:yVal>
          <c:bubbleSize>
            <c:numRef>
              <c:f>'2022_Data'!$G$191</c:f>
            </c:numRef>
          </c:bubbleSize>
        </c:ser>
        <c:ser>
          <c:idx val="191"/>
          <c:order val="191"/>
          <c:tx>
            <c:strRef>
              <c:f>'2022_Data'!$A$192</c:f>
            </c:strRef>
          </c:tx>
          <c:dLbls>
            <c:dLblPos val="ctr"/>
            <c:showLegendKey val="0"/>
            <c:showVal val="0"/>
            <c:showCatName val="0"/>
            <c:showSerName val="1"/>
            <c:showPercent val="0"/>
            <c:showBubbleSize val="0"/>
          </c:dLbls>
          <c:xVal>
            <c:strRef>
              <c:f>'2022_Data'!$F$192</c:f>
            </c:strRef>
          </c:xVal>
          <c:yVal>
            <c:numRef>
              <c:f>'2022_Data'!$E$192</c:f>
              <c:numCache/>
            </c:numRef>
          </c:yVal>
          <c:bubbleSize>
            <c:numRef>
              <c:f>'2022_Data'!$G$192</c:f>
            </c:numRef>
          </c:bubbleSize>
        </c:ser>
        <c:ser>
          <c:idx val="192"/>
          <c:order val="192"/>
          <c:tx>
            <c:strRef>
              <c:f>'2022_Data'!$A$193</c:f>
            </c:strRef>
          </c:tx>
          <c:dLbls>
            <c:dLblPos val="ctr"/>
            <c:showLegendKey val="0"/>
            <c:showVal val="0"/>
            <c:showCatName val="0"/>
            <c:showSerName val="1"/>
            <c:showPercent val="0"/>
            <c:showBubbleSize val="0"/>
          </c:dLbls>
          <c:xVal>
            <c:strRef>
              <c:f>'2022_Data'!$F$193</c:f>
            </c:strRef>
          </c:xVal>
          <c:yVal>
            <c:numRef>
              <c:f>'2022_Data'!$E$193</c:f>
              <c:numCache/>
            </c:numRef>
          </c:yVal>
          <c:bubbleSize>
            <c:numRef>
              <c:f>'2022_Data'!$G$193</c:f>
            </c:numRef>
          </c:bubbleSize>
        </c:ser>
        <c:ser>
          <c:idx val="193"/>
          <c:order val="193"/>
          <c:tx>
            <c:strRef>
              <c:f>'2022_Data'!$A$194</c:f>
            </c:strRef>
          </c:tx>
          <c:dLbls>
            <c:dLblPos val="ctr"/>
            <c:showLegendKey val="0"/>
            <c:showVal val="0"/>
            <c:showCatName val="0"/>
            <c:showSerName val="1"/>
            <c:showPercent val="0"/>
            <c:showBubbleSize val="0"/>
          </c:dLbls>
          <c:xVal>
            <c:strRef>
              <c:f>'2022_Data'!$F$194</c:f>
            </c:strRef>
          </c:xVal>
          <c:yVal>
            <c:numRef>
              <c:f>'2022_Data'!$E$194</c:f>
              <c:numCache/>
            </c:numRef>
          </c:yVal>
          <c:bubbleSize>
            <c:numRef>
              <c:f>'2022_Data'!$G$194</c:f>
            </c:numRef>
          </c:bubbleSize>
        </c:ser>
        <c:ser>
          <c:idx val="194"/>
          <c:order val="194"/>
          <c:tx>
            <c:strRef>
              <c:f>'2022_Data'!$A$195</c:f>
            </c:strRef>
          </c:tx>
          <c:dLbls>
            <c:dLblPos val="ctr"/>
            <c:showLegendKey val="0"/>
            <c:showVal val="0"/>
            <c:showCatName val="0"/>
            <c:showSerName val="1"/>
            <c:showPercent val="0"/>
            <c:showBubbleSize val="0"/>
          </c:dLbls>
          <c:xVal>
            <c:strRef>
              <c:f>'2022_Data'!$F$195</c:f>
            </c:strRef>
          </c:xVal>
          <c:yVal>
            <c:numRef>
              <c:f>'2022_Data'!$E$195</c:f>
              <c:numCache/>
            </c:numRef>
          </c:yVal>
          <c:bubbleSize>
            <c:numRef>
              <c:f>'2022_Data'!$G$195</c:f>
            </c:numRef>
          </c:bubbleSize>
        </c:ser>
        <c:ser>
          <c:idx val="195"/>
          <c:order val="195"/>
          <c:tx>
            <c:strRef>
              <c:f>'2022_Data'!$A$196</c:f>
            </c:strRef>
          </c:tx>
          <c:dLbls>
            <c:dLblPos val="ctr"/>
            <c:showLegendKey val="0"/>
            <c:showVal val="0"/>
            <c:showCatName val="0"/>
            <c:showSerName val="1"/>
            <c:showPercent val="0"/>
            <c:showBubbleSize val="0"/>
          </c:dLbls>
          <c:xVal>
            <c:strRef>
              <c:f>'2022_Data'!$F$196</c:f>
            </c:strRef>
          </c:xVal>
          <c:yVal>
            <c:numRef>
              <c:f>'2022_Data'!$E$196</c:f>
              <c:numCache/>
            </c:numRef>
          </c:yVal>
          <c:bubbleSize>
            <c:numRef>
              <c:f>'2022_Data'!$G$196</c:f>
            </c:numRef>
          </c:bubbleSize>
        </c:ser>
        <c:ser>
          <c:idx val="196"/>
          <c:order val="196"/>
          <c:tx>
            <c:strRef>
              <c:f>'2022_Data'!$A$197</c:f>
            </c:strRef>
          </c:tx>
          <c:dLbls>
            <c:dLblPos val="ctr"/>
            <c:showLegendKey val="0"/>
            <c:showVal val="0"/>
            <c:showCatName val="0"/>
            <c:showSerName val="1"/>
            <c:showPercent val="0"/>
            <c:showBubbleSize val="0"/>
          </c:dLbls>
          <c:xVal>
            <c:strRef>
              <c:f>'2022_Data'!$F$197</c:f>
            </c:strRef>
          </c:xVal>
          <c:yVal>
            <c:numRef>
              <c:f>'2022_Data'!$E$197</c:f>
              <c:numCache/>
            </c:numRef>
          </c:yVal>
          <c:bubbleSize>
            <c:numRef>
              <c:f>'2022_Data'!$G$197</c:f>
            </c:numRef>
          </c:bubbleSize>
        </c:ser>
        <c:ser>
          <c:idx val="197"/>
          <c:order val="197"/>
          <c:tx>
            <c:strRef>
              <c:f>'2022_Data'!$A$198</c:f>
            </c:strRef>
          </c:tx>
          <c:dLbls>
            <c:dLblPos val="ctr"/>
            <c:showLegendKey val="0"/>
            <c:showVal val="0"/>
            <c:showCatName val="0"/>
            <c:showSerName val="1"/>
            <c:showPercent val="0"/>
            <c:showBubbleSize val="0"/>
          </c:dLbls>
          <c:xVal>
            <c:strRef>
              <c:f>'2022_Data'!$F$198</c:f>
            </c:strRef>
          </c:xVal>
          <c:yVal>
            <c:numRef>
              <c:f>'2022_Data'!$E$198</c:f>
              <c:numCache/>
            </c:numRef>
          </c:yVal>
          <c:bubbleSize>
            <c:numRef>
              <c:f>'2022_Data'!$G$198</c:f>
            </c:numRef>
          </c:bubbleSize>
        </c:ser>
        <c:ser>
          <c:idx val="198"/>
          <c:order val="198"/>
          <c:tx>
            <c:strRef>
              <c:f>'2022_Data'!$A$199</c:f>
            </c:strRef>
          </c:tx>
          <c:dLbls>
            <c:dLblPos val="ctr"/>
            <c:showLegendKey val="0"/>
            <c:showVal val="0"/>
            <c:showCatName val="0"/>
            <c:showSerName val="1"/>
            <c:showPercent val="0"/>
            <c:showBubbleSize val="0"/>
          </c:dLbls>
          <c:xVal>
            <c:strRef>
              <c:f>'2022_Data'!$F$199</c:f>
            </c:strRef>
          </c:xVal>
          <c:yVal>
            <c:numRef>
              <c:f>'2022_Data'!$E$199</c:f>
              <c:numCache/>
            </c:numRef>
          </c:yVal>
          <c:bubbleSize>
            <c:numRef>
              <c:f>'2022_Data'!$G$199</c:f>
            </c:numRef>
          </c:bubbleSize>
        </c:ser>
        <c:ser>
          <c:idx val="199"/>
          <c:order val="199"/>
          <c:tx>
            <c:strRef>
              <c:f>'2022_Data'!$A$200</c:f>
            </c:strRef>
          </c:tx>
          <c:dLbls>
            <c:dLblPos val="ctr"/>
            <c:showLegendKey val="0"/>
            <c:showVal val="0"/>
            <c:showCatName val="0"/>
            <c:showSerName val="1"/>
            <c:showPercent val="0"/>
            <c:showBubbleSize val="0"/>
          </c:dLbls>
          <c:xVal>
            <c:strRef>
              <c:f>'2022_Data'!$F$200</c:f>
            </c:strRef>
          </c:xVal>
          <c:yVal>
            <c:numRef>
              <c:f>'2022_Data'!$E$200</c:f>
              <c:numCache/>
            </c:numRef>
          </c:yVal>
          <c:bubbleSize>
            <c:numRef>
              <c:f>'2022_Data'!$G$200</c:f>
            </c:numRef>
          </c:bubbleSize>
        </c:ser>
        <c:ser>
          <c:idx val="200"/>
          <c:order val="200"/>
          <c:tx>
            <c:strRef>
              <c:f>'2022_Data'!$A$201</c:f>
            </c:strRef>
          </c:tx>
          <c:dLbls>
            <c:dLblPos val="ctr"/>
            <c:showLegendKey val="0"/>
            <c:showVal val="0"/>
            <c:showCatName val="0"/>
            <c:showSerName val="1"/>
            <c:showPercent val="0"/>
            <c:showBubbleSize val="0"/>
          </c:dLbls>
          <c:xVal>
            <c:strRef>
              <c:f>'2022_Data'!$F$201</c:f>
            </c:strRef>
          </c:xVal>
          <c:yVal>
            <c:numRef>
              <c:f>'2022_Data'!$E$201</c:f>
              <c:numCache/>
            </c:numRef>
          </c:yVal>
          <c:bubbleSize>
            <c:numRef>
              <c:f>'2022_Data'!$G$201</c:f>
            </c:numRef>
          </c:bubbleSize>
        </c:ser>
        <c:ser>
          <c:idx val="201"/>
          <c:order val="201"/>
          <c:tx>
            <c:strRef>
              <c:f>'2022_Data'!$A$202</c:f>
            </c:strRef>
          </c:tx>
          <c:dLbls>
            <c:dLblPos val="ctr"/>
            <c:showLegendKey val="0"/>
            <c:showVal val="0"/>
            <c:showCatName val="0"/>
            <c:showSerName val="1"/>
            <c:showPercent val="0"/>
            <c:showBubbleSize val="0"/>
          </c:dLbls>
          <c:xVal>
            <c:strRef>
              <c:f>'2022_Data'!$F$202</c:f>
            </c:strRef>
          </c:xVal>
          <c:yVal>
            <c:numRef>
              <c:f>'2022_Data'!$E$202</c:f>
              <c:numCache/>
            </c:numRef>
          </c:yVal>
          <c:bubbleSize>
            <c:numRef>
              <c:f>'2022_Data'!$G$202</c:f>
            </c:numRef>
          </c:bubbleSize>
        </c:ser>
        <c:ser>
          <c:idx val="202"/>
          <c:order val="202"/>
          <c:tx>
            <c:strRef>
              <c:f>'2022_Data'!$A$203</c:f>
            </c:strRef>
          </c:tx>
          <c:dLbls>
            <c:dLblPos val="ctr"/>
            <c:showLegendKey val="0"/>
            <c:showVal val="0"/>
            <c:showCatName val="0"/>
            <c:showSerName val="1"/>
            <c:showPercent val="0"/>
            <c:showBubbleSize val="0"/>
          </c:dLbls>
          <c:xVal>
            <c:strRef>
              <c:f>'2022_Data'!$F$203</c:f>
            </c:strRef>
          </c:xVal>
          <c:yVal>
            <c:numRef>
              <c:f>'2022_Data'!$E$203</c:f>
              <c:numCache/>
            </c:numRef>
          </c:yVal>
          <c:bubbleSize>
            <c:numRef>
              <c:f>'2022_Data'!$G$203</c:f>
            </c:numRef>
          </c:bubbleSize>
        </c:ser>
        <c:ser>
          <c:idx val="203"/>
          <c:order val="203"/>
          <c:tx>
            <c:strRef>
              <c:f>'2022_Data'!$A$204</c:f>
            </c:strRef>
          </c:tx>
          <c:dLbls>
            <c:dLblPos val="ctr"/>
            <c:showLegendKey val="0"/>
            <c:showVal val="0"/>
            <c:showCatName val="0"/>
            <c:showSerName val="1"/>
            <c:showPercent val="0"/>
            <c:showBubbleSize val="0"/>
          </c:dLbls>
          <c:xVal>
            <c:strRef>
              <c:f>'2022_Data'!$F$204</c:f>
            </c:strRef>
          </c:xVal>
          <c:yVal>
            <c:numRef>
              <c:f>'2022_Data'!$E$204</c:f>
              <c:numCache/>
            </c:numRef>
          </c:yVal>
          <c:bubbleSize>
            <c:numRef>
              <c:f>'2022_Data'!$G$204</c:f>
            </c:numRef>
          </c:bubbleSize>
        </c:ser>
        <c:ser>
          <c:idx val="204"/>
          <c:order val="204"/>
          <c:tx>
            <c:strRef>
              <c:f>'2022_Data'!$A$205</c:f>
            </c:strRef>
          </c:tx>
          <c:dLbls>
            <c:dLblPos val="ctr"/>
            <c:showLegendKey val="0"/>
            <c:showVal val="0"/>
            <c:showCatName val="0"/>
            <c:showSerName val="1"/>
            <c:showPercent val="0"/>
            <c:showBubbleSize val="0"/>
          </c:dLbls>
          <c:xVal>
            <c:strRef>
              <c:f>'2022_Data'!$F$205</c:f>
            </c:strRef>
          </c:xVal>
          <c:yVal>
            <c:numRef>
              <c:f>'2022_Data'!$E$205</c:f>
              <c:numCache/>
            </c:numRef>
          </c:yVal>
          <c:bubbleSize>
            <c:numRef>
              <c:f>'2022_Data'!$G$205</c:f>
            </c:numRef>
          </c:bubbleSize>
        </c:ser>
        <c:ser>
          <c:idx val="205"/>
          <c:order val="205"/>
          <c:tx>
            <c:strRef>
              <c:f>'2022_Data'!$A$206</c:f>
            </c:strRef>
          </c:tx>
          <c:dLbls>
            <c:dLblPos val="ctr"/>
            <c:showLegendKey val="0"/>
            <c:showVal val="0"/>
            <c:showCatName val="0"/>
            <c:showSerName val="1"/>
            <c:showPercent val="0"/>
            <c:showBubbleSize val="0"/>
          </c:dLbls>
          <c:xVal>
            <c:strRef>
              <c:f>'2022_Data'!$F$206</c:f>
            </c:strRef>
          </c:xVal>
          <c:yVal>
            <c:numRef>
              <c:f>'2022_Data'!$E$206</c:f>
              <c:numCache/>
            </c:numRef>
          </c:yVal>
          <c:bubbleSize>
            <c:numRef>
              <c:f>'2022_Data'!$G$206</c:f>
            </c:numRef>
          </c:bubbleSize>
        </c:ser>
        <c:ser>
          <c:idx val="206"/>
          <c:order val="206"/>
          <c:tx>
            <c:strRef>
              <c:f>'2022_Data'!$A$207</c:f>
            </c:strRef>
          </c:tx>
          <c:dLbls>
            <c:dLblPos val="ctr"/>
            <c:showLegendKey val="0"/>
            <c:showVal val="0"/>
            <c:showCatName val="0"/>
            <c:showSerName val="1"/>
            <c:showPercent val="0"/>
            <c:showBubbleSize val="0"/>
          </c:dLbls>
          <c:xVal>
            <c:strRef>
              <c:f>'2022_Data'!$F$207</c:f>
            </c:strRef>
          </c:xVal>
          <c:yVal>
            <c:numRef>
              <c:f>'2022_Data'!$E$207</c:f>
              <c:numCache/>
            </c:numRef>
          </c:yVal>
          <c:bubbleSize>
            <c:numRef>
              <c:f>'2022_Data'!$G$207</c:f>
            </c:numRef>
          </c:bubbleSize>
        </c:ser>
        <c:ser>
          <c:idx val="207"/>
          <c:order val="207"/>
          <c:tx>
            <c:strRef>
              <c:f>'2022_Data'!$A$208</c:f>
            </c:strRef>
          </c:tx>
          <c:dLbls>
            <c:dLblPos val="ctr"/>
            <c:showLegendKey val="0"/>
            <c:showVal val="0"/>
            <c:showCatName val="0"/>
            <c:showSerName val="1"/>
            <c:showPercent val="0"/>
            <c:showBubbleSize val="0"/>
          </c:dLbls>
          <c:xVal>
            <c:strRef>
              <c:f>'2022_Data'!$F$208</c:f>
            </c:strRef>
          </c:xVal>
          <c:yVal>
            <c:numRef>
              <c:f>'2022_Data'!$E$208</c:f>
              <c:numCache/>
            </c:numRef>
          </c:yVal>
          <c:bubbleSize>
            <c:numRef>
              <c:f>'2022_Data'!$G$208</c:f>
            </c:numRef>
          </c:bubbleSize>
        </c:ser>
        <c:ser>
          <c:idx val="208"/>
          <c:order val="208"/>
          <c:tx>
            <c:strRef>
              <c:f>'2022_Data'!$A$209</c:f>
            </c:strRef>
          </c:tx>
          <c:dLbls>
            <c:dLblPos val="ctr"/>
            <c:showLegendKey val="0"/>
            <c:showVal val="0"/>
            <c:showCatName val="0"/>
            <c:showSerName val="1"/>
            <c:showPercent val="0"/>
            <c:showBubbleSize val="0"/>
          </c:dLbls>
          <c:xVal>
            <c:strRef>
              <c:f>'2022_Data'!$F$209</c:f>
            </c:strRef>
          </c:xVal>
          <c:yVal>
            <c:numRef>
              <c:f>'2022_Data'!$E$209</c:f>
              <c:numCache/>
            </c:numRef>
          </c:yVal>
          <c:bubbleSize>
            <c:numRef>
              <c:f>'2022_Data'!$G$209</c:f>
            </c:numRef>
          </c:bubbleSize>
        </c:ser>
        <c:ser>
          <c:idx val="209"/>
          <c:order val="209"/>
          <c:tx>
            <c:strRef>
              <c:f>'2022_Data'!$A$210</c:f>
            </c:strRef>
          </c:tx>
          <c:dLbls>
            <c:dLblPos val="ctr"/>
            <c:showLegendKey val="0"/>
            <c:showVal val="0"/>
            <c:showCatName val="0"/>
            <c:showSerName val="1"/>
            <c:showPercent val="0"/>
            <c:showBubbleSize val="0"/>
          </c:dLbls>
          <c:xVal>
            <c:strRef>
              <c:f>'2022_Data'!$F$210</c:f>
            </c:strRef>
          </c:xVal>
          <c:yVal>
            <c:numRef>
              <c:f>'2022_Data'!$E$210</c:f>
              <c:numCache/>
            </c:numRef>
          </c:yVal>
          <c:bubbleSize>
            <c:numRef>
              <c:f>'2022_Data'!$G$210</c:f>
            </c:numRef>
          </c:bubbleSize>
        </c:ser>
        <c:ser>
          <c:idx val="210"/>
          <c:order val="210"/>
          <c:tx>
            <c:strRef>
              <c:f>'2022_Data'!$A$211</c:f>
            </c:strRef>
          </c:tx>
          <c:dLbls>
            <c:dLblPos val="ctr"/>
            <c:showLegendKey val="0"/>
            <c:showVal val="0"/>
            <c:showCatName val="0"/>
            <c:showSerName val="1"/>
            <c:showPercent val="0"/>
            <c:showBubbleSize val="0"/>
          </c:dLbls>
          <c:xVal>
            <c:strRef>
              <c:f>'2022_Data'!$F$211</c:f>
            </c:strRef>
          </c:xVal>
          <c:yVal>
            <c:numRef>
              <c:f>'2022_Data'!$E$211</c:f>
              <c:numCache/>
            </c:numRef>
          </c:yVal>
          <c:bubbleSize>
            <c:numRef>
              <c:f>'2022_Data'!$G$211</c:f>
            </c:numRef>
          </c:bubbleSize>
        </c:ser>
        <c:ser>
          <c:idx val="211"/>
          <c:order val="211"/>
          <c:tx>
            <c:strRef>
              <c:f>'2022_Data'!$A$212</c:f>
            </c:strRef>
          </c:tx>
          <c:dLbls>
            <c:dLblPos val="ctr"/>
            <c:showLegendKey val="0"/>
            <c:showVal val="0"/>
            <c:showCatName val="0"/>
            <c:showSerName val="1"/>
            <c:showPercent val="0"/>
            <c:showBubbleSize val="0"/>
          </c:dLbls>
          <c:xVal>
            <c:strRef>
              <c:f>'2022_Data'!$F$212</c:f>
            </c:strRef>
          </c:xVal>
          <c:yVal>
            <c:numRef>
              <c:f>'2022_Data'!$E$212</c:f>
              <c:numCache/>
            </c:numRef>
          </c:yVal>
          <c:bubbleSize>
            <c:numRef>
              <c:f>'2022_Data'!$G$212</c:f>
            </c:numRef>
          </c:bubbleSize>
        </c:ser>
        <c:ser>
          <c:idx val="212"/>
          <c:order val="212"/>
          <c:tx>
            <c:strRef>
              <c:f>'2022_Data'!$A$213</c:f>
            </c:strRef>
          </c:tx>
          <c:dLbls>
            <c:dLblPos val="ctr"/>
            <c:showLegendKey val="0"/>
            <c:showVal val="0"/>
            <c:showCatName val="0"/>
            <c:showSerName val="1"/>
            <c:showPercent val="0"/>
            <c:showBubbleSize val="0"/>
          </c:dLbls>
          <c:xVal>
            <c:strRef>
              <c:f>'2022_Data'!$F$213</c:f>
            </c:strRef>
          </c:xVal>
          <c:yVal>
            <c:numRef>
              <c:f>'2022_Data'!$E$213</c:f>
              <c:numCache/>
            </c:numRef>
          </c:yVal>
          <c:bubbleSize>
            <c:numRef>
              <c:f>'2022_Data'!$G$213</c:f>
            </c:numRef>
          </c:bubbleSize>
        </c:ser>
        <c:ser>
          <c:idx val="213"/>
          <c:order val="213"/>
          <c:tx>
            <c:strRef>
              <c:f>'2022_Data'!$A$214</c:f>
            </c:strRef>
          </c:tx>
          <c:dLbls>
            <c:dLblPos val="ctr"/>
            <c:showLegendKey val="0"/>
            <c:showVal val="0"/>
            <c:showCatName val="0"/>
            <c:showSerName val="1"/>
            <c:showPercent val="0"/>
            <c:showBubbleSize val="0"/>
          </c:dLbls>
          <c:xVal>
            <c:strRef>
              <c:f>'2022_Data'!$F$214</c:f>
            </c:strRef>
          </c:xVal>
          <c:yVal>
            <c:numRef>
              <c:f>'2022_Data'!$E$214</c:f>
              <c:numCache/>
            </c:numRef>
          </c:yVal>
          <c:bubbleSize>
            <c:numRef>
              <c:f>'2022_Data'!$G$214</c:f>
            </c:numRef>
          </c:bubbleSize>
        </c:ser>
        <c:ser>
          <c:idx val="214"/>
          <c:order val="214"/>
          <c:tx>
            <c:strRef>
              <c:f>'2022_Data'!$A$215</c:f>
            </c:strRef>
          </c:tx>
          <c:dLbls>
            <c:dLblPos val="ctr"/>
            <c:showLegendKey val="0"/>
            <c:showVal val="0"/>
            <c:showCatName val="0"/>
            <c:showSerName val="1"/>
            <c:showPercent val="0"/>
            <c:showBubbleSize val="0"/>
          </c:dLbls>
          <c:xVal>
            <c:strRef>
              <c:f>'2022_Data'!$F$215</c:f>
            </c:strRef>
          </c:xVal>
          <c:yVal>
            <c:numRef>
              <c:f>'2022_Data'!$E$215</c:f>
              <c:numCache/>
            </c:numRef>
          </c:yVal>
          <c:bubbleSize>
            <c:numRef>
              <c:f>'2022_Data'!$G$215</c:f>
            </c:numRef>
          </c:bubbleSize>
        </c:ser>
        <c:ser>
          <c:idx val="215"/>
          <c:order val="215"/>
          <c:tx>
            <c:strRef>
              <c:f>'2022_Data'!$A$216</c:f>
            </c:strRef>
          </c:tx>
          <c:dLbls>
            <c:dLblPos val="ctr"/>
            <c:showLegendKey val="0"/>
            <c:showVal val="0"/>
            <c:showCatName val="0"/>
            <c:showSerName val="1"/>
            <c:showPercent val="0"/>
            <c:showBubbleSize val="0"/>
          </c:dLbls>
          <c:xVal>
            <c:strRef>
              <c:f>'2022_Data'!$F$216</c:f>
            </c:strRef>
          </c:xVal>
          <c:yVal>
            <c:numRef>
              <c:f>'2022_Data'!$E$216</c:f>
              <c:numCache/>
            </c:numRef>
          </c:yVal>
          <c:bubbleSize>
            <c:numRef>
              <c:f>'2022_Data'!$G$216</c:f>
            </c:numRef>
          </c:bubbleSize>
        </c:ser>
        <c:ser>
          <c:idx val="216"/>
          <c:order val="216"/>
          <c:tx>
            <c:strRef>
              <c:f>'2022_Data'!$A$217</c:f>
            </c:strRef>
          </c:tx>
          <c:dLbls>
            <c:dLblPos val="ctr"/>
            <c:showLegendKey val="0"/>
            <c:showVal val="0"/>
            <c:showCatName val="0"/>
            <c:showSerName val="1"/>
            <c:showPercent val="0"/>
            <c:showBubbleSize val="0"/>
          </c:dLbls>
          <c:xVal>
            <c:strRef>
              <c:f>'2022_Data'!$F$217</c:f>
            </c:strRef>
          </c:xVal>
          <c:yVal>
            <c:numRef>
              <c:f>'2022_Data'!$E$217</c:f>
              <c:numCache/>
            </c:numRef>
          </c:yVal>
          <c:bubbleSize>
            <c:numRef>
              <c:f>'2022_Data'!$G$217</c:f>
            </c:numRef>
          </c:bubbleSize>
        </c:ser>
        <c:ser>
          <c:idx val="217"/>
          <c:order val="217"/>
          <c:tx>
            <c:strRef>
              <c:f>'2022_Data'!$A$218</c:f>
            </c:strRef>
          </c:tx>
          <c:dLbls>
            <c:dLblPos val="ctr"/>
            <c:showLegendKey val="0"/>
            <c:showVal val="0"/>
            <c:showCatName val="0"/>
            <c:showSerName val="1"/>
            <c:showPercent val="0"/>
            <c:showBubbleSize val="0"/>
          </c:dLbls>
          <c:xVal>
            <c:strRef>
              <c:f>'2022_Data'!$F$218</c:f>
            </c:strRef>
          </c:xVal>
          <c:yVal>
            <c:numRef>
              <c:f>'2022_Data'!$E$218</c:f>
              <c:numCache/>
            </c:numRef>
          </c:yVal>
          <c:bubbleSize>
            <c:numRef>
              <c:f>'2022_Data'!$G$218</c:f>
            </c:numRef>
          </c:bubbleSize>
        </c:ser>
        <c:ser>
          <c:idx val="218"/>
          <c:order val="218"/>
          <c:tx>
            <c:strRef>
              <c:f>'2022_Data'!$A$219</c:f>
            </c:strRef>
          </c:tx>
          <c:dLbls>
            <c:dLblPos val="ctr"/>
            <c:showLegendKey val="0"/>
            <c:showVal val="0"/>
            <c:showCatName val="0"/>
            <c:showSerName val="1"/>
            <c:showPercent val="0"/>
            <c:showBubbleSize val="0"/>
          </c:dLbls>
          <c:xVal>
            <c:strRef>
              <c:f>'2022_Data'!$F$219</c:f>
            </c:strRef>
          </c:xVal>
          <c:yVal>
            <c:numRef>
              <c:f>'2022_Data'!$E$219</c:f>
              <c:numCache/>
            </c:numRef>
          </c:yVal>
          <c:bubbleSize>
            <c:numRef>
              <c:f>'2022_Data'!$G$219</c:f>
            </c:numRef>
          </c:bubbleSize>
        </c:ser>
        <c:ser>
          <c:idx val="219"/>
          <c:order val="219"/>
          <c:tx>
            <c:strRef>
              <c:f>'2022_Data'!$A$220</c:f>
            </c:strRef>
          </c:tx>
          <c:dLbls>
            <c:dLblPos val="ctr"/>
            <c:showLegendKey val="0"/>
            <c:showVal val="0"/>
            <c:showCatName val="0"/>
            <c:showSerName val="1"/>
            <c:showPercent val="0"/>
            <c:showBubbleSize val="0"/>
          </c:dLbls>
          <c:xVal>
            <c:strRef>
              <c:f>'2022_Data'!$F$220</c:f>
            </c:strRef>
          </c:xVal>
          <c:yVal>
            <c:numRef>
              <c:f>'2022_Data'!$E$220</c:f>
              <c:numCache/>
            </c:numRef>
          </c:yVal>
          <c:bubbleSize>
            <c:numRef>
              <c:f>'2022_Data'!$G$220</c:f>
            </c:numRef>
          </c:bubbleSize>
        </c:ser>
        <c:ser>
          <c:idx val="220"/>
          <c:order val="220"/>
          <c:tx>
            <c:strRef>
              <c:f>'2022_Data'!$A$221</c:f>
            </c:strRef>
          </c:tx>
          <c:dLbls>
            <c:dLblPos val="ctr"/>
            <c:showLegendKey val="0"/>
            <c:showVal val="0"/>
            <c:showCatName val="0"/>
            <c:showSerName val="1"/>
            <c:showPercent val="0"/>
            <c:showBubbleSize val="0"/>
          </c:dLbls>
          <c:xVal>
            <c:strRef>
              <c:f>'2022_Data'!$F$221</c:f>
            </c:strRef>
          </c:xVal>
          <c:yVal>
            <c:numRef>
              <c:f>'2022_Data'!$E$221</c:f>
              <c:numCache/>
            </c:numRef>
          </c:yVal>
          <c:bubbleSize>
            <c:numRef>
              <c:f>'2022_Data'!$G$221</c:f>
            </c:numRef>
          </c:bubbleSize>
        </c:ser>
        <c:ser>
          <c:idx val="221"/>
          <c:order val="221"/>
          <c:tx>
            <c:strRef>
              <c:f>'2022_Data'!$A$222</c:f>
            </c:strRef>
          </c:tx>
          <c:dLbls>
            <c:dLblPos val="ctr"/>
            <c:showLegendKey val="0"/>
            <c:showVal val="0"/>
            <c:showCatName val="0"/>
            <c:showSerName val="1"/>
            <c:showPercent val="0"/>
            <c:showBubbleSize val="0"/>
          </c:dLbls>
          <c:xVal>
            <c:strRef>
              <c:f>'2022_Data'!$F$222</c:f>
            </c:strRef>
          </c:xVal>
          <c:yVal>
            <c:numRef>
              <c:f>'2022_Data'!$E$222</c:f>
              <c:numCache/>
            </c:numRef>
          </c:yVal>
          <c:bubbleSize>
            <c:numRef>
              <c:f>'2022_Data'!$G$222</c:f>
            </c:numRef>
          </c:bubbleSize>
        </c:ser>
        <c:ser>
          <c:idx val="222"/>
          <c:order val="222"/>
          <c:tx>
            <c:strRef>
              <c:f>'2022_Data'!$A$223</c:f>
            </c:strRef>
          </c:tx>
          <c:dLbls>
            <c:dLblPos val="ctr"/>
            <c:showLegendKey val="0"/>
            <c:showVal val="0"/>
            <c:showCatName val="0"/>
            <c:showSerName val="1"/>
            <c:showPercent val="0"/>
            <c:showBubbleSize val="0"/>
          </c:dLbls>
          <c:xVal>
            <c:strRef>
              <c:f>'2022_Data'!$F$223</c:f>
            </c:strRef>
          </c:xVal>
          <c:yVal>
            <c:numRef>
              <c:f>'2022_Data'!$E$223</c:f>
              <c:numCache/>
            </c:numRef>
          </c:yVal>
          <c:bubbleSize>
            <c:numRef>
              <c:f>'2022_Data'!$G$223</c:f>
            </c:numRef>
          </c:bubbleSize>
        </c:ser>
        <c:ser>
          <c:idx val="223"/>
          <c:order val="223"/>
          <c:tx>
            <c:strRef>
              <c:f>'2022_Data'!$A$224</c:f>
            </c:strRef>
          </c:tx>
          <c:dLbls>
            <c:dLblPos val="ctr"/>
            <c:showLegendKey val="0"/>
            <c:showVal val="0"/>
            <c:showCatName val="0"/>
            <c:showSerName val="1"/>
            <c:showPercent val="0"/>
            <c:showBubbleSize val="0"/>
          </c:dLbls>
          <c:xVal>
            <c:strRef>
              <c:f>'2022_Data'!$F$224</c:f>
            </c:strRef>
          </c:xVal>
          <c:yVal>
            <c:numRef>
              <c:f>'2022_Data'!$E$224</c:f>
              <c:numCache/>
            </c:numRef>
          </c:yVal>
          <c:bubbleSize>
            <c:numRef>
              <c:f>'2022_Data'!$G$224</c:f>
            </c:numRef>
          </c:bubbleSize>
        </c:ser>
        <c:ser>
          <c:idx val="224"/>
          <c:order val="224"/>
          <c:tx>
            <c:strRef>
              <c:f>'2022_Data'!$A$225</c:f>
            </c:strRef>
          </c:tx>
          <c:dLbls>
            <c:dLblPos val="ctr"/>
            <c:showLegendKey val="0"/>
            <c:showVal val="0"/>
            <c:showCatName val="0"/>
            <c:showSerName val="1"/>
            <c:showPercent val="0"/>
            <c:showBubbleSize val="0"/>
          </c:dLbls>
          <c:xVal>
            <c:strRef>
              <c:f>'2022_Data'!$F$225</c:f>
            </c:strRef>
          </c:xVal>
          <c:yVal>
            <c:numRef>
              <c:f>'2022_Data'!$E$225</c:f>
              <c:numCache/>
            </c:numRef>
          </c:yVal>
          <c:bubbleSize>
            <c:numRef>
              <c:f>'2022_Data'!$G$225</c:f>
            </c:numRef>
          </c:bubbleSize>
        </c:ser>
        <c:ser>
          <c:idx val="225"/>
          <c:order val="225"/>
          <c:tx>
            <c:strRef>
              <c:f>'2022_Data'!$A$226</c:f>
            </c:strRef>
          </c:tx>
          <c:dLbls>
            <c:dLblPos val="ctr"/>
            <c:showLegendKey val="0"/>
            <c:showVal val="0"/>
            <c:showCatName val="0"/>
            <c:showSerName val="1"/>
            <c:showPercent val="0"/>
            <c:showBubbleSize val="0"/>
          </c:dLbls>
          <c:xVal>
            <c:strRef>
              <c:f>'2022_Data'!$F$226</c:f>
            </c:strRef>
          </c:xVal>
          <c:yVal>
            <c:numRef>
              <c:f>'2022_Data'!$E$226</c:f>
              <c:numCache/>
            </c:numRef>
          </c:yVal>
          <c:bubbleSize>
            <c:numRef>
              <c:f>'2022_Data'!$G$226</c:f>
            </c:numRef>
          </c:bubbleSize>
        </c:ser>
        <c:ser>
          <c:idx val="226"/>
          <c:order val="226"/>
          <c:tx>
            <c:strRef>
              <c:f>'2022_Data'!$A$227</c:f>
            </c:strRef>
          </c:tx>
          <c:dLbls>
            <c:dLblPos val="ctr"/>
            <c:showLegendKey val="0"/>
            <c:showVal val="0"/>
            <c:showCatName val="0"/>
            <c:showSerName val="1"/>
            <c:showPercent val="0"/>
            <c:showBubbleSize val="0"/>
          </c:dLbls>
          <c:xVal>
            <c:strRef>
              <c:f>'2022_Data'!$F$227</c:f>
            </c:strRef>
          </c:xVal>
          <c:yVal>
            <c:numRef>
              <c:f>'2022_Data'!$E$227</c:f>
              <c:numCache/>
            </c:numRef>
          </c:yVal>
          <c:bubbleSize>
            <c:numRef>
              <c:f>'2022_Data'!$G$227</c:f>
            </c:numRef>
          </c:bubbleSize>
        </c:ser>
        <c:ser>
          <c:idx val="227"/>
          <c:order val="227"/>
          <c:tx>
            <c:strRef>
              <c:f>'2022_Data'!$A$228</c:f>
            </c:strRef>
          </c:tx>
          <c:dLbls>
            <c:dLblPos val="ctr"/>
            <c:showLegendKey val="0"/>
            <c:showVal val="0"/>
            <c:showCatName val="0"/>
            <c:showSerName val="1"/>
            <c:showPercent val="0"/>
            <c:showBubbleSize val="0"/>
          </c:dLbls>
          <c:xVal>
            <c:strRef>
              <c:f>'2022_Data'!$F$228</c:f>
            </c:strRef>
          </c:xVal>
          <c:yVal>
            <c:numRef>
              <c:f>'2022_Data'!$E$228</c:f>
              <c:numCache/>
            </c:numRef>
          </c:yVal>
          <c:bubbleSize>
            <c:numRef>
              <c:f>'2022_Data'!$G$228</c:f>
            </c:numRef>
          </c:bubbleSize>
        </c:ser>
        <c:ser>
          <c:idx val="228"/>
          <c:order val="228"/>
          <c:tx>
            <c:strRef>
              <c:f>'2022_Data'!$A$229</c:f>
            </c:strRef>
          </c:tx>
          <c:dLbls>
            <c:dLblPos val="ctr"/>
            <c:showLegendKey val="0"/>
            <c:showVal val="0"/>
            <c:showCatName val="0"/>
            <c:showSerName val="1"/>
            <c:showPercent val="0"/>
            <c:showBubbleSize val="0"/>
          </c:dLbls>
          <c:xVal>
            <c:strRef>
              <c:f>'2022_Data'!$F$229</c:f>
            </c:strRef>
          </c:xVal>
          <c:yVal>
            <c:numRef>
              <c:f>'2022_Data'!$E$229</c:f>
              <c:numCache/>
            </c:numRef>
          </c:yVal>
          <c:bubbleSize>
            <c:numRef>
              <c:f>'2022_Data'!$G$229</c:f>
            </c:numRef>
          </c:bubbleSize>
        </c:ser>
        <c:ser>
          <c:idx val="229"/>
          <c:order val="229"/>
          <c:tx>
            <c:strRef>
              <c:f>'2022_Data'!$A$230</c:f>
            </c:strRef>
          </c:tx>
          <c:dLbls>
            <c:dLblPos val="ctr"/>
            <c:showLegendKey val="0"/>
            <c:showVal val="0"/>
            <c:showCatName val="0"/>
            <c:showSerName val="1"/>
            <c:showPercent val="0"/>
            <c:showBubbleSize val="0"/>
          </c:dLbls>
          <c:xVal>
            <c:strRef>
              <c:f>'2022_Data'!$F$230</c:f>
            </c:strRef>
          </c:xVal>
          <c:yVal>
            <c:numRef>
              <c:f>'2022_Data'!$E$230</c:f>
              <c:numCache/>
            </c:numRef>
          </c:yVal>
          <c:bubbleSize>
            <c:numRef>
              <c:f>'2022_Data'!$G$230</c:f>
            </c:numRef>
          </c:bubbleSize>
        </c:ser>
        <c:ser>
          <c:idx val="230"/>
          <c:order val="230"/>
          <c:tx>
            <c:strRef>
              <c:f>'2022_Data'!$A$231</c:f>
            </c:strRef>
          </c:tx>
          <c:dLbls>
            <c:dLblPos val="ctr"/>
            <c:showLegendKey val="0"/>
            <c:showVal val="0"/>
            <c:showCatName val="0"/>
            <c:showSerName val="1"/>
            <c:showPercent val="0"/>
            <c:showBubbleSize val="0"/>
          </c:dLbls>
          <c:xVal>
            <c:strRef>
              <c:f>'2022_Data'!$F$231</c:f>
            </c:strRef>
          </c:xVal>
          <c:yVal>
            <c:numRef>
              <c:f>'2022_Data'!$E$231</c:f>
              <c:numCache/>
            </c:numRef>
          </c:yVal>
          <c:bubbleSize>
            <c:numRef>
              <c:f>'2022_Data'!$G$231</c:f>
            </c:numRef>
          </c:bubbleSize>
        </c:ser>
        <c:ser>
          <c:idx val="231"/>
          <c:order val="231"/>
          <c:tx>
            <c:strRef>
              <c:f>'2022_Data'!$A$232</c:f>
            </c:strRef>
          </c:tx>
          <c:dLbls>
            <c:dLblPos val="ctr"/>
            <c:showLegendKey val="0"/>
            <c:showVal val="0"/>
            <c:showCatName val="0"/>
            <c:showSerName val="1"/>
            <c:showPercent val="0"/>
            <c:showBubbleSize val="0"/>
          </c:dLbls>
          <c:xVal>
            <c:strRef>
              <c:f>'2022_Data'!$F$232</c:f>
            </c:strRef>
          </c:xVal>
          <c:yVal>
            <c:numRef>
              <c:f>'2022_Data'!$E$232</c:f>
              <c:numCache/>
            </c:numRef>
          </c:yVal>
          <c:bubbleSize>
            <c:numRef>
              <c:f>'2022_Data'!$G$232</c:f>
            </c:numRef>
          </c:bubbleSize>
        </c:ser>
        <c:ser>
          <c:idx val="232"/>
          <c:order val="232"/>
          <c:tx>
            <c:strRef>
              <c:f>'2022_Data'!$A$233</c:f>
            </c:strRef>
          </c:tx>
          <c:dLbls>
            <c:dLblPos val="ctr"/>
            <c:showLegendKey val="0"/>
            <c:showVal val="0"/>
            <c:showCatName val="0"/>
            <c:showSerName val="1"/>
            <c:showPercent val="0"/>
            <c:showBubbleSize val="0"/>
          </c:dLbls>
          <c:xVal>
            <c:strRef>
              <c:f>'2022_Data'!$F$233</c:f>
            </c:strRef>
          </c:xVal>
          <c:yVal>
            <c:numRef>
              <c:f>'2022_Data'!$E$233</c:f>
              <c:numCache/>
            </c:numRef>
          </c:yVal>
          <c:bubbleSize>
            <c:numRef>
              <c:f>'2022_Data'!$G$233</c:f>
            </c:numRef>
          </c:bubbleSize>
        </c:ser>
        <c:ser>
          <c:idx val="233"/>
          <c:order val="233"/>
          <c:tx>
            <c:strRef>
              <c:f>'2022_Data'!$A$234</c:f>
            </c:strRef>
          </c:tx>
          <c:dLbls>
            <c:dLblPos val="ctr"/>
            <c:showLegendKey val="0"/>
            <c:showVal val="0"/>
            <c:showCatName val="0"/>
            <c:showSerName val="1"/>
            <c:showPercent val="0"/>
            <c:showBubbleSize val="0"/>
          </c:dLbls>
          <c:xVal>
            <c:strRef>
              <c:f>'2022_Data'!$F$234</c:f>
            </c:strRef>
          </c:xVal>
          <c:yVal>
            <c:numRef>
              <c:f>'2022_Data'!$E$234</c:f>
              <c:numCache/>
            </c:numRef>
          </c:yVal>
          <c:bubbleSize>
            <c:numRef>
              <c:f>'2022_Data'!$G$234</c:f>
            </c:numRef>
          </c:bubbleSize>
        </c:ser>
        <c:ser>
          <c:idx val="234"/>
          <c:order val="234"/>
          <c:tx>
            <c:strRef>
              <c:f>'2022_Data'!$A$235</c:f>
            </c:strRef>
          </c:tx>
          <c:dLbls>
            <c:dLblPos val="ctr"/>
            <c:showLegendKey val="0"/>
            <c:showVal val="0"/>
            <c:showCatName val="0"/>
            <c:showSerName val="1"/>
            <c:showPercent val="0"/>
            <c:showBubbleSize val="0"/>
          </c:dLbls>
          <c:xVal>
            <c:strRef>
              <c:f>'2022_Data'!$F$235</c:f>
            </c:strRef>
          </c:xVal>
          <c:yVal>
            <c:numRef>
              <c:f>'2022_Data'!$E$235</c:f>
              <c:numCache/>
            </c:numRef>
          </c:yVal>
          <c:bubbleSize>
            <c:numRef>
              <c:f>'2022_Data'!$G$235</c:f>
            </c:numRef>
          </c:bubbleSize>
        </c:ser>
        <c:ser>
          <c:idx val="235"/>
          <c:order val="235"/>
          <c:tx>
            <c:strRef>
              <c:f>'2022_Data'!$A$236</c:f>
            </c:strRef>
          </c:tx>
          <c:dLbls>
            <c:dLblPos val="ctr"/>
            <c:showLegendKey val="0"/>
            <c:showVal val="0"/>
            <c:showCatName val="0"/>
            <c:showSerName val="1"/>
            <c:showPercent val="0"/>
            <c:showBubbleSize val="0"/>
          </c:dLbls>
          <c:xVal>
            <c:strRef>
              <c:f>'2022_Data'!$F$236</c:f>
            </c:strRef>
          </c:xVal>
          <c:yVal>
            <c:numRef>
              <c:f>'2022_Data'!$E$236</c:f>
              <c:numCache/>
            </c:numRef>
          </c:yVal>
          <c:bubbleSize>
            <c:numRef>
              <c:f>'2022_Data'!$G$236</c:f>
            </c:numRef>
          </c:bubbleSize>
        </c:ser>
        <c:ser>
          <c:idx val="236"/>
          <c:order val="236"/>
          <c:tx>
            <c:strRef>
              <c:f>'2022_Data'!$A$237</c:f>
            </c:strRef>
          </c:tx>
          <c:dLbls>
            <c:dLblPos val="ctr"/>
            <c:showLegendKey val="0"/>
            <c:showVal val="0"/>
            <c:showCatName val="0"/>
            <c:showSerName val="1"/>
            <c:showPercent val="0"/>
            <c:showBubbleSize val="0"/>
          </c:dLbls>
          <c:xVal>
            <c:strRef>
              <c:f>'2022_Data'!$F$237</c:f>
            </c:strRef>
          </c:xVal>
          <c:yVal>
            <c:numRef>
              <c:f>'2022_Data'!$E$237</c:f>
              <c:numCache/>
            </c:numRef>
          </c:yVal>
          <c:bubbleSize>
            <c:numRef>
              <c:f>'2022_Data'!$G$237</c:f>
            </c:numRef>
          </c:bubbleSize>
        </c:ser>
        <c:ser>
          <c:idx val="237"/>
          <c:order val="237"/>
          <c:tx>
            <c:strRef>
              <c:f>'2022_Data'!$A$238</c:f>
            </c:strRef>
          </c:tx>
          <c:dLbls>
            <c:dLblPos val="ctr"/>
            <c:showLegendKey val="0"/>
            <c:showVal val="0"/>
            <c:showCatName val="0"/>
            <c:showSerName val="1"/>
            <c:showPercent val="0"/>
            <c:showBubbleSize val="0"/>
          </c:dLbls>
          <c:xVal>
            <c:strRef>
              <c:f>'2022_Data'!$F$238</c:f>
            </c:strRef>
          </c:xVal>
          <c:yVal>
            <c:numRef>
              <c:f>'2022_Data'!$E$238</c:f>
              <c:numCache/>
            </c:numRef>
          </c:yVal>
          <c:bubbleSize>
            <c:numRef>
              <c:f>'2022_Data'!$G$238</c:f>
            </c:numRef>
          </c:bubbleSize>
        </c:ser>
        <c:ser>
          <c:idx val="238"/>
          <c:order val="238"/>
          <c:tx>
            <c:strRef>
              <c:f>'2022_Data'!$A$239</c:f>
            </c:strRef>
          </c:tx>
          <c:dLbls>
            <c:dLblPos val="ctr"/>
            <c:showLegendKey val="0"/>
            <c:showVal val="0"/>
            <c:showCatName val="0"/>
            <c:showSerName val="1"/>
            <c:showPercent val="0"/>
            <c:showBubbleSize val="0"/>
          </c:dLbls>
          <c:xVal>
            <c:strRef>
              <c:f>'2022_Data'!$F$239</c:f>
            </c:strRef>
          </c:xVal>
          <c:yVal>
            <c:numRef>
              <c:f>'2022_Data'!$E$239</c:f>
              <c:numCache/>
            </c:numRef>
          </c:yVal>
          <c:bubbleSize>
            <c:numRef>
              <c:f>'2022_Data'!$G$239</c:f>
            </c:numRef>
          </c:bubbleSize>
        </c:ser>
        <c:ser>
          <c:idx val="239"/>
          <c:order val="239"/>
          <c:tx>
            <c:strRef>
              <c:f>'2022_Data'!$A$240</c:f>
            </c:strRef>
          </c:tx>
          <c:dLbls>
            <c:dLblPos val="ctr"/>
            <c:showLegendKey val="0"/>
            <c:showVal val="0"/>
            <c:showCatName val="0"/>
            <c:showSerName val="1"/>
            <c:showPercent val="0"/>
            <c:showBubbleSize val="0"/>
          </c:dLbls>
          <c:xVal>
            <c:strRef>
              <c:f>'2022_Data'!$F$240</c:f>
            </c:strRef>
          </c:xVal>
          <c:yVal>
            <c:numRef>
              <c:f>'2022_Data'!$E$240</c:f>
              <c:numCache/>
            </c:numRef>
          </c:yVal>
          <c:bubbleSize>
            <c:numRef>
              <c:f>'2022_Data'!$G$240</c:f>
            </c:numRef>
          </c:bubbleSize>
        </c:ser>
        <c:ser>
          <c:idx val="240"/>
          <c:order val="240"/>
          <c:tx>
            <c:strRef>
              <c:f>'2022_Data'!$A$241</c:f>
            </c:strRef>
          </c:tx>
          <c:dLbls>
            <c:dLblPos val="ctr"/>
            <c:showLegendKey val="0"/>
            <c:showVal val="0"/>
            <c:showCatName val="0"/>
            <c:showSerName val="1"/>
            <c:showPercent val="0"/>
            <c:showBubbleSize val="0"/>
          </c:dLbls>
          <c:xVal>
            <c:strRef>
              <c:f>'2022_Data'!$F$241</c:f>
            </c:strRef>
          </c:xVal>
          <c:yVal>
            <c:numRef>
              <c:f>'2022_Data'!$E$241</c:f>
              <c:numCache/>
            </c:numRef>
          </c:yVal>
          <c:bubbleSize>
            <c:numRef>
              <c:f>'2022_Data'!$G$241</c:f>
            </c:numRef>
          </c:bubbleSize>
        </c:ser>
        <c:ser>
          <c:idx val="241"/>
          <c:order val="241"/>
          <c:tx>
            <c:strRef>
              <c:f>'2022_Data'!$A$242</c:f>
            </c:strRef>
          </c:tx>
          <c:dLbls>
            <c:dLblPos val="ctr"/>
            <c:showLegendKey val="0"/>
            <c:showVal val="0"/>
            <c:showCatName val="0"/>
            <c:showSerName val="1"/>
            <c:showPercent val="0"/>
            <c:showBubbleSize val="0"/>
          </c:dLbls>
          <c:xVal>
            <c:strRef>
              <c:f>'2022_Data'!$F$242</c:f>
            </c:strRef>
          </c:xVal>
          <c:yVal>
            <c:numRef>
              <c:f>'2022_Data'!$E$242</c:f>
              <c:numCache/>
            </c:numRef>
          </c:yVal>
          <c:bubbleSize>
            <c:numRef>
              <c:f>'2022_Data'!$G$242</c:f>
            </c:numRef>
          </c:bubbleSize>
        </c:ser>
        <c:ser>
          <c:idx val="242"/>
          <c:order val="242"/>
          <c:tx>
            <c:strRef>
              <c:f>'2022_Data'!$A$243</c:f>
            </c:strRef>
          </c:tx>
          <c:dLbls>
            <c:dLblPos val="ctr"/>
            <c:showLegendKey val="0"/>
            <c:showVal val="0"/>
            <c:showCatName val="0"/>
            <c:showSerName val="1"/>
            <c:showPercent val="0"/>
            <c:showBubbleSize val="0"/>
          </c:dLbls>
          <c:xVal>
            <c:strRef>
              <c:f>'2022_Data'!$F$243</c:f>
            </c:strRef>
          </c:xVal>
          <c:yVal>
            <c:numRef>
              <c:f>'2022_Data'!$E$243</c:f>
              <c:numCache/>
            </c:numRef>
          </c:yVal>
          <c:bubbleSize>
            <c:numRef>
              <c:f>'2022_Data'!$G$243</c:f>
            </c:numRef>
          </c:bubbleSize>
        </c:ser>
        <c:ser>
          <c:idx val="243"/>
          <c:order val="243"/>
          <c:tx>
            <c:strRef>
              <c:f>'2022_Data'!$A$244</c:f>
            </c:strRef>
          </c:tx>
          <c:dLbls>
            <c:dLblPos val="ctr"/>
            <c:showLegendKey val="0"/>
            <c:showVal val="0"/>
            <c:showCatName val="0"/>
            <c:showSerName val="1"/>
            <c:showPercent val="0"/>
            <c:showBubbleSize val="0"/>
          </c:dLbls>
          <c:xVal>
            <c:strRef>
              <c:f>'2022_Data'!$F$244</c:f>
            </c:strRef>
          </c:xVal>
          <c:yVal>
            <c:numRef>
              <c:f>'2022_Data'!$E$244</c:f>
              <c:numCache/>
            </c:numRef>
          </c:yVal>
          <c:bubbleSize>
            <c:numRef>
              <c:f>'2022_Data'!$G$244</c:f>
            </c:numRef>
          </c:bubbleSize>
        </c:ser>
        <c:ser>
          <c:idx val="244"/>
          <c:order val="244"/>
          <c:tx>
            <c:strRef>
              <c:f>'2022_Data'!$A$245</c:f>
            </c:strRef>
          </c:tx>
          <c:dLbls>
            <c:dLblPos val="ctr"/>
            <c:showLegendKey val="0"/>
            <c:showVal val="0"/>
            <c:showCatName val="0"/>
            <c:showSerName val="1"/>
            <c:showPercent val="0"/>
            <c:showBubbleSize val="0"/>
          </c:dLbls>
          <c:xVal>
            <c:strRef>
              <c:f>'2022_Data'!$F$245</c:f>
            </c:strRef>
          </c:xVal>
          <c:yVal>
            <c:numRef>
              <c:f>'2022_Data'!$E$245</c:f>
              <c:numCache/>
            </c:numRef>
          </c:yVal>
          <c:bubbleSize>
            <c:numRef>
              <c:f>'2022_Data'!$G$245</c:f>
            </c:numRef>
          </c:bubbleSize>
        </c:ser>
        <c:ser>
          <c:idx val="245"/>
          <c:order val="245"/>
          <c:tx>
            <c:strRef>
              <c:f>'2022_Data'!$A$246</c:f>
            </c:strRef>
          </c:tx>
          <c:dLbls>
            <c:dLblPos val="ctr"/>
            <c:showLegendKey val="0"/>
            <c:showVal val="0"/>
            <c:showCatName val="0"/>
            <c:showSerName val="1"/>
            <c:showPercent val="0"/>
            <c:showBubbleSize val="0"/>
          </c:dLbls>
          <c:xVal>
            <c:strRef>
              <c:f>'2022_Data'!$F$246</c:f>
            </c:strRef>
          </c:xVal>
          <c:yVal>
            <c:numRef>
              <c:f>'2022_Data'!$E$246</c:f>
              <c:numCache/>
            </c:numRef>
          </c:yVal>
          <c:bubbleSize>
            <c:numRef>
              <c:f>'2022_Data'!$G$246</c:f>
            </c:numRef>
          </c:bubbleSize>
        </c:ser>
        <c:ser>
          <c:idx val="246"/>
          <c:order val="246"/>
          <c:tx>
            <c:strRef>
              <c:f>'2022_Data'!$A$247</c:f>
            </c:strRef>
          </c:tx>
          <c:dLbls>
            <c:dLblPos val="ctr"/>
            <c:showLegendKey val="0"/>
            <c:showVal val="0"/>
            <c:showCatName val="0"/>
            <c:showSerName val="1"/>
            <c:showPercent val="0"/>
            <c:showBubbleSize val="0"/>
          </c:dLbls>
          <c:xVal>
            <c:strRef>
              <c:f>'2022_Data'!$F$247</c:f>
            </c:strRef>
          </c:xVal>
          <c:yVal>
            <c:numRef>
              <c:f>'2022_Data'!$E$247</c:f>
              <c:numCache/>
            </c:numRef>
          </c:yVal>
          <c:bubbleSize>
            <c:numRef>
              <c:f>'2022_Data'!$G$247</c:f>
            </c:numRef>
          </c:bubbleSize>
        </c:ser>
        <c:ser>
          <c:idx val="247"/>
          <c:order val="247"/>
          <c:tx>
            <c:strRef>
              <c:f>'2022_Data'!$A$248</c:f>
            </c:strRef>
          </c:tx>
          <c:dLbls>
            <c:dLblPos val="ctr"/>
            <c:showLegendKey val="0"/>
            <c:showVal val="0"/>
            <c:showCatName val="0"/>
            <c:showSerName val="1"/>
            <c:showPercent val="0"/>
            <c:showBubbleSize val="0"/>
          </c:dLbls>
          <c:xVal>
            <c:strRef>
              <c:f>'2022_Data'!$F$248</c:f>
            </c:strRef>
          </c:xVal>
          <c:yVal>
            <c:numRef>
              <c:f>'2022_Data'!$E$248</c:f>
              <c:numCache/>
            </c:numRef>
          </c:yVal>
          <c:bubbleSize>
            <c:numRef>
              <c:f>'2022_Data'!$G$248</c:f>
            </c:numRef>
          </c:bubbleSize>
        </c:ser>
        <c:ser>
          <c:idx val="248"/>
          <c:order val="248"/>
          <c:tx>
            <c:strRef>
              <c:f>'2022_Data'!$A$249</c:f>
            </c:strRef>
          </c:tx>
          <c:dLbls>
            <c:dLblPos val="ctr"/>
            <c:showLegendKey val="0"/>
            <c:showVal val="0"/>
            <c:showCatName val="0"/>
            <c:showSerName val="1"/>
            <c:showPercent val="0"/>
            <c:showBubbleSize val="0"/>
          </c:dLbls>
          <c:xVal>
            <c:strRef>
              <c:f>'2022_Data'!$F$249</c:f>
            </c:strRef>
          </c:xVal>
          <c:yVal>
            <c:numRef>
              <c:f>'2022_Data'!$E$249</c:f>
              <c:numCache/>
            </c:numRef>
          </c:yVal>
          <c:bubbleSize>
            <c:numRef>
              <c:f>'2022_Data'!$G$249</c:f>
            </c:numRef>
          </c:bubbleSize>
        </c:ser>
        <c:ser>
          <c:idx val="249"/>
          <c:order val="249"/>
          <c:tx>
            <c:strRef>
              <c:f>'2022_Data'!$A$250</c:f>
            </c:strRef>
          </c:tx>
          <c:dLbls>
            <c:dLblPos val="ctr"/>
            <c:showLegendKey val="0"/>
            <c:showVal val="0"/>
            <c:showCatName val="0"/>
            <c:showSerName val="1"/>
            <c:showPercent val="0"/>
            <c:showBubbleSize val="0"/>
          </c:dLbls>
          <c:xVal>
            <c:strRef>
              <c:f>'2022_Data'!$F$250</c:f>
            </c:strRef>
          </c:xVal>
          <c:yVal>
            <c:numRef>
              <c:f>'2022_Data'!$E$250</c:f>
              <c:numCache/>
            </c:numRef>
          </c:yVal>
          <c:bubbleSize>
            <c:numRef>
              <c:f>'2022_Data'!$G$250</c:f>
            </c:numRef>
          </c:bubbleSize>
        </c:ser>
        <c:ser>
          <c:idx val="250"/>
          <c:order val="250"/>
          <c:tx>
            <c:strRef>
              <c:f>'2022_Data'!$A$251</c:f>
            </c:strRef>
          </c:tx>
          <c:dLbls>
            <c:dLblPos val="ctr"/>
            <c:showLegendKey val="0"/>
            <c:showVal val="0"/>
            <c:showCatName val="0"/>
            <c:showSerName val="1"/>
            <c:showPercent val="0"/>
            <c:showBubbleSize val="0"/>
          </c:dLbls>
          <c:xVal>
            <c:strRef>
              <c:f>'2022_Data'!$F$251</c:f>
            </c:strRef>
          </c:xVal>
          <c:yVal>
            <c:numRef>
              <c:f>'2022_Data'!$E$251</c:f>
              <c:numCache/>
            </c:numRef>
          </c:yVal>
          <c:bubbleSize>
            <c:numRef>
              <c:f>'2022_Data'!$G$251</c:f>
            </c:numRef>
          </c:bubbleSize>
        </c:ser>
        <c:ser>
          <c:idx val="251"/>
          <c:order val="251"/>
          <c:tx>
            <c:strRef>
              <c:f>'2022_Data'!$A$252</c:f>
            </c:strRef>
          </c:tx>
          <c:dLbls>
            <c:dLblPos val="ctr"/>
            <c:showLegendKey val="0"/>
            <c:showVal val="0"/>
            <c:showCatName val="0"/>
            <c:showSerName val="1"/>
            <c:showPercent val="0"/>
            <c:showBubbleSize val="0"/>
          </c:dLbls>
          <c:xVal>
            <c:strRef>
              <c:f>'2022_Data'!$F$252</c:f>
            </c:strRef>
          </c:xVal>
          <c:yVal>
            <c:numRef>
              <c:f>'2022_Data'!$E$252</c:f>
              <c:numCache/>
            </c:numRef>
          </c:yVal>
          <c:bubbleSize>
            <c:numRef>
              <c:f>'2022_Data'!$G$252</c:f>
            </c:numRef>
          </c:bubbleSize>
        </c:ser>
        <c:ser>
          <c:idx val="252"/>
          <c:order val="252"/>
          <c:tx>
            <c:strRef>
              <c:f>'2022_Data'!$A$253</c:f>
            </c:strRef>
          </c:tx>
          <c:dLbls>
            <c:dLblPos val="ctr"/>
            <c:showLegendKey val="0"/>
            <c:showVal val="0"/>
            <c:showCatName val="0"/>
            <c:showSerName val="1"/>
            <c:showPercent val="0"/>
            <c:showBubbleSize val="0"/>
          </c:dLbls>
          <c:xVal>
            <c:strRef>
              <c:f>'2022_Data'!$F$253</c:f>
            </c:strRef>
          </c:xVal>
          <c:yVal>
            <c:numRef>
              <c:f>'2022_Data'!$E$253</c:f>
              <c:numCache/>
            </c:numRef>
          </c:yVal>
          <c:bubbleSize>
            <c:numRef>
              <c:f>'2022_Data'!$G$253</c:f>
            </c:numRef>
          </c:bubbleSize>
        </c:ser>
        <c:ser>
          <c:idx val="253"/>
          <c:order val="253"/>
          <c:tx>
            <c:strRef>
              <c:f>'2022_Data'!$A$254</c:f>
            </c:strRef>
          </c:tx>
          <c:dLbls>
            <c:dLblPos val="ctr"/>
            <c:showLegendKey val="0"/>
            <c:showVal val="0"/>
            <c:showCatName val="0"/>
            <c:showSerName val="1"/>
            <c:showPercent val="0"/>
            <c:showBubbleSize val="0"/>
          </c:dLbls>
          <c:xVal>
            <c:strRef>
              <c:f>'2022_Data'!$F$254</c:f>
            </c:strRef>
          </c:xVal>
          <c:yVal>
            <c:numRef>
              <c:f>'2022_Data'!$E$254</c:f>
              <c:numCache/>
            </c:numRef>
          </c:yVal>
          <c:bubbleSize>
            <c:numRef>
              <c:f>'2022_Data'!$G$254</c:f>
            </c:numRef>
          </c:bubbleSize>
        </c:ser>
        <c:ser>
          <c:idx val="254"/>
          <c:order val="254"/>
          <c:tx>
            <c:strRef>
              <c:f>'2022_Data'!$A$255</c:f>
            </c:strRef>
          </c:tx>
          <c:dLbls>
            <c:dLblPos val="ctr"/>
            <c:showLegendKey val="0"/>
            <c:showVal val="0"/>
            <c:showCatName val="0"/>
            <c:showSerName val="1"/>
            <c:showPercent val="0"/>
            <c:showBubbleSize val="0"/>
          </c:dLbls>
          <c:xVal>
            <c:strRef>
              <c:f>'2022_Data'!$F$255</c:f>
            </c:strRef>
          </c:xVal>
          <c:yVal>
            <c:numRef>
              <c:f>'2022_Data'!$E$255</c:f>
              <c:numCache/>
            </c:numRef>
          </c:yVal>
          <c:bubbleSize>
            <c:numRef>
              <c:f>'2022_Data'!$G$255</c:f>
            </c:numRef>
          </c:bubbleSize>
        </c:ser>
        <c:ser>
          <c:idx val="255"/>
          <c:order val="255"/>
          <c:tx>
            <c:strRef>
              <c:f>'2022_Data'!$A$256</c:f>
            </c:strRef>
          </c:tx>
          <c:dLbls>
            <c:dLblPos val="ctr"/>
            <c:showLegendKey val="0"/>
            <c:showVal val="0"/>
            <c:showCatName val="0"/>
            <c:showSerName val="1"/>
            <c:showPercent val="0"/>
            <c:showBubbleSize val="0"/>
          </c:dLbls>
          <c:xVal>
            <c:strRef>
              <c:f>'2022_Data'!$F$256</c:f>
            </c:strRef>
          </c:xVal>
          <c:yVal>
            <c:numRef>
              <c:f>'2022_Data'!$E$256</c:f>
              <c:numCache/>
            </c:numRef>
          </c:yVal>
          <c:bubbleSize>
            <c:numRef>
              <c:f>'2022_Data'!$G$256</c:f>
            </c:numRef>
          </c:bubbleSize>
        </c:ser>
        <c:ser>
          <c:idx val="256"/>
          <c:order val="256"/>
          <c:tx>
            <c:strRef>
              <c:f>'2022_Data'!$A$257</c:f>
            </c:strRef>
          </c:tx>
          <c:dLbls>
            <c:dLblPos val="ctr"/>
            <c:showLegendKey val="0"/>
            <c:showVal val="0"/>
            <c:showCatName val="0"/>
            <c:showSerName val="1"/>
            <c:showPercent val="0"/>
            <c:showBubbleSize val="0"/>
          </c:dLbls>
          <c:xVal>
            <c:strRef>
              <c:f>'2022_Data'!$F$257</c:f>
            </c:strRef>
          </c:xVal>
          <c:yVal>
            <c:numRef>
              <c:f>'2022_Data'!$E$257</c:f>
              <c:numCache/>
            </c:numRef>
          </c:yVal>
          <c:bubbleSize>
            <c:numRef>
              <c:f>'2022_Data'!$G$257</c:f>
            </c:numRef>
          </c:bubbleSize>
        </c:ser>
        <c:ser>
          <c:idx val="257"/>
          <c:order val="257"/>
          <c:tx>
            <c:strRef>
              <c:f>'2022_Data'!$A$258</c:f>
            </c:strRef>
          </c:tx>
          <c:dLbls>
            <c:dLblPos val="ctr"/>
            <c:showLegendKey val="0"/>
            <c:showVal val="0"/>
            <c:showCatName val="0"/>
            <c:showSerName val="1"/>
            <c:showPercent val="0"/>
            <c:showBubbleSize val="0"/>
          </c:dLbls>
          <c:xVal>
            <c:strRef>
              <c:f>'2022_Data'!$F$258</c:f>
            </c:strRef>
          </c:xVal>
          <c:yVal>
            <c:numRef>
              <c:f>'2022_Data'!$E$258</c:f>
              <c:numCache/>
            </c:numRef>
          </c:yVal>
          <c:bubbleSize>
            <c:numRef>
              <c:f>'2022_Data'!$G$258</c:f>
            </c:numRef>
          </c:bubbleSize>
        </c:ser>
        <c:ser>
          <c:idx val="258"/>
          <c:order val="258"/>
          <c:tx>
            <c:strRef>
              <c:f>'2022_Data'!$A$259</c:f>
            </c:strRef>
          </c:tx>
          <c:dLbls>
            <c:dLblPos val="ctr"/>
            <c:showLegendKey val="0"/>
            <c:showVal val="0"/>
            <c:showCatName val="0"/>
            <c:showSerName val="1"/>
            <c:showPercent val="0"/>
            <c:showBubbleSize val="0"/>
          </c:dLbls>
          <c:xVal>
            <c:strRef>
              <c:f>'2022_Data'!$F$259</c:f>
            </c:strRef>
          </c:xVal>
          <c:yVal>
            <c:numRef>
              <c:f>'2022_Data'!$E$259</c:f>
              <c:numCache/>
            </c:numRef>
          </c:yVal>
          <c:bubbleSize>
            <c:numRef>
              <c:f>'2022_Data'!$G$259</c:f>
            </c:numRef>
          </c:bubbleSize>
        </c:ser>
        <c:ser>
          <c:idx val="259"/>
          <c:order val="259"/>
          <c:tx>
            <c:strRef>
              <c:f>'2022_Data'!$A$260</c:f>
            </c:strRef>
          </c:tx>
          <c:dLbls>
            <c:dLblPos val="ctr"/>
            <c:showLegendKey val="0"/>
            <c:showVal val="0"/>
            <c:showCatName val="0"/>
            <c:showSerName val="1"/>
            <c:showPercent val="0"/>
            <c:showBubbleSize val="0"/>
          </c:dLbls>
          <c:xVal>
            <c:strRef>
              <c:f>'2022_Data'!$F$260</c:f>
            </c:strRef>
          </c:xVal>
          <c:yVal>
            <c:numRef>
              <c:f>'2022_Data'!$E$260</c:f>
              <c:numCache/>
            </c:numRef>
          </c:yVal>
          <c:bubbleSize>
            <c:numRef>
              <c:f>'2022_Data'!$G$260</c:f>
            </c:numRef>
          </c:bubbleSize>
        </c:ser>
        <c:ser>
          <c:idx val="260"/>
          <c:order val="260"/>
          <c:tx>
            <c:strRef>
              <c:f>'2022_Data'!$A$261</c:f>
            </c:strRef>
          </c:tx>
          <c:dLbls>
            <c:dLblPos val="ctr"/>
            <c:showLegendKey val="0"/>
            <c:showVal val="0"/>
            <c:showCatName val="0"/>
            <c:showSerName val="1"/>
            <c:showPercent val="0"/>
            <c:showBubbleSize val="0"/>
          </c:dLbls>
          <c:xVal>
            <c:strRef>
              <c:f>'2022_Data'!$F$261</c:f>
            </c:strRef>
          </c:xVal>
          <c:yVal>
            <c:numRef>
              <c:f>'2022_Data'!$E$261</c:f>
              <c:numCache/>
            </c:numRef>
          </c:yVal>
          <c:bubbleSize>
            <c:numRef>
              <c:f>'2022_Data'!$G$261</c:f>
            </c:numRef>
          </c:bubbleSize>
        </c:ser>
        <c:ser>
          <c:idx val="261"/>
          <c:order val="261"/>
          <c:tx>
            <c:strRef>
              <c:f>'2022_Data'!$A$262</c:f>
            </c:strRef>
          </c:tx>
          <c:dLbls>
            <c:dLblPos val="ctr"/>
            <c:showLegendKey val="0"/>
            <c:showVal val="0"/>
            <c:showCatName val="0"/>
            <c:showSerName val="1"/>
            <c:showPercent val="0"/>
            <c:showBubbleSize val="0"/>
          </c:dLbls>
          <c:xVal>
            <c:strRef>
              <c:f>'2022_Data'!$F$262</c:f>
            </c:strRef>
          </c:xVal>
          <c:yVal>
            <c:numRef>
              <c:f>'2022_Data'!$E$262</c:f>
              <c:numCache/>
            </c:numRef>
          </c:yVal>
          <c:bubbleSize>
            <c:numRef>
              <c:f>'2022_Data'!$G$262</c:f>
            </c:numRef>
          </c:bubbleSize>
        </c:ser>
        <c:ser>
          <c:idx val="262"/>
          <c:order val="262"/>
          <c:tx>
            <c:strRef>
              <c:f>'2022_Data'!$A$263</c:f>
            </c:strRef>
          </c:tx>
          <c:dLbls>
            <c:dLblPos val="ctr"/>
            <c:showLegendKey val="0"/>
            <c:showVal val="0"/>
            <c:showCatName val="0"/>
            <c:showSerName val="1"/>
            <c:showPercent val="0"/>
            <c:showBubbleSize val="0"/>
          </c:dLbls>
          <c:xVal>
            <c:strRef>
              <c:f>'2022_Data'!$F$263</c:f>
            </c:strRef>
          </c:xVal>
          <c:yVal>
            <c:numRef>
              <c:f>'2022_Data'!$E$263</c:f>
              <c:numCache/>
            </c:numRef>
          </c:yVal>
          <c:bubbleSize>
            <c:numRef>
              <c:f>'2022_Data'!$G$263</c:f>
            </c:numRef>
          </c:bubbleSize>
        </c:ser>
        <c:ser>
          <c:idx val="263"/>
          <c:order val="263"/>
          <c:tx>
            <c:strRef>
              <c:f>'2022_Data'!$A$264</c:f>
            </c:strRef>
          </c:tx>
          <c:dLbls>
            <c:dLblPos val="ctr"/>
            <c:showLegendKey val="0"/>
            <c:showVal val="0"/>
            <c:showCatName val="0"/>
            <c:showSerName val="1"/>
            <c:showPercent val="0"/>
            <c:showBubbleSize val="0"/>
          </c:dLbls>
          <c:xVal>
            <c:strRef>
              <c:f>'2022_Data'!$F$264</c:f>
            </c:strRef>
          </c:xVal>
          <c:yVal>
            <c:numRef>
              <c:f>'2022_Data'!$E$264</c:f>
              <c:numCache/>
            </c:numRef>
          </c:yVal>
          <c:bubbleSize>
            <c:numRef>
              <c:f>'2022_Data'!$G$264</c:f>
            </c:numRef>
          </c:bubbleSize>
        </c:ser>
        <c:ser>
          <c:idx val="264"/>
          <c:order val="264"/>
          <c:tx>
            <c:strRef>
              <c:f>'2022_Data'!$A$265</c:f>
            </c:strRef>
          </c:tx>
          <c:dLbls>
            <c:dLblPos val="ctr"/>
            <c:showLegendKey val="0"/>
            <c:showVal val="0"/>
            <c:showCatName val="0"/>
            <c:showSerName val="1"/>
            <c:showPercent val="0"/>
            <c:showBubbleSize val="0"/>
          </c:dLbls>
          <c:xVal>
            <c:strRef>
              <c:f>'2022_Data'!$F$265</c:f>
            </c:strRef>
          </c:xVal>
          <c:yVal>
            <c:numRef>
              <c:f>'2022_Data'!$E$265</c:f>
              <c:numCache/>
            </c:numRef>
          </c:yVal>
          <c:bubbleSize>
            <c:numRef>
              <c:f>'2022_Data'!$G$265</c:f>
            </c:numRef>
          </c:bubbleSize>
        </c:ser>
        <c:ser>
          <c:idx val="265"/>
          <c:order val="265"/>
          <c:tx>
            <c:strRef>
              <c:f>'2022_Data'!$A$266</c:f>
            </c:strRef>
          </c:tx>
          <c:dLbls>
            <c:dLblPos val="ctr"/>
            <c:showLegendKey val="0"/>
            <c:showVal val="0"/>
            <c:showCatName val="0"/>
            <c:showSerName val="1"/>
            <c:showPercent val="0"/>
            <c:showBubbleSize val="0"/>
          </c:dLbls>
          <c:xVal>
            <c:strRef>
              <c:f>'2022_Data'!$F$266</c:f>
            </c:strRef>
          </c:xVal>
          <c:yVal>
            <c:numRef>
              <c:f>'2022_Data'!$E$266</c:f>
              <c:numCache/>
            </c:numRef>
          </c:yVal>
          <c:bubbleSize>
            <c:numRef>
              <c:f>'2022_Data'!$G$266</c:f>
            </c:numRef>
          </c:bubbleSize>
        </c:ser>
        <c:ser>
          <c:idx val="266"/>
          <c:order val="266"/>
          <c:tx>
            <c:strRef>
              <c:f>'2022_Data'!$A$267</c:f>
            </c:strRef>
          </c:tx>
          <c:dLbls>
            <c:dLblPos val="ctr"/>
            <c:showLegendKey val="0"/>
            <c:showVal val="0"/>
            <c:showCatName val="0"/>
            <c:showSerName val="1"/>
            <c:showPercent val="0"/>
            <c:showBubbleSize val="0"/>
          </c:dLbls>
          <c:xVal>
            <c:strRef>
              <c:f>'2022_Data'!$F$267</c:f>
            </c:strRef>
          </c:xVal>
          <c:yVal>
            <c:numRef>
              <c:f>'2022_Data'!$E$267</c:f>
              <c:numCache/>
            </c:numRef>
          </c:yVal>
          <c:bubbleSize>
            <c:numRef>
              <c:f>'2022_Data'!$G$267</c:f>
            </c:numRef>
          </c:bubbleSize>
        </c:ser>
        <c:ser>
          <c:idx val="267"/>
          <c:order val="267"/>
          <c:tx>
            <c:strRef>
              <c:f>'2022_Data'!$A$268</c:f>
            </c:strRef>
          </c:tx>
          <c:dLbls>
            <c:dLblPos val="ctr"/>
            <c:showLegendKey val="0"/>
            <c:showVal val="0"/>
            <c:showCatName val="0"/>
            <c:showSerName val="1"/>
            <c:showPercent val="0"/>
            <c:showBubbleSize val="0"/>
          </c:dLbls>
          <c:xVal>
            <c:strRef>
              <c:f>'2022_Data'!$F$268</c:f>
            </c:strRef>
          </c:xVal>
          <c:yVal>
            <c:numRef>
              <c:f>'2022_Data'!$E$268</c:f>
              <c:numCache/>
            </c:numRef>
          </c:yVal>
          <c:bubbleSize>
            <c:numRef>
              <c:f>'2022_Data'!$G$268</c:f>
            </c:numRef>
          </c:bubbleSize>
        </c:ser>
        <c:ser>
          <c:idx val="268"/>
          <c:order val="268"/>
          <c:tx>
            <c:strRef>
              <c:f>'2022_Data'!$A$269</c:f>
            </c:strRef>
          </c:tx>
          <c:dLbls>
            <c:dLblPos val="ctr"/>
            <c:showLegendKey val="0"/>
            <c:showVal val="0"/>
            <c:showCatName val="0"/>
            <c:showSerName val="1"/>
            <c:showPercent val="0"/>
            <c:showBubbleSize val="0"/>
          </c:dLbls>
          <c:xVal>
            <c:strRef>
              <c:f>'2022_Data'!$F$269</c:f>
            </c:strRef>
          </c:xVal>
          <c:yVal>
            <c:numRef>
              <c:f>'2022_Data'!$E$269</c:f>
              <c:numCache/>
            </c:numRef>
          </c:yVal>
          <c:bubbleSize>
            <c:numRef>
              <c:f>'2022_Data'!$G$269</c:f>
            </c:numRef>
          </c:bubbleSize>
        </c:ser>
        <c:ser>
          <c:idx val="269"/>
          <c:order val="269"/>
          <c:tx>
            <c:strRef>
              <c:f>'2022_Data'!$A$270</c:f>
            </c:strRef>
          </c:tx>
          <c:dLbls>
            <c:dLblPos val="ctr"/>
            <c:showLegendKey val="0"/>
            <c:showVal val="0"/>
            <c:showCatName val="0"/>
            <c:showSerName val="1"/>
            <c:showPercent val="0"/>
            <c:showBubbleSize val="0"/>
          </c:dLbls>
          <c:xVal>
            <c:strRef>
              <c:f>'2022_Data'!$F$270</c:f>
            </c:strRef>
          </c:xVal>
          <c:yVal>
            <c:numRef>
              <c:f>'2022_Data'!$E$270</c:f>
              <c:numCache/>
            </c:numRef>
          </c:yVal>
          <c:bubbleSize>
            <c:numRef>
              <c:f>'2022_Data'!$G$270</c:f>
            </c:numRef>
          </c:bubbleSize>
        </c:ser>
        <c:ser>
          <c:idx val="270"/>
          <c:order val="270"/>
          <c:tx>
            <c:strRef>
              <c:f>'2022_Data'!$A$271</c:f>
            </c:strRef>
          </c:tx>
          <c:dLbls>
            <c:dLblPos val="ctr"/>
            <c:showLegendKey val="0"/>
            <c:showVal val="0"/>
            <c:showCatName val="0"/>
            <c:showSerName val="1"/>
            <c:showPercent val="0"/>
            <c:showBubbleSize val="0"/>
          </c:dLbls>
          <c:xVal>
            <c:strRef>
              <c:f>'2022_Data'!$F$271</c:f>
            </c:strRef>
          </c:xVal>
          <c:yVal>
            <c:numRef>
              <c:f>'2022_Data'!$E$271</c:f>
              <c:numCache/>
            </c:numRef>
          </c:yVal>
          <c:bubbleSize>
            <c:numRef>
              <c:f>'2022_Data'!$G$271</c:f>
            </c:numRef>
          </c:bubbleSize>
        </c:ser>
        <c:ser>
          <c:idx val="271"/>
          <c:order val="271"/>
          <c:tx>
            <c:strRef>
              <c:f>'2022_Data'!$A$272</c:f>
            </c:strRef>
          </c:tx>
          <c:dLbls>
            <c:dLblPos val="ctr"/>
            <c:showLegendKey val="0"/>
            <c:showVal val="0"/>
            <c:showCatName val="0"/>
            <c:showSerName val="1"/>
            <c:showPercent val="0"/>
            <c:showBubbleSize val="0"/>
          </c:dLbls>
          <c:xVal>
            <c:strRef>
              <c:f>'2022_Data'!$F$272</c:f>
            </c:strRef>
          </c:xVal>
          <c:yVal>
            <c:numRef>
              <c:f>'2022_Data'!$E$272</c:f>
              <c:numCache/>
            </c:numRef>
          </c:yVal>
          <c:bubbleSize>
            <c:numRef>
              <c:f>'2022_Data'!$G$272</c:f>
            </c:numRef>
          </c:bubbleSize>
        </c:ser>
        <c:ser>
          <c:idx val="272"/>
          <c:order val="272"/>
          <c:tx>
            <c:strRef>
              <c:f>'2022_Data'!$A$273</c:f>
            </c:strRef>
          </c:tx>
          <c:dLbls>
            <c:dLblPos val="ctr"/>
            <c:showLegendKey val="0"/>
            <c:showVal val="0"/>
            <c:showCatName val="0"/>
            <c:showSerName val="1"/>
            <c:showPercent val="0"/>
            <c:showBubbleSize val="0"/>
          </c:dLbls>
          <c:xVal>
            <c:strRef>
              <c:f>'2022_Data'!$F$273</c:f>
            </c:strRef>
          </c:xVal>
          <c:yVal>
            <c:numRef>
              <c:f>'2022_Data'!$E$273</c:f>
              <c:numCache/>
            </c:numRef>
          </c:yVal>
          <c:bubbleSize>
            <c:numRef>
              <c:f>'2022_Data'!$G$273</c:f>
            </c:numRef>
          </c:bubbleSize>
        </c:ser>
        <c:ser>
          <c:idx val="273"/>
          <c:order val="273"/>
          <c:tx>
            <c:strRef>
              <c:f>'2022_Data'!$A$274</c:f>
            </c:strRef>
          </c:tx>
          <c:dLbls>
            <c:dLblPos val="ctr"/>
            <c:showLegendKey val="0"/>
            <c:showVal val="0"/>
            <c:showCatName val="0"/>
            <c:showSerName val="1"/>
            <c:showPercent val="0"/>
            <c:showBubbleSize val="0"/>
          </c:dLbls>
          <c:xVal>
            <c:strRef>
              <c:f>'2022_Data'!$F$274</c:f>
            </c:strRef>
          </c:xVal>
          <c:yVal>
            <c:numRef>
              <c:f>'2022_Data'!$E$274</c:f>
              <c:numCache/>
            </c:numRef>
          </c:yVal>
          <c:bubbleSize>
            <c:numRef>
              <c:f>'2022_Data'!$G$274</c:f>
            </c:numRef>
          </c:bubbleSize>
        </c:ser>
        <c:ser>
          <c:idx val="274"/>
          <c:order val="274"/>
          <c:tx>
            <c:strRef>
              <c:f>'2022_Data'!$A$275</c:f>
            </c:strRef>
          </c:tx>
          <c:dLbls>
            <c:dLblPos val="ctr"/>
            <c:showLegendKey val="0"/>
            <c:showVal val="0"/>
            <c:showCatName val="0"/>
            <c:showSerName val="1"/>
            <c:showPercent val="0"/>
            <c:showBubbleSize val="0"/>
          </c:dLbls>
          <c:xVal>
            <c:strRef>
              <c:f>'2022_Data'!$F$275</c:f>
            </c:strRef>
          </c:xVal>
          <c:yVal>
            <c:numRef>
              <c:f>'2022_Data'!$E$275</c:f>
              <c:numCache/>
            </c:numRef>
          </c:yVal>
          <c:bubbleSize>
            <c:numRef>
              <c:f>'2022_Data'!$G$275</c:f>
            </c:numRef>
          </c:bubbleSize>
        </c:ser>
        <c:ser>
          <c:idx val="275"/>
          <c:order val="275"/>
          <c:tx>
            <c:strRef>
              <c:f>'2022_Data'!$A$276</c:f>
            </c:strRef>
          </c:tx>
          <c:dLbls>
            <c:dLblPos val="ctr"/>
            <c:showLegendKey val="0"/>
            <c:showVal val="0"/>
            <c:showCatName val="0"/>
            <c:showSerName val="1"/>
            <c:showPercent val="0"/>
            <c:showBubbleSize val="0"/>
          </c:dLbls>
          <c:xVal>
            <c:strRef>
              <c:f>'2022_Data'!$F$276</c:f>
            </c:strRef>
          </c:xVal>
          <c:yVal>
            <c:numRef>
              <c:f>'2022_Data'!$E$276</c:f>
              <c:numCache/>
            </c:numRef>
          </c:yVal>
          <c:bubbleSize>
            <c:numRef>
              <c:f>'2022_Data'!$G$276</c:f>
            </c:numRef>
          </c:bubbleSize>
        </c:ser>
        <c:ser>
          <c:idx val="276"/>
          <c:order val="276"/>
          <c:tx>
            <c:strRef>
              <c:f>'2022_Data'!$A$277</c:f>
            </c:strRef>
          </c:tx>
          <c:dLbls>
            <c:dLblPos val="ctr"/>
            <c:showLegendKey val="0"/>
            <c:showVal val="0"/>
            <c:showCatName val="0"/>
            <c:showSerName val="1"/>
            <c:showPercent val="0"/>
            <c:showBubbleSize val="0"/>
          </c:dLbls>
          <c:xVal>
            <c:strRef>
              <c:f>'2022_Data'!$F$277</c:f>
            </c:strRef>
          </c:xVal>
          <c:yVal>
            <c:numRef>
              <c:f>'2022_Data'!$E$277</c:f>
              <c:numCache/>
            </c:numRef>
          </c:yVal>
          <c:bubbleSize>
            <c:numRef>
              <c:f>'2022_Data'!$G$277</c:f>
            </c:numRef>
          </c:bubbleSize>
        </c:ser>
        <c:ser>
          <c:idx val="277"/>
          <c:order val="277"/>
          <c:tx>
            <c:strRef>
              <c:f>'2022_Data'!$A$278</c:f>
            </c:strRef>
          </c:tx>
          <c:dLbls>
            <c:dLblPos val="ctr"/>
            <c:showLegendKey val="0"/>
            <c:showVal val="0"/>
            <c:showCatName val="0"/>
            <c:showSerName val="1"/>
            <c:showPercent val="0"/>
            <c:showBubbleSize val="0"/>
          </c:dLbls>
          <c:xVal>
            <c:strRef>
              <c:f>'2022_Data'!$F$278</c:f>
            </c:strRef>
          </c:xVal>
          <c:yVal>
            <c:numRef>
              <c:f>'2022_Data'!$E$278</c:f>
              <c:numCache/>
            </c:numRef>
          </c:yVal>
          <c:bubbleSize>
            <c:numRef>
              <c:f>'2022_Data'!$G$278</c:f>
            </c:numRef>
          </c:bubbleSize>
        </c:ser>
        <c:ser>
          <c:idx val="278"/>
          <c:order val="278"/>
          <c:tx>
            <c:strRef>
              <c:f>'2022_Data'!$A$279</c:f>
            </c:strRef>
          </c:tx>
          <c:dLbls>
            <c:dLblPos val="ctr"/>
            <c:showLegendKey val="0"/>
            <c:showVal val="0"/>
            <c:showCatName val="0"/>
            <c:showSerName val="1"/>
            <c:showPercent val="0"/>
            <c:showBubbleSize val="0"/>
          </c:dLbls>
          <c:xVal>
            <c:strRef>
              <c:f>'2022_Data'!$F$279</c:f>
            </c:strRef>
          </c:xVal>
          <c:yVal>
            <c:numRef>
              <c:f>'2022_Data'!$E$279</c:f>
              <c:numCache/>
            </c:numRef>
          </c:yVal>
          <c:bubbleSize>
            <c:numRef>
              <c:f>'2022_Data'!$G$279</c:f>
            </c:numRef>
          </c:bubbleSize>
        </c:ser>
        <c:ser>
          <c:idx val="279"/>
          <c:order val="279"/>
          <c:tx>
            <c:strRef>
              <c:f>'2022_Data'!$A$280</c:f>
            </c:strRef>
          </c:tx>
          <c:dLbls>
            <c:dLblPos val="ctr"/>
            <c:showLegendKey val="0"/>
            <c:showVal val="0"/>
            <c:showCatName val="0"/>
            <c:showSerName val="1"/>
            <c:showPercent val="0"/>
            <c:showBubbleSize val="0"/>
          </c:dLbls>
          <c:xVal>
            <c:strRef>
              <c:f>'2022_Data'!$F$280</c:f>
            </c:strRef>
          </c:xVal>
          <c:yVal>
            <c:numRef>
              <c:f>'2022_Data'!$E$280</c:f>
              <c:numCache/>
            </c:numRef>
          </c:yVal>
          <c:bubbleSize>
            <c:numRef>
              <c:f>'2022_Data'!$G$280</c:f>
            </c:numRef>
          </c:bubbleSize>
        </c:ser>
        <c:ser>
          <c:idx val="280"/>
          <c:order val="280"/>
          <c:tx>
            <c:strRef>
              <c:f>'2022_Data'!$A$281</c:f>
            </c:strRef>
          </c:tx>
          <c:dLbls>
            <c:dLblPos val="ctr"/>
            <c:showLegendKey val="0"/>
            <c:showVal val="0"/>
            <c:showCatName val="0"/>
            <c:showSerName val="1"/>
            <c:showPercent val="0"/>
            <c:showBubbleSize val="0"/>
          </c:dLbls>
          <c:xVal>
            <c:strRef>
              <c:f>'2022_Data'!$F$281</c:f>
            </c:strRef>
          </c:xVal>
          <c:yVal>
            <c:numRef>
              <c:f>'2022_Data'!$E$281</c:f>
              <c:numCache/>
            </c:numRef>
          </c:yVal>
          <c:bubbleSize>
            <c:numRef>
              <c:f>'2022_Data'!$G$281</c:f>
            </c:numRef>
          </c:bubbleSize>
        </c:ser>
        <c:ser>
          <c:idx val="281"/>
          <c:order val="281"/>
          <c:tx>
            <c:strRef>
              <c:f>'2022_Data'!$A$282</c:f>
            </c:strRef>
          </c:tx>
          <c:dLbls>
            <c:dLblPos val="ctr"/>
            <c:showLegendKey val="0"/>
            <c:showVal val="0"/>
            <c:showCatName val="0"/>
            <c:showSerName val="1"/>
            <c:showPercent val="0"/>
            <c:showBubbleSize val="0"/>
          </c:dLbls>
          <c:xVal>
            <c:strRef>
              <c:f>'2022_Data'!$F$282</c:f>
            </c:strRef>
          </c:xVal>
          <c:yVal>
            <c:numRef>
              <c:f>'2022_Data'!$E$282</c:f>
              <c:numCache/>
            </c:numRef>
          </c:yVal>
          <c:bubbleSize>
            <c:numRef>
              <c:f>'2022_Data'!$G$282</c:f>
            </c:numRef>
          </c:bubbleSize>
        </c:ser>
        <c:ser>
          <c:idx val="282"/>
          <c:order val="282"/>
          <c:tx>
            <c:strRef>
              <c:f>'2022_Data'!$A$283</c:f>
            </c:strRef>
          </c:tx>
          <c:dLbls>
            <c:dLblPos val="ctr"/>
            <c:showLegendKey val="0"/>
            <c:showVal val="0"/>
            <c:showCatName val="0"/>
            <c:showSerName val="1"/>
            <c:showPercent val="0"/>
            <c:showBubbleSize val="0"/>
          </c:dLbls>
          <c:xVal>
            <c:strRef>
              <c:f>'2022_Data'!$F$283</c:f>
            </c:strRef>
          </c:xVal>
          <c:yVal>
            <c:numRef>
              <c:f>'2022_Data'!$E$283</c:f>
              <c:numCache/>
            </c:numRef>
          </c:yVal>
          <c:bubbleSize>
            <c:numRef>
              <c:f>'2022_Data'!$G$283</c:f>
            </c:numRef>
          </c:bubbleSize>
        </c:ser>
        <c:ser>
          <c:idx val="283"/>
          <c:order val="283"/>
          <c:tx>
            <c:strRef>
              <c:f>'2022_Data'!$A$284</c:f>
            </c:strRef>
          </c:tx>
          <c:dLbls>
            <c:dLblPos val="ctr"/>
            <c:showLegendKey val="0"/>
            <c:showVal val="0"/>
            <c:showCatName val="0"/>
            <c:showSerName val="1"/>
            <c:showPercent val="0"/>
            <c:showBubbleSize val="0"/>
          </c:dLbls>
          <c:xVal>
            <c:strRef>
              <c:f>'2022_Data'!$F$284</c:f>
            </c:strRef>
          </c:xVal>
          <c:yVal>
            <c:numRef>
              <c:f>'2022_Data'!$E$284</c:f>
              <c:numCache/>
            </c:numRef>
          </c:yVal>
          <c:bubbleSize>
            <c:numRef>
              <c:f>'2022_Data'!$G$284</c:f>
            </c:numRef>
          </c:bubbleSize>
        </c:ser>
        <c:ser>
          <c:idx val="284"/>
          <c:order val="284"/>
          <c:tx>
            <c:strRef>
              <c:f>'2022_Data'!$A$285</c:f>
            </c:strRef>
          </c:tx>
          <c:dLbls>
            <c:dLblPos val="ctr"/>
            <c:showLegendKey val="0"/>
            <c:showVal val="0"/>
            <c:showCatName val="0"/>
            <c:showSerName val="1"/>
            <c:showPercent val="0"/>
            <c:showBubbleSize val="0"/>
          </c:dLbls>
          <c:xVal>
            <c:strRef>
              <c:f>'2022_Data'!$F$285</c:f>
            </c:strRef>
          </c:xVal>
          <c:yVal>
            <c:numRef>
              <c:f>'2022_Data'!$E$285</c:f>
              <c:numCache/>
            </c:numRef>
          </c:yVal>
          <c:bubbleSize>
            <c:numRef>
              <c:f>'2022_Data'!$G$285</c:f>
            </c:numRef>
          </c:bubbleSize>
        </c:ser>
        <c:ser>
          <c:idx val="285"/>
          <c:order val="285"/>
          <c:tx>
            <c:strRef>
              <c:f>'2022_Data'!$A$286</c:f>
            </c:strRef>
          </c:tx>
          <c:dLbls>
            <c:dLblPos val="ctr"/>
            <c:showLegendKey val="0"/>
            <c:showVal val="0"/>
            <c:showCatName val="0"/>
            <c:showSerName val="1"/>
            <c:showPercent val="0"/>
            <c:showBubbleSize val="0"/>
          </c:dLbls>
          <c:xVal>
            <c:strRef>
              <c:f>'2022_Data'!$F$286</c:f>
            </c:strRef>
          </c:xVal>
          <c:yVal>
            <c:numRef>
              <c:f>'2022_Data'!$E$286</c:f>
              <c:numCache/>
            </c:numRef>
          </c:yVal>
          <c:bubbleSize>
            <c:numRef>
              <c:f>'2022_Data'!$G$286</c:f>
            </c:numRef>
          </c:bubbleSize>
        </c:ser>
        <c:ser>
          <c:idx val="286"/>
          <c:order val="286"/>
          <c:tx>
            <c:strRef>
              <c:f>'2022_Data'!$A$287</c:f>
            </c:strRef>
          </c:tx>
          <c:dLbls>
            <c:dLblPos val="ctr"/>
            <c:showLegendKey val="0"/>
            <c:showVal val="0"/>
            <c:showCatName val="0"/>
            <c:showSerName val="1"/>
            <c:showPercent val="0"/>
            <c:showBubbleSize val="0"/>
          </c:dLbls>
          <c:xVal>
            <c:strRef>
              <c:f>'2022_Data'!$F$287</c:f>
            </c:strRef>
          </c:xVal>
          <c:yVal>
            <c:numRef>
              <c:f>'2022_Data'!$E$287</c:f>
              <c:numCache/>
            </c:numRef>
          </c:yVal>
          <c:bubbleSize>
            <c:numRef>
              <c:f>'2022_Data'!$G$287</c:f>
            </c:numRef>
          </c:bubbleSize>
        </c:ser>
        <c:ser>
          <c:idx val="287"/>
          <c:order val="287"/>
          <c:tx>
            <c:strRef>
              <c:f>'2022_Data'!$A$288</c:f>
            </c:strRef>
          </c:tx>
          <c:dLbls>
            <c:dLblPos val="ctr"/>
            <c:showLegendKey val="0"/>
            <c:showVal val="0"/>
            <c:showCatName val="0"/>
            <c:showSerName val="1"/>
            <c:showPercent val="0"/>
            <c:showBubbleSize val="0"/>
          </c:dLbls>
          <c:xVal>
            <c:strRef>
              <c:f>'2022_Data'!$F$288</c:f>
            </c:strRef>
          </c:xVal>
          <c:yVal>
            <c:numRef>
              <c:f>'2022_Data'!$E$288</c:f>
              <c:numCache/>
            </c:numRef>
          </c:yVal>
          <c:bubbleSize>
            <c:numRef>
              <c:f>'2022_Data'!$G$288</c:f>
            </c:numRef>
          </c:bubbleSize>
        </c:ser>
        <c:ser>
          <c:idx val="288"/>
          <c:order val="288"/>
          <c:tx>
            <c:strRef>
              <c:f>'2022_Data'!$A$289</c:f>
            </c:strRef>
          </c:tx>
          <c:dLbls>
            <c:dLblPos val="ctr"/>
            <c:showLegendKey val="0"/>
            <c:showVal val="0"/>
            <c:showCatName val="0"/>
            <c:showSerName val="1"/>
            <c:showPercent val="0"/>
            <c:showBubbleSize val="0"/>
          </c:dLbls>
          <c:xVal>
            <c:strRef>
              <c:f>'2022_Data'!$F$289</c:f>
            </c:strRef>
          </c:xVal>
          <c:yVal>
            <c:numRef>
              <c:f>'2022_Data'!$E$289</c:f>
              <c:numCache/>
            </c:numRef>
          </c:yVal>
          <c:bubbleSize>
            <c:numRef>
              <c:f>'2022_Data'!$G$289</c:f>
            </c:numRef>
          </c:bubbleSize>
        </c:ser>
        <c:ser>
          <c:idx val="289"/>
          <c:order val="289"/>
          <c:tx>
            <c:strRef>
              <c:f>'2022_Data'!$A$290</c:f>
            </c:strRef>
          </c:tx>
          <c:dLbls>
            <c:dLblPos val="ctr"/>
            <c:showLegendKey val="0"/>
            <c:showVal val="0"/>
            <c:showCatName val="0"/>
            <c:showSerName val="1"/>
            <c:showPercent val="0"/>
            <c:showBubbleSize val="0"/>
          </c:dLbls>
          <c:xVal>
            <c:strRef>
              <c:f>'2022_Data'!$F$290</c:f>
            </c:strRef>
          </c:xVal>
          <c:yVal>
            <c:numRef>
              <c:f>'2022_Data'!$E$290</c:f>
              <c:numCache/>
            </c:numRef>
          </c:yVal>
          <c:bubbleSize>
            <c:numRef>
              <c:f>'2022_Data'!$G$290</c:f>
            </c:numRef>
          </c:bubbleSize>
        </c:ser>
        <c:ser>
          <c:idx val="290"/>
          <c:order val="290"/>
          <c:tx>
            <c:strRef>
              <c:f>'2022_Data'!$A$291</c:f>
            </c:strRef>
          </c:tx>
          <c:dLbls>
            <c:dLblPos val="ctr"/>
            <c:showLegendKey val="0"/>
            <c:showVal val="0"/>
            <c:showCatName val="0"/>
            <c:showSerName val="1"/>
            <c:showPercent val="0"/>
            <c:showBubbleSize val="0"/>
          </c:dLbls>
          <c:xVal>
            <c:strRef>
              <c:f>'2022_Data'!$F$291</c:f>
            </c:strRef>
          </c:xVal>
          <c:yVal>
            <c:numRef>
              <c:f>'2022_Data'!$E$291</c:f>
              <c:numCache/>
            </c:numRef>
          </c:yVal>
          <c:bubbleSize>
            <c:numRef>
              <c:f>'2022_Data'!$G$291</c:f>
            </c:numRef>
          </c:bubbleSize>
        </c:ser>
        <c:ser>
          <c:idx val="291"/>
          <c:order val="291"/>
          <c:tx>
            <c:strRef>
              <c:f>'2022_Data'!$A$292</c:f>
            </c:strRef>
          </c:tx>
          <c:dLbls>
            <c:dLblPos val="ctr"/>
            <c:showLegendKey val="0"/>
            <c:showVal val="0"/>
            <c:showCatName val="0"/>
            <c:showSerName val="1"/>
            <c:showPercent val="0"/>
            <c:showBubbleSize val="0"/>
          </c:dLbls>
          <c:xVal>
            <c:strRef>
              <c:f>'2022_Data'!$F$292</c:f>
            </c:strRef>
          </c:xVal>
          <c:yVal>
            <c:numRef>
              <c:f>'2022_Data'!$E$292</c:f>
              <c:numCache/>
            </c:numRef>
          </c:yVal>
          <c:bubbleSize>
            <c:numRef>
              <c:f>'2022_Data'!$G$292</c:f>
            </c:numRef>
          </c:bubbleSize>
        </c:ser>
        <c:ser>
          <c:idx val="292"/>
          <c:order val="292"/>
          <c:tx>
            <c:strRef>
              <c:f>'2022_Data'!$A$293</c:f>
            </c:strRef>
          </c:tx>
          <c:dLbls>
            <c:dLblPos val="ctr"/>
            <c:showLegendKey val="0"/>
            <c:showVal val="0"/>
            <c:showCatName val="0"/>
            <c:showSerName val="1"/>
            <c:showPercent val="0"/>
            <c:showBubbleSize val="0"/>
          </c:dLbls>
          <c:xVal>
            <c:strRef>
              <c:f>'2022_Data'!$F$293</c:f>
            </c:strRef>
          </c:xVal>
          <c:yVal>
            <c:numRef>
              <c:f>'2022_Data'!$E$293</c:f>
              <c:numCache/>
            </c:numRef>
          </c:yVal>
          <c:bubbleSize>
            <c:numRef>
              <c:f>'2022_Data'!$G$293</c:f>
            </c:numRef>
          </c:bubbleSize>
        </c:ser>
        <c:ser>
          <c:idx val="293"/>
          <c:order val="293"/>
          <c:tx>
            <c:strRef>
              <c:f>'2022_Data'!$A$294</c:f>
            </c:strRef>
          </c:tx>
          <c:dLbls>
            <c:dLblPos val="ctr"/>
            <c:showLegendKey val="0"/>
            <c:showVal val="0"/>
            <c:showCatName val="0"/>
            <c:showSerName val="1"/>
            <c:showPercent val="0"/>
            <c:showBubbleSize val="0"/>
          </c:dLbls>
          <c:xVal>
            <c:strRef>
              <c:f>'2022_Data'!$F$294</c:f>
            </c:strRef>
          </c:xVal>
          <c:yVal>
            <c:numRef>
              <c:f>'2022_Data'!$E$294</c:f>
              <c:numCache/>
            </c:numRef>
          </c:yVal>
          <c:bubbleSize>
            <c:numRef>
              <c:f>'2022_Data'!$G$294</c:f>
            </c:numRef>
          </c:bubbleSize>
        </c:ser>
        <c:ser>
          <c:idx val="294"/>
          <c:order val="294"/>
          <c:tx>
            <c:strRef>
              <c:f>'2022_Data'!$A$295</c:f>
            </c:strRef>
          </c:tx>
          <c:dLbls>
            <c:dLblPos val="ctr"/>
            <c:showLegendKey val="0"/>
            <c:showVal val="0"/>
            <c:showCatName val="0"/>
            <c:showSerName val="1"/>
            <c:showPercent val="0"/>
            <c:showBubbleSize val="0"/>
          </c:dLbls>
          <c:xVal>
            <c:strRef>
              <c:f>'2022_Data'!$F$295</c:f>
            </c:strRef>
          </c:xVal>
          <c:yVal>
            <c:numRef>
              <c:f>'2022_Data'!$E$295</c:f>
              <c:numCache/>
            </c:numRef>
          </c:yVal>
          <c:bubbleSize>
            <c:numRef>
              <c:f>'2022_Data'!$G$295</c:f>
            </c:numRef>
          </c:bubbleSize>
        </c:ser>
        <c:ser>
          <c:idx val="295"/>
          <c:order val="295"/>
          <c:tx>
            <c:strRef>
              <c:f>'2022_Data'!$A$296</c:f>
            </c:strRef>
          </c:tx>
          <c:dLbls>
            <c:dLblPos val="ctr"/>
            <c:showLegendKey val="0"/>
            <c:showVal val="0"/>
            <c:showCatName val="0"/>
            <c:showSerName val="1"/>
            <c:showPercent val="0"/>
            <c:showBubbleSize val="0"/>
          </c:dLbls>
          <c:xVal>
            <c:strRef>
              <c:f>'2022_Data'!$F$296</c:f>
            </c:strRef>
          </c:xVal>
          <c:yVal>
            <c:numRef>
              <c:f>'2022_Data'!$E$296</c:f>
              <c:numCache/>
            </c:numRef>
          </c:yVal>
          <c:bubbleSize>
            <c:numRef>
              <c:f>'2022_Data'!$G$296</c:f>
            </c:numRef>
          </c:bubbleSize>
        </c:ser>
        <c:ser>
          <c:idx val="296"/>
          <c:order val="296"/>
          <c:tx>
            <c:strRef>
              <c:f>'2022_Data'!$A$297</c:f>
            </c:strRef>
          </c:tx>
          <c:dLbls>
            <c:dLblPos val="ctr"/>
            <c:showLegendKey val="0"/>
            <c:showVal val="0"/>
            <c:showCatName val="0"/>
            <c:showSerName val="1"/>
            <c:showPercent val="0"/>
            <c:showBubbleSize val="0"/>
          </c:dLbls>
          <c:xVal>
            <c:strRef>
              <c:f>'2022_Data'!$F$297</c:f>
            </c:strRef>
          </c:xVal>
          <c:yVal>
            <c:numRef>
              <c:f>'2022_Data'!$E$297</c:f>
              <c:numCache/>
            </c:numRef>
          </c:yVal>
          <c:bubbleSize>
            <c:numRef>
              <c:f>'2022_Data'!$G$297</c:f>
            </c:numRef>
          </c:bubbleSize>
        </c:ser>
        <c:ser>
          <c:idx val="297"/>
          <c:order val="297"/>
          <c:tx>
            <c:strRef>
              <c:f>'2022_Data'!$A$298</c:f>
            </c:strRef>
          </c:tx>
          <c:dLbls>
            <c:dLblPos val="ctr"/>
            <c:showLegendKey val="0"/>
            <c:showVal val="0"/>
            <c:showCatName val="0"/>
            <c:showSerName val="1"/>
            <c:showPercent val="0"/>
            <c:showBubbleSize val="0"/>
          </c:dLbls>
          <c:xVal>
            <c:strRef>
              <c:f>'2022_Data'!$F$298</c:f>
            </c:strRef>
          </c:xVal>
          <c:yVal>
            <c:numRef>
              <c:f>'2022_Data'!$E$298</c:f>
              <c:numCache/>
            </c:numRef>
          </c:yVal>
          <c:bubbleSize>
            <c:numRef>
              <c:f>'2022_Data'!$G$298</c:f>
            </c:numRef>
          </c:bubbleSize>
        </c:ser>
        <c:ser>
          <c:idx val="298"/>
          <c:order val="298"/>
          <c:tx>
            <c:strRef>
              <c:f>'2022_Data'!$A$299</c:f>
            </c:strRef>
          </c:tx>
          <c:dLbls>
            <c:dLblPos val="ctr"/>
            <c:showLegendKey val="0"/>
            <c:showVal val="0"/>
            <c:showCatName val="0"/>
            <c:showSerName val="1"/>
            <c:showPercent val="0"/>
            <c:showBubbleSize val="0"/>
          </c:dLbls>
          <c:xVal>
            <c:strRef>
              <c:f>'2022_Data'!$F$299</c:f>
            </c:strRef>
          </c:xVal>
          <c:yVal>
            <c:numRef>
              <c:f>'2022_Data'!$E$299</c:f>
              <c:numCache/>
            </c:numRef>
          </c:yVal>
          <c:bubbleSize>
            <c:numRef>
              <c:f>'2022_Data'!$G$299</c:f>
            </c:numRef>
          </c:bubbleSize>
        </c:ser>
        <c:ser>
          <c:idx val="299"/>
          <c:order val="299"/>
          <c:tx>
            <c:strRef>
              <c:f>'2022_Data'!$A$300</c:f>
            </c:strRef>
          </c:tx>
          <c:dLbls>
            <c:dLblPos val="ctr"/>
            <c:showLegendKey val="0"/>
            <c:showVal val="0"/>
            <c:showCatName val="0"/>
            <c:showSerName val="1"/>
            <c:showPercent val="0"/>
            <c:showBubbleSize val="0"/>
          </c:dLbls>
          <c:xVal>
            <c:strRef>
              <c:f>'2022_Data'!$F$300</c:f>
            </c:strRef>
          </c:xVal>
          <c:yVal>
            <c:numRef>
              <c:f>'2022_Data'!$E$300</c:f>
              <c:numCache/>
            </c:numRef>
          </c:yVal>
          <c:bubbleSize>
            <c:numRef>
              <c:f>'2022_Data'!$G$300</c:f>
            </c:numRef>
          </c:bubbleSize>
        </c:ser>
        <c:ser>
          <c:idx val="300"/>
          <c:order val="300"/>
          <c:tx>
            <c:strRef>
              <c:f>'2022_Data'!$A$301</c:f>
            </c:strRef>
          </c:tx>
          <c:dLbls>
            <c:dLblPos val="ctr"/>
            <c:showLegendKey val="0"/>
            <c:showVal val="0"/>
            <c:showCatName val="0"/>
            <c:showSerName val="1"/>
            <c:showPercent val="0"/>
            <c:showBubbleSize val="0"/>
          </c:dLbls>
          <c:xVal>
            <c:strRef>
              <c:f>'2022_Data'!$F$301</c:f>
            </c:strRef>
          </c:xVal>
          <c:yVal>
            <c:numRef>
              <c:f>'2022_Data'!$E$301</c:f>
              <c:numCache/>
            </c:numRef>
          </c:yVal>
          <c:bubbleSize>
            <c:numRef>
              <c:f>'2022_Data'!$G$301</c:f>
            </c:numRef>
          </c:bubbleSize>
        </c:ser>
        <c:ser>
          <c:idx val="301"/>
          <c:order val="301"/>
          <c:tx>
            <c:strRef>
              <c:f>'2022_Data'!$A$302</c:f>
            </c:strRef>
          </c:tx>
          <c:dLbls>
            <c:dLblPos val="ctr"/>
            <c:showLegendKey val="0"/>
            <c:showVal val="0"/>
            <c:showCatName val="0"/>
            <c:showSerName val="1"/>
            <c:showPercent val="0"/>
            <c:showBubbleSize val="0"/>
          </c:dLbls>
          <c:xVal>
            <c:strRef>
              <c:f>'2022_Data'!$F$302</c:f>
            </c:strRef>
          </c:xVal>
          <c:yVal>
            <c:numRef>
              <c:f>'2022_Data'!$E$302</c:f>
              <c:numCache/>
            </c:numRef>
          </c:yVal>
          <c:bubbleSize>
            <c:numRef>
              <c:f>'2022_Data'!$G$302</c:f>
            </c:numRef>
          </c:bubbleSize>
        </c:ser>
        <c:ser>
          <c:idx val="302"/>
          <c:order val="302"/>
          <c:tx>
            <c:strRef>
              <c:f>'2022_Data'!$A$303</c:f>
            </c:strRef>
          </c:tx>
          <c:dLbls>
            <c:dLblPos val="ctr"/>
            <c:showLegendKey val="0"/>
            <c:showVal val="0"/>
            <c:showCatName val="0"/>
            <c:showSerName val="1"/>
            <c:showPercent val="0"/>
            <c:showBubbleSize val="0"/>
          </c:dLbls>
          <c:xVal>
            <c:strRef>
              <c:f>'2022_Data'!$F$303</c:f>
            </c:strRef>
          </c:xVal>
          <c:yVal>
            <c:numRef>
              <c:f>'2022_Data'!$E$303</c:f>
              <c:numCache/>
            </c:numRef>
          </c:yVal>
          <c:bubbleSize>
            <c:numRef>
              <c:f>'2022_Data'!$G$303</c:f>
            </c:numRef>
          </c:bubbleSize>
        </c:ser>
        <c:ser>
          <c:idx val="303"/>
          <c:order val="303"/>
          <c:tx>
            <c:strRef>
              <c:f>'2022_Data'!$A$304</c:f>
            </c:strRef>
          </c:tx>
          <c:dLbls>
            <c:dLblPos val="ctr"/>
            <c:showLegendKey val="0"/>
            <c:showVal val="0"/>
            <c:showCatName val="0"/>
            <c:showSerName val="1"/>
            <c:showPercent val="0"/>
            <c:showBubbleSize val="0"/>
          </c:dLbls>
          <c:xVal>
            <c:strRef>
              <c:f>'2022_Data'!$F$304</c:f>
            </c:strRef>
          </c:xVal>
          <c:yVal>
            <c:numRef>
              <c:f>'2022_Data'!$E$304</c:f>
              <c:numCache/>
            </c:numRef>
          </c:yVal>
          <c:bubbleSize>
            <c:numRef>
              <c:f>'2022_Data'!$G$304</c:f>
            </c:numRef>
          </c:bubbleSize>
        </c:ser>
        <c:ser>
          <c:idx val="304"/>
          <c:order val="304"/>
          <c:tx>
            <c:strRef>
              <c:f>'2022_Data'!$A$305</c:f>
            </c:strRef>
          </c:tx>
          <c:dLbls>
            <c:dLblPos val="ctr"/>
            <c:showLegendKey val="0"/>
            <c:showVal val="0"/>
            <c:showCatName val="0"/>
            <c:showSerName val="1"/>
            <c:showPercent val="0"/>
            <c:showBubbleSize val="0"/>
          </c:dLbls>
          <c:xVal>
            <c:strRef>
              <c:f>'2022_Data'!$F$305</c:f>
            </c:strRef>
          </c:xVal>
          <c:yVal>
            <c:numRef>
              <c:f>'2022_Data'!$E$305</c:f>
              <c:numCache/>
            </c:numRef>
          </c:yVal>
          <c:bubbleSize>
            <c:numRef>
              <c:f>'2022_Data'!$G$305</c:f>
            </c:numRef>
          </c:bubbleSize>
        </c:ser>
        <c:ser>
          <c:idx val="305"/>
          <c:order val="305"/>
          <c:tx>
            <c:strRef>
              <c:f>'2022_Data'!$A$306</c:f>
            </c:strRef>
          </c:tx>
          <c:dLbls>
            <c:dLblPos val="ctr"/>
            <c:showLegendKey val="0"/>
            <c:showVal val="0"/>
            <c:showCatName val="0"/>
            <c:showSerName val="1"/>
            <c:showPercent val="0"/>
            <c:showBubbleSize val="0"/>
          </c:dLbls>
          <c:xVal>
            <c:strRef>
              <c:f>'2022_Data'!$F$306</c:f>
            </c:strRef>
          </c:xVal>
          <c:yVal>
            <c:numRef>
              <c:f>'2022_Data'!$E$306</c:f>
              <c:numCache/>
            </c:numRef>
          </c:yVal>
          <c:bubbleSize>
            <c:numRef>
              <c:f>'2022_Data'!$G$306</c:f>
            </c:numRef>
          </c:bubbleSize>
        </c:ser>
        <c:ser>
          <c:idx val="306"/>
          <c:order val="306"/>
          <c:tx>
            <c:strRef>
              <c:f>'2022_Data'!$A$307</c:f>
            </c:strRef>
          </c:tx>
          <c:dLbls>
            <c:dLblPos val="ctr"/>
            <c:showLegendKey val="0"/>
            <c:showVal val="0"/>
            <c:showCatName val="0"/>
            <c:showSerName val="1"/>
            <c:showPercent val="0"/>
            <c:showBubbleSize val="0"/>
          </c:dLbls>
          <c:xVal>
            <c:strRef>
              <c:f>'2022_Data'!$F$307</c:f>
            </c:strRef>
          </c:xVal>
          <c:yVal>
            <c:numRef>
              <c:f>'2022_Data'!$E$307</c:f>
              <c:numCache/>
            </c:numRef>
          </c:yVal>
          <c:bubbleSize>
            <c:numRef>
              <c:f>'2022_Data'!$G$307</c:f>
            </c:numRef>
          </c:bubbleSize>
        </c:ser>
        <c:ser>
          <c:idx val="307"/>
          <c:order val="307"/>
          <c:tx>
            <c:strRef>
              <c:f>'2022_Data'!$A$308</c:f>
            </c:strRef>
          </c:tx>
          <c:dLbls>
            <c:dLblPos val="ctr"/>
            <c:showLegendKey val="0"/>
            <c:showVal val="0"/>
            <c:showCatName val="0"/>
            <c:showSerName val="1"/>
            <c:showPercent val="0"/>
            <c:showBubbleSize val="0"/>
          </c:dLbls>
          <c:xVal>
            <c:strRef>
              <c:f>'2022_Data'!$F$308</c:f>
            </c:strRef>
          </c:xVal>
          <c:yVal>
            <c:numRef>
              <c:f>'2022_Data'!$E$308</c:f>
              <c:numCache/>
            </c:numRef>
          </c:yVal>
          <c:bubbleSize>
            <c:numRef>
              <c:f>'2022_Data'!$G$308</c:f>
            </c:numRef>
          </c:bubbleSize>
        </c:ser>
        <c:ser>
          <c:idx val="308"/>
          <c:order val="308"/>
          <c:tx>
            <c:strRef>
              <c:f>'2022_Data'!$A$309</c:f>
            </c:strRef>
          </c:tx>
          <c:dLbls>
            <c:dLblPos val="ctr"/>
            <c:showLegendKey val="0"/>
            <c:showVal val="0"/>
            <c:showCatName val="0"/>
            <c:showSerName val="1"/>
            <c:showPercent val="0"/>
            <c:showBubbleSize val="0"/>
          </c:dLbls>
          <c:xVal>
            <c:strRef>
              <c:f>'2022_Data'!$F$309</c:f>
            </c:strRef>
          </c:xVal>
          <c:yVal>
            <c:numRef>
              <c:f>'2022_Data'!$E$309</c:f>
              <c:numCache/>
            </c:numRef>
          </c:yVal>
          <c:bubbleSize>
            <c:numRef>
              <c:f>'2022_Data'!$G$309</c:f>
            </c:numRef>
          </c:bubbleSize>
        </c:ser>
        <c:ser>
          <c:idx val="309"/>
          <c:order val="309"/>
          <c:tx>
            <c:strRef>
              <c:f>'2022_Data'!$A$310</c:f>
            </c:strRef>
          </c:tx>
          <c:dLbls>
            <c:dLblPos val="ctr"/>
            <c:showLegendKey val="0"/>
            <c:showVal val="0"/>
            <c:showCatName val="0"/>
            <c:showSerName val="1"/>
            <c:showPercent val="0"/>
            <c:showBubbleSize val="0"/>
          </c:dLbls>
          <c:xVal>
            <c:strRef>
              <c:f>'2022_Data'!$F$310</c:f>
            </c:strRef>
          </c:xVal>
          <c:yVal>
            <c:numRef>
              <c:f>'2022_Data'!$E$310</c:f>
              <c:numCache/>
            </c:numRef>
          </c:yVal>
          <c:bubbleSize>
            <c:numRef>
              <c:f>'2022_Data'!$G$310</c:f>
            </c:numRef>
          </c:bubbleSize>
        </c:ser>
        <c:ser>
          <c:idx val="310"/>
          <c:order val="310"/>
          <c:tx>
            <c:strRef>
              <c:f>'2022_Data'!$A$311</c:f>
            </c:strRef>
          </c:tx>
          <c:dLbls>
            <c:dLblPos val="ctr"/>
            <c:showLegendKey val="0"/>
            <c:showVal val="0"/>
            <c:showCatName val="0"/>
            <c:showSerName val="1"/>
            <c:showPercent val="0"/>
            <c:showBubbleSize val="0"/>
          </c:dLbls>
          <c:xVal>
            <c:strRef>
              <c:f>'2022_Data'!$F$311</c:f>
            </c:strRef>
          </c:xVal>
          <c:yVal>
            <c:numRef>
              <c:f>'2022_Data'!$E$311</c:f>
              <c:numCache/>
            </c:numRef>
          </c:yVal>
          <c:bubbleSize>
            <c:numRef>
              <c:f>'2022_Data'!$G$311</c:f>
            </c:numRef>
          </c:bubbleSize>
        </c:ser>
        <c:ser>
          <c:idx val="311"/>
          <c:order val="311"/>
          <c:tx>
            <c:strRef>
              <c:f>'2022_Data'!$A$312</c:f>
            </c:strRef>
          </c:tx>
          <c:dLbls>
            <c:dLblPos val="ctr"/>
            <c:showLegendKey val="0"/>
            <c:showVal val="0"/>
            <c:showCatName val="0"/>
            <c:showSerName val="1"/>
            <c:showPercent val="0"/>
            <c:showBubbleSize val="0"/>
          </c:dLbls>
          <c:xVal>
            <c:strRef>
              <c:f>'2022_Data'!$F$312</c:f>
            </c:strRef>
          </c:xVal>
          <c:yVal>
            <c:numRef>
              <c:f>'2022_Data'!$E$312</c:f>
              <c:numCache/>
            </c:numRef>
          </c:yVal>
          <c:bubbleSize>
            <c:numRef>
              <c:f>'2022_Data'!$G$312</c:f>
            </c:numRef>
          </c:bubbleSize>
        </c:ser>
        <c:ser>
          <c:idx val="312"/>
          <c:order val="312"/>
          <c:tx>
            <c:strRef>
              <c:f>'2022_Data'!$A$313</c:f>
            </c:strRef>
          </c:tx>
          <c:dLbls>
            <c:dLblPos val="ctr"/>
            <c:showLegendKey val="0"/>
            <c:showVal val="0"/>
            <c:showCatName val="0"/>
            <c:showSerName val="1"/>
            <c:showPercent val="0"/>
            <c:showBubbleSize val="0"/>
          </c:dLbls>
          <c:xVal>
            <c:strRef>
              <c:f>'2022_Data'!$F$313</c:f>
            </c:strRef>
          </c:xVal>
          <c:yVal>
            <c:numRef>
              <c:f>'2022_Data'!$E$313</c:f>
              <c:numCache/>
            </c:numRef>
          </c:yVal>
          <c:bubbleSize>
            <c:numRef>
              <c:f>'2022_Data'!$G$313</c:f>
            </c:numRef>
          </c:bubbleSize>
        </c:ser>
        <c:ser>
          <c:idx val="313"/>
          <c:order val="313"/>
          <c:tx>
            <c:strRef>
              <c:f>'2022_Data'!$A$314</c:f>
            </c:strRef>
          </c:tx>
          <c:dLbls>
            <c:dLblPos val="ctr"/>
            <c:showLegendKey val="0"/>
            <c:showVal val="0"/>
            <c:showCatName val="0"/>
            <c:showSerName val="1"/>
            <c:showPercent val="0"/>
            <c:showBubbleSize val="0"/>
          </c:dLbls>
          <c:xVal>
            <c:strRef>
              <c:f>'2022_Data'!$F$314</c:f>
            </c:strRef>
          </c:xVal>
          <c:yVal>
            <c:numRef>
              <c:f>'2022_Data'!$E$314</c:f>
              <c:numCache/>
            </c:numRef>
          </c:yVal>
          <c:bubbleSize>
            <c:numRef>
              <c:f>'2022_Data'!$G$314</c:f>
            </c:numRef>
          </c:bubbleSize>
        </c:ser>
        <c:ser>
          <c:idx val="314"/>
          <c:order val="314"/>
          <c:tx>
            <c:strRef>
              <c:f>'2022_Data'!$A$315</c:f>
            </c:strRef>
          </c:tx>
          <c:dLbls>
            <c:dLblPos val="ctr"/>
            <c:showLegendKey val="0"/>
            <c:showVal val="0"/>
            <c:showCatName val="0"/>
            <c:showSerName val="1"/>
            <c:showPercent val="0"/>
            <c:showBubbleSize val="0"/>
          </c:dLbls>
          <c:xVal>
            <c:strRef>
              <c:f>'2022_Data'!$F$315</c:f>
            </c:strRef>
          </c:xVal>
          <c:yVal>
            <c:numRef>
              <c:f>'2022_Data'!$E$315</c:f>
              <c:numCache/>
            </c:numRef>
          </c:yVal>
          <c:bubbleSize>
            <c:numRef>
              <c:f>'2022_Data'!$G$315</c:f>
            </c:numRef>
          </c:bubbleSize>
        </c:ser>
        <c:ser>
          <c:idx val="315"/>
          <c:order val="315"/>
          <c:tx>
            <c:strRef>
              <c:f>'2022_Data'!$A$316</c:f>
            </c:strRef>
          </c:tx>
          <c:dLbls>
            <c:dLblPos val="ctr"/>
            <c:showLegendKey val="0"/>
            <c:showVal val="0"/>
            <c:showCatName val="0"/>
            <c:showSerName val="1"/>
            <c:showPercent val="0"/>
            <c:showBubbleSize val="0"/>
          </c:dLbls>
          <c:xVal>
            <c:strRef>
              <c:f>'2022_Data'!$F$316</c:f>
            </c:strRef>
          </c:xVal>
          <c:yVal>
            <c:numRef>
              <c:f>'2022_Data'!$E$316</c:f>
              <c:numCache/>
            </c:numRef>
          </c:yVal>
          <c:bubbleSize>
            <c:numRef>
              <c:f>'2022_Data'!$G$316</c:f>
            </c:numRef>
          </c:bubbleSize>
        </c:ser>
        <c:ser>
          <c:idx val="316"/>
          <c:order val="316"/>
          <c:tx>
            <c:strRef>
              <c:f>'2022_Data'!$A$317</c:f>
            </c:strRef>
          </c:tx>
          <c:dLbls>
            <c:dLblPos val="ctr"/>
            <c:showLegendKey val="0"/>
            <c:showVal val="0"/>
            <c:showCatName val="0"/>
            <c:showSerName val="1"/>
            <c:showPercent val="0"/>
            <c:showBubbleSize val="0"/>
          </c:dLbls>
          <c:xVal>
            <c:strRef>
              <c:f>'2022_Data'!$F$317</c:f>
            </c:strRef>
          </c:xVal>
          <c:yVal>
            <c:numRef>
              <c:f>'2022_Data'!$E$317</c:f>
              <c:numCache/>
            </c:numRef>
          </c:yVal>
          <c:bubbleSize>
            <c:numRef>
              <c:f>'2022_Data'!$G$317</c:f>
            </c:numRef>
          </c:bubbleSize>
        </c:ser>
        <c:ser>
          <c:idx val="317"/>
          <c:order val="317"/>
          <c:tx>
            <c:strRef>
              <c:f>'2022_Data'!$A$318</c:f>
            </c:strRef>
          </c:tx>
          <c:dLbls>
            <c:dLblPos val="ctr"/>
            <c:showLegendKey val="0"/>
            <c:showVal val="0"/>
            <c:showCatName val="0"/>
            <c:showSerName val="1"/>
            <c:showPercent val="0"/>
            <c:showBubbleSize val="0"/>
          </c:dLbls>
          <c:xVal>
            <c:strRef>
              <c:f>'2022_Data'!$F$318</c:f>
            </c:strRef>
          </c:xVal>
          <c:yVal>
            <c:numRef>
              <c:f>'2022_Data'!$E$318</c:f>
              <c:numCache/>
            </c:numRef>
          </c:yVal>
          <c:bubbleSize>
            <c:numRef>
              <c:f>'2022_Data'!$G$318</c:f>
            </c:numRef>
          </c:bubbleSize>
        </c:ser>
        <c:ser>
          <c:idx val="318"/>
          <c:order val="318"/>
          <c:tx>
            <c:strRef>
              <c:f>'2022_Data'!$A$319</c:f>
            </c:strRef>
          </c:tx>
          <c:dLbls>
            <c:dLblPos val="ctr"/>
            <c:showLegendKey val="0"/>
            <c:showVal val="0"/>
            <c:showCatName val="0"/>
            <c:showSerName val="1"/>
            <c:showPercent val="0"/>
            <c:showBubbleSize val="0"/>
          </c:dLbls>
          <c:xVal>
            <c:strRef>
              <c:f>'2022_Data'!$F$319</c:f>
            </c:strRef>
          </c:xVal>
          <c:yVal>
            <c:numRef>
              <c:f>'2022_Data'!$E$319</c:f>
              <c:numCache/>
            </c:numRef>
          </c:yVal>
          <c:bubbleSize>
            <c:numRef>
              <c:f>'2022_Data'!$G$319</c:f>
            </c:numRef>
          </c:bubbleSize>
        </c:ser>
        <c:ser>
          <c:idx val="319"/>
          <c:order val="319"/>
          <c:tx>
            <c:strRef>
              <c:f>'2022_Data'!$A$320</c:f>
            </c:strRef>
          </c:tx>
          <c:dLbls>
            <c:dLblPos val="ctr"/>
            <c:showLegendKey val="0"/>
            <c:showVal val="0"/>
            <c:showCatName val="0"/>
            <c:showSerName val="1"/>
            <c:showPercent val="0"/>
            <c:showBubbleSize val="0"/>
          </c:dLbls>
          <c:xVal>
            <c:strRef>
              <c:f>'2022_Data'!$F$320</c:f>
            </c:strRef>
          </c:xVal>
          <c:yVal>
            <c:numRef>
              <c:f>'2022_Data'!$E$320</c:f>
              <c:numCache/>
            </c:numRef>
          </c:yVal>
          <c:bubbleSize>
            <c:numRef>
              <c:f>'2022_Data'!$G$320</c:f>
            </c:numRef>
          </c:bubbleSize>
        </c:ser>
        <c:ser>
          <c:idx val="320"/>
          <c:order val="320"/>
          <c:tx>
            <c:strRef>
              <c:f>'2022_Data'!$A$321</c:f>
            </c:strRef>
          </c:tx>
          <c:dLbls>
            <c:dLblPos val="ctr"/>
            <c:showLegendKey val="0"/>
            <c:showVal val="0"/>
            <c:showCatName val="0"/>
            <c:showSerName val="1"/>
            <c:showPercent val="0"/>
            <c:showBubbleSize val="0"/>
          </c:dLbls>
          <c:xVal>
            <c:strRef>
              <c:f>'2022_Data'!$F$321</c:f>
            </c:strRef>
          </c:xVal>
          <c:yVal>
            <c:numRef>
              <c:f>'2022_Data'!$E$321</c:f>
              <c:numCache/>
            </c:numRef>
          </c:yVal>
          <c:bubbleSize>
            <c:numRef>
              <c:f>'2022_Data'!$G$321</c:f>
            </c:numRef>
          </c:bubbleSize>
        </c:ser>
        <c:ser>
          <c:idx val="321"/>
          <c:order val="321"/>
          <c:tx>
            <c:strRef>
              <c:f>'2022_Data'!$A$322</c:f>
            </c:strRef>
          </c:tx>
          <c:dLbls>
            <c:dLblPos val="ctr"/>
            <c:showLegendKey val="0"/>
            <c:showVal val="0"/>
            <c:showCatName val="0"/>
            <c:showSerName val="1"/>
            <c:showPercent val="0"/>
            <c:showBubbleSize val="0"/>
          </c:dLbls>
          <c:xVal>
            <c:strRef>
              <c:f>'2022_Data'!$F$322</c:f>
            </c:strRef>
          </c:xVal>
          <c:yVal>
            <c:numRef>
              <c:f>'2022_Data'!$E$322</c:f>
              <c:numCache/>
            </c:numRef>
          </c:yVal>
          <c:bubbleSize>
            <c:numRef>
              <c:f>'2022_Data'!$G$322</c:f>
            </c:numRef>
          </c:bubbleSize>
        </c:ser>
        <c:ser>
          <c:idx val="322"/>
          <c:order val="322"/>
          <c:tx>
            <c:strRef>
              <c:f>'2022_Data'!$A$323</c:f>
            </c:strRef>
          </c:tx>
          <c:dLbls>
            <c:dLblPos val="ctr"/>
            <c:showLegendKey val="0"/>
            <c:showVal val="0"/>
            <c:showCatName val="0"/>
            <c:showSerName val="1"/>
            <c:showPercent val="0"/>
            <c:showBubbleSize val="0"/>
          </c:dLbls>
          <c:xVal>
            <c:strRef>
              <c:f>'2022_Data'!$F$323</c:f>
            </c:strRef>
          </c:xVal>
          <c:yVal>
            <c:numRef>
              <c:f>'2022_Data'!$E$323</c:f>
              <c:numCache/>
            </c:numRef>
          </c:yVal>
          <c:bubbleSize>
            <c:numRef>
              <c:f>'2022_Data'!$G$323</c:f>
            </c:numRef>
          </c:bubbleSize>
        </c:ser>
        <c:ser>
          <c:idx val="323"/>
          <c:order val="323"/>
          <c:tx>
            <c:strRef>
              <c:f>'2022_Data'!$A$324</c:f>
            </c:strRef>
          </c:tx>
          <c:dLbls>
            <c:dLblPos val="ctr"/>
            <c:showLegendKey val="0"/>
            <c:showVal val="0"/>
            <c:showCatName val="0"/>
            <c:showSerName val="1"/>
            <c:showPercent val="0"/>
            <c:showBubbleSize val="0"/>
          </c:dLbls>
          <c:xVal>
            <c:strRef>
              <c:f>'2022_Data'!$F$324</c:f>
            </c:strRef>
          </c:xVal>
          <c:yVal>
            <c:numRef>
              <c:f>'2022_Data'!$E$324</c:f>
              <c:numCache/>
            </c:numRef>
          </c:yVal>
          <c:bubbleSize>
            <c:numRef>
              <c:f>'2022_Data'!$G$324</c:f>
            </c:numRef>
          </c:bubbleSize>
        </c:ser>
        <c:ser>
          <c:idx val="324"/>
          <c:order val="324"/>
          <c:tx>
            <c:strRef>
              <c:f>'2022_Data'!$A$325</c:f>
            </c:strRef>
          </c:tx>
          <c:dLbls>
            <c:dLblPos val="ctr"/>
            <c:showLegendKey val="0"/>
            <c:showVal val="0"/>
            <c:showCatName val="0"/>
            <c:showSerName val="1"/>
            <c:showPercent val="0"/>
            <c:showBubbleSize val="0"/>
          </c:dLbls>
          <c:xVal>
            <c:strRef>
              <c:f>'2022_Data'!$F$325</c:f>
            </c:strRef>
          </c:xVal>
          <c:yVal>
            <c:numRef>
              <c:f>'2022_Data'!$E$325</c:f>
              <c:numCache/>
            </c:numRef>
          </c:yVal>
          <c:bubbleSize>
            <c:numRef>
              <c:f>'2022_Data'!$G$325</c:f>
            </c:numRef>
          </c:bubbleSize>
        </c:ser>
        <c:ser>
          <c:idx val="325"/>
          <c:order val="325"/>
          <c:tx>
            <c:strRef>
              <c:f>'2022_Data'!$A$326</c:f>
            </c:strRef>
          </c:tx>
          <c:dLbls>
            <c:dLblPos val="ctr"/>
            <c:showLegendKey val="0"/>
            <c:showVal val="0"/>
            <c:showCatName val="0"/>
            <c:showSerName val="1"/>
            <c:showPercent val="0"/>
            <c:showBubbleSize val="0"/>
          </c:dLbls>
          <c:xVal>
            <c:strRef>
              <c:f>'2022_Data'!$F$326</c:f>
            </c:strRef>
          </c:xVal>
          <c:yVal>
            <c:numRef>
              <c:f>'2022_Data'!$E$326</c:f>
              <c:numCache/>
            </c:numRef>
          </c:yVal>
          <c:bubbleSize>
            <c:numRef>
              <c:f>'2022_Data'!$G$326</c:f>
            </c:numRef>
          </c:bubbleSize>
        </c:ser>
        <c:ser>
          <c:idx val="326"/>
          <c:order val="326"/>
          <c:tx>
            <c:strRef>
              <c:f>'2022_Data'!$A$327</c:f>
            </c:strRef>
          </c:tx>
          <c:dLbls>
            <c:dLblPos val="ctr"/>
            <c:showLegendKey val="0"/>
            <c:showVal val="0"/>
            <c:showCatName val="0"/>
            <c:showSerName val="1"/>
            <c:showPercent val="0"/>
            <c:showBubbleSize val="0"/>
          </c:dLbls>
          <c:xVal>
            <c:strRef>
              <c:f>'2022_Data'!$F$327</c:f>
            </c:strRef>
          </c:xVal>
          <c:yVal>
            <c:numRef>
              <c:f>'2022_Data'!$E$327</c:f>
              <c:numCache/>
            </c:numRef>
          </c:yVal>
          <c:bubbleSize>
            <c:numRef>
              <c:f>'2022_Data'!$G$327</c:f>
            </c:numRef>
          </c:bubbleSize>
        </c:ser>
        <c:ser>
          <c:idx val="327"/>
          <c:order val="327"/>
          <c:tx>
            <c:strRef>
              <c:f>'2022_Data'!$A$328</c:f>
            </c:strRef>
          </c:tx>
          <c:dLbls>
            <c:dLblPos val="ctr"/>
            <c:showLegendKey val="0"/>
            <c:showVal val="0"/>
            <c:showCatName val="0"/>
            <c:showSerName val="1"/>
            <c:showPercent val="0"/>
            <c:showBubbleSize val="0"/>
          </c:dLbls>
          <c:xVal>
            <c:strRef>
              <c:f>'2022_Data'!$F$328</c:f>
            </c:strRef>
          </c:xVal>
          <c:yVal>
            <c:numRef>
              <c:f>'2022_Data'!$E$328</c:f>
              <c:numCache/>
            </c:numRef>
          </c:yVal>
          <c:bubbleSize>
            <c:numRef>
              <c:f>'2022_Data'!$G$328</c:f>
            </c:numRef>
          </c:bubbleSize>
        </c:ser>
        <c:ser>
          <c:idx val="328"/>
          <c:order val="328"/>
          <c:tx>
            <c:strRef>
              <c:f>'2022_Data'!$A$329</c:f>
            </c:strRef>
          </c:tx>
          <c:dLbls>
            <c:dLblPos val="ctr"/>
            <c:showLegendKey val="0"/>
            <c:showVal val="0"/>
            <c:showCatName val="0"/>
            <c:showSerName val="1"/>
            <c:showPercent val="0"/>
            <c:showBubbleSize val="0"/>
          </c:dLbls>
          <c:xVal>
            <c:strRef>
              <c:f>'2022_Data'!$F$329</c:f>
            </c:strRef>
          </c:xVal>
          <c:yVal>
            <c:numRef>
              <c:f>'2022_Data'!$E$329</c:f>
              <c:numCache/>
            </c:numRef>
          </c:yVal>
          <c:bubbleSize>
            <c:numRef>
              <c:f>'2022_Data'!$G$329</c:f>
            </c:numRef>
          </c:bubbleSize>
        </c:ser>
        <c:ser>
          <c:idx val="329"/>
          <c:order val="329"/>
          <c:tx>
            <c:strRef>
              <c:f>'2022_Data'!$A$330</c:f>
            </c:strRef>
          </c:tx>
          <c:dLbls>
            <c:dLblPos val="ctr"/>
            <c:showLegendKey val="0"/>
            <c:showVal val="0"/>
            <c:showCatName val="0"/>
            <c:showSerName val="1"/>
            <c:showPercent val="0"/>
            <c:showBubbleSize val="0"/>
          </c:dLbls>
          <c:xVal>
            <c:strRef>
              <c:f>'2022_Data'!$F$330</c:f>
            </c:strRef>
          </c:xVal>
          <c:yVal>
            <c:numRef>
              <c:f>'2022_Data'!$E$330</c:f>
              <c:numCache/>
            </c:numRef>
          </c:yVal>
          <c:bubbleSize>
            <c:numRef>
              <c:f>'2022_Data'!$G$330</c:f>
            </c:numRef>
          </c:bubbleSize>
        </c:ser>
        <c:ser>
          <c:idx val="330"/>
          <c:order val="330"/>
          <c:tx>
            <c:strRef>
              <c:f>'2022_Data'!$A$331</c:f>
            </c:strRef>
          </c:tx>
          <c:dLbls>
            <c:dLblPos val="ctr"/>
            <c:showLegendKey val="0"/>
            <c:showVal val="0"/>
            <c:showCatName val="0"/>
            <c:showSerName val="1"/>
            <c:showPercent val="0"/>
            <c:showBubbleSize val="0"/>
          </c:dLbls>
          <c:xVal>
            <c:strRef>
              <c:f>'2022_Data'!$F$331</c:f>
            </c:strRef>
          </c:xVal>
          <c:yVal>
            <c:numRef>
              <c:f>'2022_Data'!$E$331</c:f>
              <c:numCache/>
            </c:numRef>
          </c:yVal>
          <c:bubbleSize>
            <c:numRef>
              <c:f>'2022_Data'!$G$331</c:f>
            </c:numRef>
          </c:bubbleSize>
        </c:ser>
        <c:ser>
          <c:idx val="331"/>
          <c:order val="331"/>
          <c:tx>
            <c:strRef>
              <c:f>'2022_Data'!$A$332</c:f>
            </c:strRef>
          </c:tx>
          <c:dLbls>
            <c:dLblPos val="ctr"/>
            <c:showLegendKey val="0"/>
            <c:showVal val="0"/>
            <c:showCatName val="0"/>
            <c:showSerName val="1"/>
            <c:showPercent val="0"/>
            <c:showBubbleSize val="0"/>
          </c:dLbls>
          <c:xVal>
            <c:strRef>
              <c:f>'2022_Data'!$F$332</c:f>
            </c:strRef>
          </c:xVal>
          <c:yVal>
            <c:numRef>
              <c:f>'2022_Data'!$E$332</c:f>
              <c:numCache/>
            </c:numRef>
          </c:yVal>
          <c:bubbleSize>
            <c:numRef>
              <c:f>'2022_Data'!$G$332</c:f>
            </c:numRef>
          </c:bubbleSize>
        </c:ser>
        <c:ser>
          <c:idx val="332"/>
          <c:order val="332"/>
          <c:tx>
            <c:strRef>
              <c:f>'2022_Data'!$A$333</c:f>
            </c:strRef>
          </c:tx>
          <c:dLbls>
            <c:dLblPos val="ctr"/>
            <c:showLegendKey val="0"/>
            <c:showVal val="0"/>
            <c:showCatName val="0"/>
            <c:showSerName val="1"/>
            <c:showPercent val="0"/>
            <c:showBubbleSize val="0"/>
          </c:dLbls>
          <c:xVal>
            <c:strRef>
              <c:f>'2022_Data'!$F$333</c:f>
            </c:strRef>
          </c:xVal>
          <c:yVal>
            <c:numRef>
              <c:f>'2022_Data'!$E$333</c:f>
              <c:numCache/>
            </c:numRef>
          </c:yVal>
          <c:bubbleSize>
            <c:numRef>
              <c:f>'2022_Data'!$G$333</c:f>
            </c:numRef>
          </c:bubbleSize>
        </c:ser>
        <c:ser>
          <c:idx val="333"/>
          <c:order val="333"/>
          <c:tx>
            <c:strRef>
              <c:f>'2022_Data'!$A$334</c:f>
            </c:strRef>
          </c:tx>
          <c:dLbls>
            <c:dLblPos val="ctr"/>
            <c:showLegendKey val="0"/>
            <c:showVal val="0"/>
            <c:showCatName val="0"/>
            <c:showSerName val="1"/>
            <c:showPercent val="0"/>
            <c:showBubbleSize val="0"/>
          </c:dLbls>
          <c:xVal>
            <c:strRef>
              <c:f>'2022_Data'!$F$334</c:f>
            </c:strRef>
          </c:xVal>
          <c:yVal>
            <c:numRef>
              <c:f>'2022_Data'!$E$334</c:f>
              <c:numCache/>
            </c:numRef>
          </c:yVal>
          <c:bubbleSize>
            <c:numRef>
              <c:f>'2022_Data'!$G$334</c:f>
            </c:numRef>
          </c:bubbleSize>
        </c:ser>
        <c:ser>
          <c:idx val="334"/>
          <c:order val="334"/>
          <c:tx>
            <c:strRef>
              <c:f>'2022_Data'!$A$335</c:f>
            </c:strRef>
          </c:tx>
          <c:dLbls>
            <c:dLblPos val="ctr"/>
            <c:showLegendKey val="0"/>
            <c:showVal val="0"/>
            <c:showCatName val="0"/>
            <c:showSerName val="1"/>
            <c:showPercent val="0"/>
            <c:showBubbleSize val="0"/>
          </c:dLbls>
          <c:xVal>
            <c:strRef>
              <c:f>'2022_Data'!$F$335</c:f>
            </c:strRef>
          </c:xVal>
          <c:yVal>
            <c:numRef>
              <c:f>'2022_Data'!$E$335</c:f>
              <c:numCache/>
            </c:numRef>
          </c:yVal>
          <c:bubbleSize>
            <c:numRef>
              <c:f>'2022_Data'!$G$335</c:f>
            </c:numRef>
          </c:bubbleSize>
        </c:ser>
        <c:ser>
          <c:idx val="335"/>
          <c:order val="335"/>
          <c:tx>
            <c:strRef>
              <c:f>'2022_Data'!$A$336</c:f>
            </c:strRef>
          </c:tx>
          <c:dLbls>
            <c:dLblPos val="ctr"/>
            <c:showLegendKey val="0"/>
            <c:showVal val="0"/>
            <c:showCatName val="0"/>
            <c:showSerName val="1"/>
            <c:showPercent val="0"/>
            <c:showBubbleSize val="0"/>
          </c:dLbls>
          <c:xVal>
            <c:strRef>
              <c:f>'2022_Data'!$F$336</c:f>
            </c:strRef>
          </c:xVal>
          <c:yVal>
            <c:numRef>
              <c:f>'2022_Data'!$E$336</c:f>
              <c:numCache/>
            </c:numRef>
          </c:yVal>
          <c:bubbleSize>
            <c:numRef>
              <c:f>'2022_Data'!$G$336</c:f>
            </c:numRef>
          </c:bubbleSize>
        </c:ser>
        <c:ser>
          <c:idx val="336"/>
          <c:order val="336"/>
          <c:tx>
            <c:strRef>
              <c:f>'2022_Data'!$A$337</c:f>
            </c:strRef>
          </c:tx>
          <c:dLbls>
            <c:dLblPos val="ctr"/>
            <c:showLegendKey val="0"/>
            <c:showVal val="0"/>
            <c:showCatName val="0"/>
            <c:showSerName val="1"/>
            <c:showPercent val="0"/>
            <c:showBubbleSize val="0"/>
          </c:dLbls>
          <c:xVal>
            <c:strRef>
              <c:f>'2022_Data'!$F$337</c:f>
            </c:strRef>
          </c:xVal>
          <c:yVal>
            <c:numRef>
              <c:f>'2022_Data'!$E$337</c:f>
              <c:numCache/>
            </c:numRef>
          </c:yVal>
          <c:bubbleSize>
            <c:numRef>
              <c:f>'2022_Data'!$G$337</c:f>
            </c:numRef>
          </c:bubbleSize>
        </c:ser>
        <c:ser>
          <c:idx val="337"/>
          <c:order val="337"/>
          <c:tx>
            <c:strRef>
              <c:f>'2022_Data'!$A$338</c:f>
            </c:strRef>
          </c:tx>
          <c:dLbls>
            <c:dLblPos val="ctr"/>
            <c:showLegendKey val="0"/>
            <c:showVal val="0"/>
            <c:showCatName val="0"/>
            <c:showSerName val="1"/>
            <c:showPercent val="0"/>
            <c:showBubbleSize val="0"/>
          </c:dLbls>
          <c:xVal>
            <c:strRef>
              <c:f>'2022_Data'!$F$338</c:f>
            </c:strRef>
          </c:xVal>
          <c:yVal>
            <c:numRef>
              <c:f>'2022_Data'!$E$338</c:f>
              <c:numCache/>
            </c:numRef>
          </c:yVal>
          <c:bubbleSize>
            <c:numRef>
              <c:f>'2022_Data'!$G$338</c:f>
            </c:numRef>
          </c:bubbleSize>
        </c:ser>
        <c:ser>
          <c:idx val="338"/>
          <c:order val="338"/>
          <c:tx>
            <c:strRef>
              <c:f>'2022_Data'!$A$339</c:f>
            </c:strRef>
          </c:tx>
          <c:dLbls>
            <c:dLblPos val="ctr"/>
            <c:showLegendKey val="0"/>
            <c:showVal val="0"/>
            <c:showCatName val="0"/>
            <c:showSerName val="1"/>
            <c:showPercent val="0"/>
            <c:showBubbleSize val="0"/>
          </c:dLbls>
          <c:xVal>
            <c:strRef>
              <c:f>'2022_Data'!$F$339</c:f>
            </c:strRef>
          </c:xVal>
          <c:yVal>
            <c:numRef>
              <c:f>'2022_Data'!$E$339</c:f>
              <c:numCache/>
            </c:numRef>
          </c:yVal>
          <c:bubbleSize>
            <c:numRef>
              <c:f>'2022_Data'!$G$339</c:f>
            </c:numRef>
          </c:bubbleSize>
        </c:ser>
        <c:ser>
          <c:idx val="339"/>
          <c:order val="339"/>
          <c:tx>
            <c:strRef>
              <c:f>'2022_Data'!$A$340</c:f>
            </c:strRef>
          </c:tx>
          <c:dLbls>
            <c:dLblPos val="ctr"/>
            <c:showLegendKey val="0"/>
            <c:showVal val="0"/>
            <c:showCatName val="0"/>
            <c:showSerName val="1"/>
            <c:showPercent val="0"/>
            <c:showBubbleSize val="0"/>
          </c:dLbls>
          <c:xVal>
            <c:strRef>
              <c:f>'2022_Data'!$F$340</c:f>
            </c:strRef>
          </c:xVal>
          <c:yVal>
            <c:numRef>
              <c:f>'2022_Data'!$E$340</c:f>
              <c:numCache/>
            </c:numRef>
          </c:yVal>
          <c:bubbleSize>
            <c:numRef>
              <c:f>'2022_Data'!$G$340</c:f>
            </c:numRef>
          </c:bubbleSize>
        </c:ser>
        <c:ser>
          <c:idx val="340"/>
          <c:order val="340"/>
          <c:tx>
            <c:strRef>
              <c:f>'2022_Data'!$A$341</c:f>
            </c:strRef>
          </c:tx>
          <c:dLbls>
            <c:dLblPos val="ctr"/>
            <c:showLegendKey val="0"/>
            <c:showVal val="0"/>
            <c:showCatName val="0"/>
            <c:showSerName val="1"/>
            <c:showPercent val="0"/>
            <c:showBubbleSize val="0"/>
          </c:dLbls>
          <c:xVal>
            <c:strRef>
              <c:f>'2022_Data'!$F$341</c:f>
            </c:strRef>
          </c:xVal>
          <c:yVal>
            <c:numRef>
              <c:f>'2022_Data'!$E$341</c:f>
              <c:numCache/>
            </c:numRef>
          </c:yVal>
          <c:bubbleSize>
            <c:numRef>
              <c:f>'2022_Data'!$G$341</c:f>
            </c:numRef>
          </c:bubbleSize>
        </c:ser>
        <c:ser>
          <c:idx val="341"/>
          <c:order val="341"/>
          <c:tx>
            <c:strRef>
              <c:f>'2022_Data'!$A$342</c:f>
            </c:strRef>
          </c:tx>
          <c:dLbls>
            <c:dLblPos val="ctr"/>
            <c:showLegendKey val="0"/>
            <c:showVal val="0"/>
            <c:showCatName val="0"/>
            <c:showSerName val="1"/>
            <c:showPercent val="0"/>
            <c:showBubbleSize val="0"/>
          </c:dLbls>
          <c:xVal>
            <c:strRef>
              <c:f>'2022_Data'!$F$342</c:f>
            </c:strRef>
          </c:xVal>
          <c:yVal>
            <c:numRef>
              <c:f>'2022_Data'!$E$342</c:f>
              <c:numCache/>
            </c:numRef>
          </c:yVal>
          <c:bubbleSize>
            <c:numRef>
              <c:f>'2022_Data'!$G$342</c:f>
            </c:numRef>
          </c:bubbleSize>
        </c:ser>
        <c:ser>
          <c:idx val="342"/>
          <c:order val="342"/>
          <c:tx>
            <c:strRef>
              <c:f>'2022_Data'!$A$343</c:f>
            </c:strRef>
          </c:tx>
          <c:dLbls>
            <c:dLblPos val="ctr"/>
            <c:showLegendKey val="0"/>
            <c:showVal val="0"/>
            <c:showCatName val="0"/>
            <c:showSerName val="1"/>
            <c:showPercent val="0"/>
            <c:showBubbleSize val="0"/>
          </c:dLbls>
          <c:xVal>
            <c:strRef>
              <c:f>'2022_Data'!$F$343</c:f>
            </c:strRef>
          </c:xVal>
          <c:yVal>
            <c:numRef>
              <c:f>'2022_Data'!$E$343</c:f>
              <c:numCache/>
            </c:numRef>
          </c:yVal>
          <c:bubbleSize>
            <c:numRef>
              <c:f>'2022_Data'!$G$343</c:f>
            </c:numRef>
          </c:bubbleSize>
        </c:ser>
        <c:ser>
          <c:idx val="343"/>
          <c:order val="343"/>
          <c:tx>
            <c:strRef>
              <c:f>'2022_Data'!$A$344</c:f>
            </c:strRef>
          </c:tx>
          <c:dLbls>
            <c:dLblPos val="ctr"/>
            <c:showLegendKey val="0"/>
            <c:showVal val="0"/>
            <c:showCatName val="0"/>
            <c:showSerName val="1"/>
            <c:showPercent val="0"/>
            <c:showBubbleSize val="0"/>
          </c:dLbls>
          <c:xVal>
            <c:strRef>
              <c:f>'2022_Data'!$F$344</c:f>
            </c:strRef>
          </c:xVal>
          <c:yVal>
            <c:numRef>
              <c:f>'2022_Data'!$E$344</c:f>
              <c:numCache/>
            </c:numRef>
          </c:yVal>
          <c:bubbleSize>
            <c:numRef>
              <c:f>'2022_Data'!$G$344</c:f>
            </c:numRef>
          </c:bubbleSize>
        </c:ser>
        <c:ser>
          <c:idx val="344"/>
          <c:order val="344"/>
          <c:tx>
            <c:strRef>
              <c:f>'2022_Data'!$A$345</c:f>
            </c:strRef>
          </c:tx>
          <c:dLbls>
            <c:dLblPos val="ctr"/>
            <c:showLegendKey val="0"/>
            <c:showVal val="0"/>
            <c:showCatName val="0"/>
            <c:showSerName val="1"/>
            <c:showPercent val="0"/>
            <c:showBubbleSize val="0"/>
          </c:dLbls>
          <c:xVal>
            <c:strRef>
              <c:f>'2022_Data'!$F$345</c:f>
            </c:strRef>
          </c:xVal>
          <c:yVal>
            <c:numRef>
              <c:f>'2022_Data'!$E$345</c:f>
              <c:numCache/>
            </c:numRef>
          </c:yVal>
          <c:bubbleSize>
            <c:numRef>
              <c:f>'2022_Data'!$G$345</c:f>
            </c:numRef>
          </c:bubbleSize>
        </c:ser>
        <c:ser>
          <c:idx val="345"/>
          <c:order val="345"/>
          <c:tx>
            <c:strRef>
              <c:f>'2022_Data'!$A$346</c:f>
            </c:strRef>
          </c:tx>
          <c:dLbls>
            <c:dLblPos val="ctr"/>
            <c:showLegendKey val="0"/>
            <c:showVal val="0"/>
            <c:showCatName val="0"/>
            <c:showSerName val="1"/>
            <c:showPercent val="0"/>
            <c:showBubbleSize val="0"/>
          </c:dLbls>
          <c:xVal>
            <c:strRef>
              <c:f>'2022_Data'!$F$346</c:f>
            </c:strRef>
          </c:xVal>
          <c:yVal>
            <c:numRef>
              <c:f>'2022_Data'!$E$346</c:f>
              <c:numCache/>
            </c:numRef>
          </c:yVal>
          <c:bubbleSize>
            <c:numRef>
              <c:f>'2022_Data'!$G$346</c:f>
            </c:numRef>
          </c:bubbleSize>
        </c:ser>
        <c:ser>
          <c:idx val="346"/>
          <c:order val="346"/>
          <c:tx>
            <c:strRef>
              <c:f>'2022_Data'!$A$347</c:f>
            </c:strRef>
          </c:tx>
          <c:dLbls>
            <c:dLblPos val="ctr"/>
            <c:showLegendKey val="0"/>
            <c:showVal val="0"/>
            <c:showCatName val="0"/>
            <c:showSerName val="1"/>
            <c:showPercent val="0"/>
            <c:showBubbleSize val="0"/>
          </c:dLbls>
          <c:xVal>
            <c:strRef>
              <c:f>'2022_Data'!$F$347</c:f>
            </c:strRef>
          </c:xVal>
          <c:yVal>
            <c:numRef>
              <c:f>'2022_Data'!$E$347</c:f>
              <c:numCache/>
            </c:numRef>
          </c:yVal>
          <c:bubbleSize>
            <c:numRef>
              <c:f>'2022_Data'!$G$347</c:f>
            </c:numRef>
          </c:bubbleSize>
        </c:ser>
        <c:ser>
          <c:idx val="347"/>
          <c:order val="347"/>
          <c:tx>
            <c:strRef>
              <c:f>'2022_Data'!$A$348</c:f>
            </c:strRef>
          </c:tx>
          <c:dLbls>
            <c:dLblPos val="ctr"/>
            <c:showLegendKey val="0"/>
            <c:showVal val="0"/>
            <c:showCatName val="0"/>
            <c:showSerName val="1"/>
            <c:showPercent val="0"/>
            <c:showBubbleSize val="0"/>
          </c:dLbls>
          <c:xVal>
            <c:strRef>
              <c:f>'2022_Data'!$F$348</c:f>
            </c:strRef>
          </c:xVal>
          <c:yVal>
            <c:numRef>
              <c:f>'2022_Data'!$E$348</c:f>
              <c:numCache/>
            </c:numRef>
          </c:yVal>
          <c:bubbleSize>
            <c:numRef>
              <c:f>'2022_Data'!$G$348</c:f>
            </c:numRef>
          </c:bubbleSize>
        </c:ser>
        <c:ser>
          <c:idx val="348"/>
          <c:order val="348"/>
          <c:tx>
            <c:strRef>
              <c:f>'2022_Data'!$A$349</c:f>
            </c:strRef>
          </c:tx>
          <c:dLbls>
            <c:dLblPos val="ctr"/>
            <c:showLegendKey val="0"/>
            <c:showVal val="0"/>
            <c:showCatName val="0"/>
            <c:showSerName val="1"/>
            <c:showPercent val="0"/>
            <c:showBubbleSize val="0"/>
          </c:dLbls>
          <c:xVal>
            <c:strRef>
              <c:f>'2022_Data'!$F$349</c:f>
            </c:strRef>
          </c:xVal>
          <c:yVal>
            <c:numRef>
              <c:f>'2022_Data'!$E$349</c:f>
              <c:numCache/>
            </c:numRef>
          </c:yVal>
          <c:bubbleSize>
            <c:numRef>
              <c:f>'2022_Data'!$G$349</c:f>
            </c:numRef>
          </c:bubbleSize>
        </c:ser>
        <c:ser>
          <c:idx val="349"/>
          <c:order val="349"/>
          <c:tx>
            <c:strRef>
              <c:f>'2022_Data'!$A$350</c:f>
            </c:strRef>
          </c:tx>
          <c:dLbls>
            <c:dLblPos val="ctr"/>
            <c:showLegendKey val="0"/>
            <c:showVal val="0"/>
            <c:showCatName val="0"/>
            <c:showSerName val="1"/>
            <c:showPercent val="0"/>
            <c:showBubbleSize val="0"/>
          </c:dLbls>
          <c:xVal>
            <c:strRef>
              <c:f>'2022_Data'!$F$350</c:f>
            </c:strRef>
          </c:xVal>
          <c:yVal>
            <c:numRef>
              <c:f>'2022_Data'!$E$350</c:f>
              <c:numCache/>
            </c:numRef>
          </c:yVal>
          <c:bubbleSize>
            <c:numRef>
              <c:f>'2022_Data'!$G$350</c:f>
            </c:numRef>
          </c:bubbleSize>
        </c:ser>
        <c:ser>
          <c:idx val="350"/>
          <c:order val="350"/>
          <c:tx>
            <c:strRef>
              <c:f>'2022_Data'!$A$351</c:f>
            </c:strRef>
          </c:tx>
          <c:dLbls>
            <c:dLblPos val="ctr"/>
            <c:showLegendKey val="0"/>
            <c:showVal val="0"/>
            <c:showCatName val="0"/>
            <c:showSerName val="1"/>
            <c:showPercent val="0"/>
            <c:showBubbleSize val="0"/>
          </c:dLbls>
          <c:xVal>
            <c:strRef>
              <c:f>'2022_Data'!$F$351</c:f>
            </c:strRef>
          </c:xVal>
          <c:yVal>
            <c:numRef>
              <c:f>'2022_Data'!$E$351</c:f>
              <c:numCache/>
            </c:numRef>
          </c:yVal>
          <c:bubbleSize>
            <c:numRef>
              <c:f>'2022_Data'!$G$351</c:f>
            </c:numRef>
          </c:bubbleSize>
        </c:ser>
        <c:ser>
          <c:idx val="351"/>
          <c:order val="351"/>
          <c:tx>
            <c:strRef>
              <c:f>'2022_Data'!$A$352</c:f>
            </c:strRef>
          </c:tx>
          <c:dLbls>
            <c:dLblPos val="ctr"/>
            <c:showLegendKey val="0"/>
            <c:showVal val="0"/>
            <c:showCatName val="0"/>
            <c:showSerName val="1"/>
            <c:showPercent val="0"/>
            <c:showBubbleSize val="0"/>
          </c:dLbls>
          <c:xVal>
            <c:strRef>
              <c:f>'2022_Data'!$F$352</c:f>
            </c:strRef>
          </c:xVal>
          <c:yVal>
            <c:numRef>
              <c:f>'2022_Data'!$E$352</c:f>
              <c:numCache/>
            </c:numRef>
          </c:yVal>
          <c:bubbleSize>
            <c:numRef>
              <c:f>'2022_Data'!$G$352</c:f>
            </c:numRef>
          </c:bubbleSize>
        </c:ser>
        <c:ser>
          <c:idx val="352"/>
          <c:order val="352"/>
          <c:tx>
            <c:strRef>
              <c:f>'2022_Data'!$A$353</c:f>
            </c:strRef>
          </c:tx>
          <c:dLbls>
            <c:dLblPos val="ctr"/>
            <c:showLegendKey val="0"/>
            <c:showVal val="0"/>
            <c:showCatName val="0"/>
            <c:showSerName val="1"/>
            <c:showPercent val="0"/>
            <c:showBubbleSize val="0"/>
          </c:dLbls>
          <c:xVal>
            <c:strRef>
              <c:f>'2022_Data'!$F$353</c:f>
            </c:strRef>
          </c:xVal>
          <c:yVal>
            <c:numRef>
              <c:f>'2022_Data'!$E$353</c:f>
              <c:numCache/>
            </c:numRef>
          </c:yVal>
          <c:bubbleSize>
            <c:numRef>
              <c:f>'2022_Data'!$G$353</c:f>
            </c:numRef>
          </c:bubbleSize>
        </c:ser>
        <c:ser>
          <c:idx val="353"/>
          <c:order val="353"/>
          <c:tx>
            <c:strRef>
              <c:f>'2022_Data'!$A$354</c:f>
            </c:strRef>
          </c:tx>
          <c:dLbls>
            <c:dLblPos val="ctr"/>
            <c:showLegendKey val="0"/>
            <c:showVal val="0"/>
            <c:showCatName val="0"/>
            <c:showSerName val="1"/>
            <c:showPercent val="0"/>
            <c:showBubbleSize val="0"/>
          </c:dLbls>
          <c:xVal>
            <c:strRef>
              <c:f>'2022_Data'!$F$354</c:f>
            </c:strRef>
          </c:xVal>
          <c:yVal>
            <c:numRef>
              <c:f>'2022_Data'!$E$354</c:f>
              <c:numCache/>
            </c:numRef>
          </c:yVal>
          <c:bubbleSize>
            <c:numRef>
              <c:f>'2022_Data'!$G$354</c:f>
            </c:numRef>
          </c:bubbleSize>
        </c:ser>
        <c:ser>
          <c:idx val="354"/>
          <c:order val="354"/>
          <c:tx>
            <c:strRef>
              <c:f>'2022_Data'!$A$355</c:f>
            </c:strRef>
          </c:tx>
          <c:dLbls>
            <c:dLblPos val="ctr"/>
            <c:showLegendKey val="0"/>
            <c:showVal val="0"/>
            <c:showCatName val="0"/>
            <c:showSerName val="1"/>
            <c:showPercent val="0"/>
            <c:showBubbleSize val="0"/>
          </c:dLbls>
          <c:xVal>
            <c:strRef>
              <c:f>'2022_Data'!$F$355</c:f>
            </c:strRef>
          </c:xVal>
          <c:yVal>
            <c:numRef>
              <c:f>'2022_Data'!$E$355</c:f>
              <c:numCache/>
            </c:numRef>
          </c:yVal>
          <c:bubbleSize>
            <c:numRef>
              <c:f>'2022_Data'!$G$355</c:f>
            </c:numRef>
          </c:bubbleSize>
        </c:ser>
        <c:ser>
          <c:idx val="355"/>
          <c:order val="355"/>
          <c:tx>
            <c:strRef>
              <c:f>'2022_Data'!$A$356</c:f>
            </c:strRef>
          </c:tx>
          <c:dLbls>
            <c:dLblPos val="ctr"/>
            <c:showLegendKey val="0"/>
            <c:showVal val="0"/>
            <c:showCatName val="0"/>
            <c:showSerName val="1"/>
            <c:showPercent val="0"/>
            <c:showBubbleSize val="0"/>
          </c:dLbls>
          <c:xVal>
            <c:strRef>
              <c:f>'2022_Data'!$F$356</c:f>
            </c:strRef>
          </c:xVal>
          <c:yVal>
            <c:numRef>
              <c:f>'2022_Data'!$E$356</c:f>
              <c:numCache/>
            </c:numRef>
          </c:yVal>
          <c:bubbleSize>
            <c:numRef>
              <c:f>'2022_Data'!$G$356</c:f>
            </c:numRef>
          </c:bubbleSize>
        </c:ser>
        <c:ser>
          <c:idx val="356"/>
          <c:order val="356"/>
          <c:tx>
            <c:strRef>
              <c:f>'2022_Data'!$A$357</c:f>
            </c:strRef>
          </c:tx>
          <c:dLbls>
            <c:dLblPos val="ctr"/>
            <c:showLegendKey val="0"/>
            <c:showVal val="0"/>
            <c:showCatName val="0"/>
            <c:showSerName val="1"/>
            <c:showPercent val="0"/>
            <c:showBubbleSize val="0"/>
          </c:dLbls>
          <c:xVal>
            <c:strRef>
              <c:f>'2022_Data'!$F$357</c:f>
            </c:strRef>
          </c:xVal>
          <c:yVal>
            <c:numRef>
              <c:f>'2022_Data'!$E$357</c:f>
              <c:numCache/>
            </c:numRef>
          </c:yVal>
          <c:bubbleSize>
            <c:numRef>
              <c:f>'2022_Data'!$G$357</c:f>
            </c:numRef>
          </c:bubbleSize>
        </c:ser>
        <c:ser>
          <c:idx val="357"/>
          <c:order val="357"/>
          <c:tx>
            <c:strRef>
              <c:f>'2022_Data'!$A$358</c:f>
            </c:strRef>
          </c:tx>
          <c:dLbls>
            <c:dLblPos val="ctr"/>
            <c:showLegendKey val="0"/>
            <c:showVal val="0"/>
            <c:showCatName val="0"/>
            <c:showSerName val="1"/>
            <c:showPercent val="0"/>
            <c:showBubbleSize val="0"/>
          </c:dLbls>
          <c:xVal>
            <c:strRef>
              <c:f>'2022_Data'!$F$358</c:f>
            </c:strRef>
          </c:xVal>
          <c:yVal>
            <c:numRef>
              <c:f>'2022_Data'!$E$358</c:f>
              <c:numCache/>
            </c:numRef>
          </c:yVal>
          <c:bubbleSize>
            <c:numRef>
              <c:f>'2022_Data'!$G$358</c:f>
            </c:numRef>
          </c:bubbleSize>
        </c:ser>
        <c:ser>
          <c:idx val="358"/>
          <c:order val="358"/>
          <c:tx>
            <c:strRef>
              <c:f>'2022_Data'!$A$359</c:f>
            </c:strRef>
          </c:tx>
          <c:dLbls>
            <c:dLblPos val="ctr"/>
            <c:showLegendKey val="0"/>
            <c:showVal val="0"/>
            <c:showCatName val="0"/>
            <c:showSerName val="1"/>
            <c:showPercent val="0"/>
            <c:showBubbleSize val="0"/>
          </c:dLbls>
          <c:xVal>
            <c:strRef>
              <c:f>'2022_Data'!$F$359</c:f>
            </c:strRef>
          </c:xVal>
          <c:yVal>
            <c:numRef>
              <c:f>'2022_Data'!$E$359</c:f>
              <c:numCache/>
            </c:numRef>
          </c:yVal>
          <c:bubbleSize>
            <c:numRef>
              <c:f>'2022_Data'!$G$359</c:f>
            </c:numRef>
          </c:bubbleSize>
        </c:ser>
        <c:ser>
          <c:idx val="359"/>
          <c:order val="359"/>
          <c:tx>
            <c:strRef>
              <c:f>'2022_Data'!$A$360</c:f>
            </c:strRef>
          </c:tx>
          <c:dLbls>
            <c:dLblPos val="ctr"/>
            <c:showLegendKey val="0"/>
            <c:showVal val="0"/>
            <c:showCatName val="0"/>
            <c:showSerName val="1"/>
            <c:showPercent val="0"/>
            <c:showBubbleSize val="0"/>
          </c:dLbls>
          <c:xVal>
            <c:strRef>
              <c:f>'2022_Data'!$F$360</c:f>
            </c:strRef>
          </c:xVal>
          <c:yVal>
            <c:numRef>
              <c:f>'2022_Data'!$E$360</c:f>
              <c:numCache/>
            </c:numRef>
          </c:yVal>
          <c:bubbleSize>
            <c:numRef>
              <c:f>'2022_Data'!$G$360</c:f>
            </c:numRef>
          </c:bubbleSize>
        </c:ser>
        <c:ser>
          <c:idx val="360"/>
          <c:order val="360"/>
          <c:tx>
            <c:strRef>
              <c:f>'2022_Data'!$A$361</c:f>
            </c:strRef>
          </c:tx>
          <c:dLbls>
            <c:dLblPos val="ctr"/>
            <c:showLegendKey val="0"/>
            <c:showVal val="0"/>
            <c:showCatName val="0"/>
            <c:showSerName val="1"/>
            <c:showPercent val="0"/>
            <c:showBubbleSize val="0"/>
          </c:dLbls>
          <c:xVal>
            <c:strRef>
              <c:f>'2022_Data'!$F$361</c:f>
            </c:strRef>
          </c:xVal>
          <c:yVal>
            <c:numRef>
              <c:f>'2022_Data'!$E$361</c:f>
              <c:numCache/>
            </c:numRef>
          </c:yVal>
          <c:bubbleSize>
            <c:numRef>
              <c:f>'2022_Data'!$G$361</c:f>
            </c:numRef>
          </c:bubbleSize>
        </c:ser>
        <c:ser>
          <c:idx val="361"/>
          <c:order val="361"/>
          <c:tx>
            <c:strRef>
              <c:f>'2022_Data'!$A$362</c:f>
            </c:strRef>
          </c:tx>
          <c:dLbls>
            <c:dLblPos val="ctr"/>
            <c:showLegendKey val="0"/>
            <c:showVal val="0"/>
            <c:showCatName val="0"/>
            <c:showSerName val="1"/>
            <c:showPercent val="0"/>
            <c:showBubbleSize val="0"/>
          </c:dLbls>
          <c:xVal>
            <c:strRef>
              <c:f>'2022_Data'!$F$362</c:f>
            </c:strRef>
          </c:xVal>
          <c:yVal>
            <c:numRef>
              <c:f>'2022_Data'!$E$362</c:f>
              <c:numCache/>
            </c:numRef>
          </c:yVal>
          <c:bubbleSize>
            <c:numRef>
              <c:f>'2022_Data'!$G$362</c:f>
            </c:numRef>
          </c:bubbleSize>
        </c:ser>
        <c:ser>
          <c:idx val="362"/>
          <c:order val="362"/>
          <c:tx>
            <c:strRef>
              <c:f>'2022_Data'!$A$363</c:f>
            </c:strRef>
          </c:tx>
          <c:dLbls>
            <c:dLblPos val="ctr"/>
            <c:showLegendKey val="0"/>
            <c:showVal val="0"/>
            <c:showCatName val="0"/>
            <c:showSerName val="1"/>
            <c:showPercent val="0"/>
            <c:showBubbleSize val="0"/>
          </c:dLbls>
          <c:xVal>
            <c:strRef>
              <c:f>'2022_Data'!$F$363</c:f>
            </c:strRef>
          </c:xVal>
          <c:yVal>
            <c:numRef>
              <c:f>'2022_Data'!$E$363</c:f>
              <c:numCache/>
            </c:numRef>
          </c:yVal>
          <c:bubbleSize>
            <c:numRef>
              <c:f>'2022_Data'!$G$363</c:f>
            </c:numRef>
          </c:bubbleSize>
        </c:ser>
        <c:ser>
          <c:idx val="363"/>
          <c:order val="363"/>
          <c:tx>
            <c:strRef>
              <c:f>'2022_Data'!$A$364</c:f>
            </c:strRef>
          </c:tx>
          <c:dLbls>
            <c:dLblPos val="ctr"/>
            <c:showLegendKey val="0"/>
            <c:showVal val="0"/>
            <c:showCatName val="0"/>
            <c:showSerName val="1"/>
            <c:showPercent val="0"/>
            <c:showBubbleSize val="0"/>
          </c:dLbls>
          <c:xVal>
            <c:strRef>
              <c:f>'2022_Data'!$F$364</c:f>
            </c:strRef>
          </c:xVal>
          <c:yVal>
            <c:numRef>
              <c:f>'2022_Data'!$E$364</c:f>
              <c:numCache/>
            </c:numRef>
          </c:yVal>
          <c:bubbleSize>
            <c:numRef>
              <c:f>'2022_Data'!$G$364</c:f>
            </c:numRef>
          </c:bubbleSize>
        </c:ser>
        <c:ser>
          <c:idx val="364"/>
          <c:order val="364"/>
          <c:tx>
            <c:strRef>
              <c:f>'2022_Data'!$A$365</c:f>
            </c:strRef>
          </c:tx>
          <c:dLbls>
            <c:dLblPos val="ctr"/>
            <c:showLegendKey val="0"/>
            <c:showVal val="0"/>
            <c:showCatName val="0"/>
            <c:showSerName val="1"/>
            <c:showPercent val="0"/>
            <c:showBubbleSize val="0"/>
          </c:dLbls>
          <c:xVal>
            <c:strRef>
              <c:f>'2022_Data'!$F$365</c:f>
            </c:strRef>
          </c:xVal>
          <c:yVal>
            <c:numRef>
              <c:f>'2022_Data'!$E$365</c:f>
              <c:numCache/>
            </c:numRef>
          </c:yVal>
          <c:bubbleSize>
            <c:numRef>
              <c:f>'2022_Data'!$G$365</c:f>
            </c:numRef>
          </c:bubbleSize>
        </c:ser>
        <c:ser>
          <c:idx val="365"/>
          <c:order val="365"/>
          <c:tx>
            <c:strRef>
              <c:f>'2022_Data'!$A$366</c:f>
            </c:strRef>
          </c:tx>
          <c:dLbls>
            <c:dLblPos val="ctr"/>
            <c:showLegendKey val="0"/>
            <c:showVal val="0"/>
            <c:showCatName val="0"/>
            <c:showSerName val="1"/>
            <c:showPercent val="0"/>
            <c:showBubbleSize val="0"/>
          </c:dLbls>
          <c:xVal>
            <c:strRef>
              <c:f>'2022_Data'!$F$366</c:f>
            </c:strRef>
          </c:xVal>
          <c:yVal>
            <c:numRef>
              <c:f>'2022_Data'!$E$366</c:f>
              <c:numCache/>
            </c:numRef>
          </c:yVal>
          <c:bubbleSize>
            <c:numRef>
              <c:f>'2022_Data'!$G$366</c:f>
            </c:numRef>
          </c:bubbleSize>
        </c:ser>
        <c:ser>
          <c:idx val="366"/>
          <c:order val="366"/>
          <c:tx>
            <c:strRef>
              <c:f>'2022_Data'!$A$367</c:f>
            </c:strRef>
          </c:tx>
          <c:dLbls>
            <c:dLblPos val="ctr"/>
            <c:showLegendKey val="0"/>
            <c:showVal val="0"/>
            <c:showCatName val="0"/>
            <c:showSerName val="1"/>
            <c:showPercent val="0"/>
            <c:showBubbleSize val="0"/>
          </c:dLbls>
          <c:xVal>
            <c:strRef>
              <c:f>'2022_Data'!$F$367</c:f>
            </c:strRef>
          </c:xVal>
          <c:yVal>
            <c:numRef>
              <c:f>'2022_Data'!$E$367</c:f>
              <c:numCache/>
            </c:numRef>
          </c:yVal>
          <c:bubbleSize>
            <c:numRef>
              <c:f>'2022_Data'!$G$367</c:f>
            </c:numRef>
          </c:bubbleSize>
        </c:ser>
        <c:ser>
          <c:idx val="367"/>
          <c:order val="367"/>
          <c:tx>
            <c:strRef>
              <c:f>'2022_Data'!$A$368</c:f>
            </c:strRef>
          </c:tx>
          <c:dLbls>
            <c:dLblPos val="ctr"/>
            <c:showLegendKey val="0"/>
            <c:showVal val="0"/>
            <c:showCatName val="0"/>
            <c:showSerName val="1"/>
            <c:showPercent val="0"/>
            <c:showBubbleSize val="0"/>
          </c:dLbls>
          <c:xVal>
            <c:strRef>
              <c:f>'2022_Data'!$F$368</c:f>
            </c:strRef>
          </c:xVal>
          <c:yVal>
            <c:numRef>
              <c:f>'2022_Data'!$E$368</c:f>
              <c:numCache/>
            </c:numRef>
          </c:yVal>
          <c:bubbleSize>
            <c:numRef>
              <c:f>'2022_Data'!$G$368</c:f>
            </c:numRef>
          </c:bubbleSize>
        </c:ser>
        <c:ser>
          <c:idx val="368"/>
          <c:order val="368"/>
          <c:tx>
            <c:strRef>
              <c:f>'2022_Data'!$A$369</c:f>
            </c:strRef>
          </c:tx>
          <c:dLbls>
            <c:dLblPos val="ctr"/>
            <c:showLegendKey val="0"/>
            <c:showVal val="0"/>
            <c:showCatName val="0"/>
            <c:showSerName val="1"/>
            <c:showPercent val="0"/>
            <c:showBubbleSize val="0"/>
          </c:dLbls>
          <c:xVal>
            <c:strRef>
              <c:f>'2022_Data'!$F$369</c:f>
            </c:strRef>
          </c:xVal>
          <c:yVal>
            <c:numRef>
              <c:f>'2022_Data'!$E$369</c:f>
              <c:numCache/>
            </c:numRef>
          </c:yVal>
          <c:bubbleSize>
            <c:numRef>
              <c:f>'2022_Data'!$G$369</c:f>
            </c:numRef>
          </c:bubbleSize>
        </c:ser>
        <c:ser>
          <c:idx val="369"/>
          <c:order val="369"/>
          <c:tx>
            <c:strRef>
              <c:f>'2022_Data'!$A$370</c:f>
            </c:strRef>
          </c:tx>
          <c:dLbls>
            <c:dLblPos val="ctr"/>
            <c:showLegendKey val="0"/>
            <c:showVal val="0"/>
            <c:showCatName val="0"/>
            <c:showSerName val="1"/>
            <c:showPercent val="0"/>
            <c:showBubbleSize val="0"/>
          </c:dLbls>
          <c:xVal>
            <c:strRef>
              <c:f>'2022_Data'!$F$370</c:f>
            </c:strRef>
          </c:xVal>
          <c:yVal>
            <c:numRef>
              <c:f>'2022_Data'!$E$370</c:f>
              <c:numCache/>
            </c:numRef>
          </c:yVal>
          <c:bubbleSize>
            <c:numRef>
              <c:f>'2022_Data'!$G$370</c:f>
            </c:numRef>
          </c:bubbleSize>
        </c:ser>
        <c:ser>
          <c:idx val="370"/>
          <c:order val="370"/>
          <c:tx>
            <c:strRef>
              <c:f>'2022_Data'!$A$371</c:f>
            </c:strRef>
          </c:tx>
          <c:dLbls>
            <c:dLblPos val="ctr"/>
            <c:showLegendKey val="0"/>
            <c:showVal val="0"/>
            <c:showCatName val="0"/>
            <c:showSerName val="1"/>
            <c:showPercent val="0"/>
            <c:showBubbleSize val="0"/>
          </c:dLbls>
          <c:xVal>
            <c:strRef>
              <c:f>'2022_Data'!$F$371</c:f>
            </c:strRef>
          </c:xVal>
          <c:yVal>
            <c:numRef>
              <c:f>'2022_Data'!$E$371</c:f>
              <c:numCache/>
            </c:numRef>
          </c:yVal>
          <c:bubbleSize>
            <c:numRef>
              <c:f>'2022_Data'!$G$371</c:f>
            </c:numRef>
          </c:bubbleSize>
        </c:ser>
        <c:ser>
          <c:idx val="371"/>
          <c:order val="371"/>
          <c:tx>
            <c:strRef>
              <c:f>'2022_Data'!$A$372</c:f>
            </c:strRef>
          </c:tx>
          <c:dLbls>
            <c:dLblPos val="ctr"/>
            <c:showLegendKey val="0"/>
            <c:showVal val="0"/>
            <c:showCatName val="0"/>
            <c:showSerName val="1"/>
            <c:showPercent val="0"/>
            <c:showBubbleSize val="0"/>
          </c:dLbls>
          <c:xVal>
            <c:strRef>
              <c:f>'2022_Data'!$F$372</c:f>
            </c:strRef>
          </c:xVal>
          <c:yVal>
            <c:numRef>
              <c:f>'2022_Data'!$E$372</c:f>
              <c:numCache/>
            </c:numRef>
          </c:yVal>
          <c:bubbleSize>
            <c:numRef>
              <c:f>'2022_Data'!$G$372</c:f>
            </c:numRef>
          </c:bubbleSize>
        </c:ser>
        <c:ser>
          <c:idx val="372"/>
          <c:order val="372"/>
          <c:tx>
            <c:strRef>
              <c:f>'2022_Data'!$A$373</c:f>
            </c:strRef>
          </c:tx>
          <c:dLbls>
            <c:dLblPos val="ctr"/>
            <c:showLegendKey val="0"/>
            <c:showVal val="0"/>
            <c:showCatName val="0"/>
            <c:showSerName val="1"/>
            <c:showPercent val="0"/>
            <c:showBubbleSize val="0"/>
          </c:dLbls>
          <c:xVal>
            <c:strRef>
              <c:f>'2022_Data'!$F$373</c:f>
            </c:strRef>
          </c:xVal>
          <c:yVal>
            <c:numRef>
              <c:f>'2022_Data'!$E$373</c:f>
              <c:numCache/>
            </c:numRef>
          </c:yVal>
          <c:bubbleSize>
            <c:numRef>
              <c:f>'2022_Data'!$G$373</c:f>
            </c:numRef>
          </c:bubbleSize>
        </c:ser>
        <c:ser>
          <c:idx val="373"/>
          <c:order val="373"/>
          <c:tx>
            <c:strRef>
              <c:f>'2022_Data'!$A$374</c:f>
            </c:strRef>
          </c:tx>
          <c:dLbls>
            <c:dLblPos val="ctr"/>
            <c:showLegendKey val="0"/>
            <c:showVal val="0"/>
            <c:showCatName val="0"/>
            <c:showSerName val="1"/>
            <c:showPercent val="0"/>
            <c:showBubbleSize val="0"/>
          </c:dLbls>
          <c:xVal>
            <c:strRef>
              <c:f>'2022_Data'!$F$374</c:f>
            </c:strRef>
          </c:xVal>
          <c:yVal>
            <c:numRef>
              <c:f>'2022_Data'!$E$374</c:f>
              <c:numCache/>
            </c:numRef>
          </c:yVal>
          <c:bubbleSize>
            <c:numRef>
              <c:f>'2022_Data'!$G$374</c:f>
            </c:numRef>
          </c:bubbleSize>
        </c:ser>
        <c:ser>
          <c:idx val="374"/>
          <c:order val="374"/>
          <c:tx>
            <c:strRef>
              <c:f>'2022_Data'!$A$375</c:f>
            </c:strRef>
          </c:tx>
          <c:dLbls>
            <c:dLblPos val="ctr"/>
            <c:showLegendKey val="0"/>
            <c:showVal val="0"/>
            <c:showCatName val="0"/>
            <c:showSerName val="1"/>
            <c:showPercent val="0"/>
            <c:showBubbleSize val="0"/>
          </c:dLbls>
          <c:xVal>
            <c:strRef>
              <c:f>'2022_Data'!$F$375</c:f>
            </c:strRef>
          </c:xVal>
          <c:yVal>
            <c:numRef>
              <c:f>'2022_Data'!$E$375</c:f>
              <c:numCache/>
            </c:numRef>
          </c:yVal>
          <c:bubbleSize>
            <c:numRef>
              <c:f>'2022_Data'!$G$375</c:f>
            </c:numRef>
          </c:bubbleSize>
        </c:ser>
        <c:ser>
          <c:idx val="375"/>
          <c:order val="375"/>
          <c:tx>
            <c:strRef>
              <c:f>'2022_Data'!$A$376</c:f>
            </c:strRef>
          </c:tx>
          <c:dLbls>
            <c:dLblPos val="ctr"/>
            <c:showLegendKey val="0"/>
            <c:showVal val="0"/>
            <c:showCatName val="0"/>
            <c:showSerName val="1"/>
            <c:showPercent val="0"/>
            <c:showBubbleSize val="0"/>
          </c:dLbls>
          <c:xVal>
            <c:strRef>
              <c:f>'2022_Data'!$F$376</c:f>
            </c:strRef>
          </c:xVal>
          <c:yVal>
            <c:numRef>
              <c:f>'2022_Data'!$E$376</c:f>
              <c:numCache/>
            </c:numRef>
          </c:yVal>
          <c:bubbleSize>
            <c:numRef>
              <c:f>'2022_Data'!$G$376</c:f>
            </c:numRef>
          </c:bubbleSize>
        </c:ser>
        <c:ser>
          <c:idx val="376"/>
          <c:order val="376"/>
          <c:tx>
            <c:strRef>
              <c:f>'2022_Data'!$A$377</c:f>
            </c:strRef>
          </c:tx>
          <c:dLbls>
            <c:dLblPos val="ctr"/>
            <c:showLegendKey val="0"/>
            <c:showVal val="0"/>
            <c:showCatName val="0"/>
            <c:showSerName val="1"/>
            <c:showPercent val="0"/>
            <c:showBubbleSize val="0"/>
          </c:dLbls>
          <c:xVal>
            <c:strRef>
              <c:f>'2022_Data'!$F$377</c:f>
            </c:strRef>
          </c:xVal>
          <c:yVal>
            <c:numRef>
              <c:f>'2022_Data'!$E$377</c:f>
              <c:numCache/>
            </c:numRef>
          </c:yVal>
          <c:bubbleSize>
            <c:numRef>
              <c:f>'2022_Data'!$G$377</c:f>
            </c:numRef>
          </c:bubbleSize>
        </c:ser>
        <c:ser>
          <c:idx val="377"/>
          <c:order val="377"/>
          <c:tx>
            <c:strRef>
              <c:f>'2022_Data'!$A$378</c:f>
            </c:strRef>
          </c:tx>
          <c:dLbls>
            <c:dLblPos val="ctr"/>
            <c:showLegendKey val="0"/>
            <c:showVal val="0"/>
            <c:showCatName val="0"/>
            <c:showSerName val="1"/>
            <c:showPercent val="0"/>
            <c:showBubbleSize val="0"/>
          </c:dLbls>
          <c:xVal>
            <c:strRef>
              <c:f>'2022_Data'!$F$378</c:f>
            </c:strRef>
          </c:xVal>
          <c:yVal>
            <c:numRef>
              <c:f>'2022_Data'!$E$378</c:f>
              <c:numCache/>
            </c:numRef>
          </c:yVal>
          <c:bubbleSize>
            <c:numRef>
              <c:f>'2022_Data'!$G$378</c:f>
            </c:numRef>
          </c:bubbleSize>
        </c:ser>
        <c:ser>
          <c:idx val="378"/>
          <c:order val="378"/>
          <c:tx>
            <c:strRef>
              <c:f>'2022_Data'!$A$379</c:f>
            </c:strRef>
          </c:tx>
          <c:dLbls>
            <c:dLblPos val="ctr"/>
            <c:showLegendKey val="0"/>
            <c:showVal val="0"/>
            <c:showCatName val="0"/>
            <c:showSerName val="1"/>
            <c:showPercent val="0"/>
            <c:showBubbleSize val="0"/>
          </c:dLbls>
          <c:xVal>
            <c:strRef>
              <c:f>'2022_Data'!$F$379</c:f>
            </c:strRef>
          </c:xVal>
          <c:yVal>
            <c:numRef>
              <c:f>'2022_Data'!$E$379</c:f>
              <c:numCache/>
            </c:numRef>
          </c:yVal>
          <c:bubbleSize>
            <c:numRef>
              <c:f>'2022_Data'!$G$379</c:f>
            </c:numRef>
          </c:bubbleSize>
        </c:ser>
        <c:ser>
          <c:idx val="379"/>
          <c:order val="379"/>
          <c:tx>
            <c:strRef>
              <c:f>'2022_Data'!$A$380</c:f>
            </c:strRef>
          </c:tx>
          <c:dLbls>
            <c:dLblPos val="ctr"/>
            <c:showLegendKey val="0"/>
            <c:showVal val="0"/>
            <c:showCatName val="0"/>
            <c:showSerName val="1"/>
            <c:showPercent val="0"/>
            <c:showBubbleSize val="0"/>
          </c:dLbls>
          <c:xVal>
            <c:strRef>
              <c:f>'2022_Data'!$F$380</c:f>
            </c:strRef>
          </c:xVal>
          <c:yVal>
            <c:numRef>
              <c:f>'2022_Data'!$E$380</c:f>
              <c:numCache/>
            </c:numRef>
          </c:yVal>
          <c:bubbleSize>
            <c:numRef>
              <c:f>'2022_Data'!$G$380</c:f>
            </c:numRef>
          </c:bubbleSize>
        </c:ser>
        <c:ser>
          <c:idx val="380"/>
          <c:order val="380"/>
          <c:tx>
            <c:strRef>
              <c:f>'2022_Data'!$A$381</c:f>
            </c:strRef>
          </c:tx>
          <c:dLbls>
            <c:dLblPos val="ctr"/>
            <c:showLegendKey val="0"/>
            <c:showVal val="0"/>
            <c:showCatName val="0"/>
            <c:showSerName val="1"/>
            <c:showPercent val="0"/>
            <c:showBubbleSize val="0"/>
          </c:dLbls>
          <c:xVal>
            <c:strRef>
              <c:f>'2022_Data'!$F$381</c:f>
            </c:strRef>
          </c:xVal>
          <c:yVal>
            <c:numRef>
              <c:f>'2022_Data'!$E$381</c:f>
              <c:numCache/>
            </c:numRef>
          </c:yVal>
          <c:bubbleSize>
            <c:numRef>
              <c:f>'2022_Data'!$G$381</c:f>
            </c:numRef>
          </c:bubbleSize>
        </c:ser>
        <c:ser>
          <c:idx val="381"/>
          <c:order val="381"/>
          <c:tx>
            <c:strRef>
              <c:f>'2022_Data'!$A$382</c:f>
            </c:strRef>
          </c:tx>
          <c:dLbls>
            <c:dLblPos val="ctr"/>
            <c:showLegendKey val="0"/>
            <c:showVal val="0"/>
            <c:showCatName val="0"/>
            <c:showSerName val="1"/>
            <c:showPercent val="0"/>
            <c:showBubbleSize val="0"/>
          </c:dLbls>
          <c:xVal>
            <c:strRef>
              <c:f>'2022_Data'!$F$382</c:f>
            </c:strRef>
          </c:xVal>
          <c:yVal>
            <c:numRef>
              <c:f>'2022_Data'!$E$382</c:f>
              <c:numCache/>
            </c:numRef>
          </c:yVal>
          <c:bubbleSize>
            <c:numRef>
              <c:f>'2022_Data'!$G$382</c:f>
            </c:numRef>
          </c:bubbleSize>
        </c:ser>
        <c:ser>
          <c:idx val="382"/>
          <c:order val="382"/>
          <c:tx>
            <c:strRef>
              <c:f>'2022_Data'!$A$383</c:f>
            </c:strRef>
          </c:tx>
          <c:dLbls>
            <c:dLblPos val="ctr"/>
            <c:showLegendKey val="0"/>
            <c:showVal val="0"/>
            <c:showCatName val="0"/>
            <c:showSerName val="1"/>
            <c:showPercent val="0"/>
            <c:showBubbleSize val="0"/>
          </c:dLbls>
          <c:xVal>
            <c:strRef>
              <c:f>'2022_Data'!$F$383</c:f>
            </c:strRef>
          </c:xVal>
          <c:yVal>
            <c:numRef>
              <c:f>'2022_Data'!$E$383</c:f>
              <c:numCache/>
            </c:numRef>
          </c:yVal>
          <c:bubbleSize>
            <c:numRef>
              <c:f>'2022_Data'!$G$383</c:f>
            </c:numRef>
          </c:bubbleSize>
        </c:ser>
        <c:ser>
          <c:idx val="383"/>
          <c:order val="383"/>
          <c:tx>
            <c:strRef>
              <c:f>'2022_Data'!$A$384</c:f>
            </c:strRef>
          </c:tx>
          <c:dLbls>
            <c:dLblPos val="ctr"/>
            <c:showLegendKey val="0"/>
            <c:showVal val="0"/>
            <c:showCatName val="0"/>
            <c:showSerName val="1"/>
            <c:showPercent val="0"/>
            <c:showBubbleSize val="0"/>
          </c:dLbls>
          <c:xVal>
            <c:strRef>
              <c:f>'2022_Data'!$F$384</c:f>
            </c:strRef>
          </c:xVal>
          <c:yVal>
            <c:numRef>
              <c:f>'2022_Data'!$E$384</c:f>
              <c:numCache/>
            </c:numRef>
          </c:yVal>
          <c:bubbleSize>
            <c:numRef>
              <c:f>'2022_Data'!$G$384</c:f>
            </c:numRef>
          </c:bubbleSize>
        </c:ser>
        <c:ser>
          <c:idx val="384"/>
          <c:order val="384"/>
          <c:tx>
            <c:strRef>
              <c:f>'2022_Data'!$A$385</c:f>
            </c:strRef>
          </c:tx>
          <c:dLbls>
            <c:dLblPos val="ctr"/>
            <c:showLegendKey val="0"/>
            <c:showVal val="0"/>
            <c:showCatName val="0"/>
            <c:showSerName val="1"/>
            <c:showPercent val="0"/>
            <c:showBubbleSize val="0"/>
          </c:dLbls>
          <c:xVal>
            <c:strRef>
              <c:f>'2022_Data'!$F$385</c:f>
            </c:strRef>
          </c:xVal>
          <c:yVal>
            <c:numRef>
              <c:f>'2022_Data'!$E$385</c:f>
              <c:numCache/>
            </c:numRef>
          </c:yVal>
          <c:bubbleSize>
            <c:numRef>
              <c:f>'2022_Data'!$G$385</c:f>
            </c:numRef>
          </c:bubbleSize>
        </c:ser>
        <c:ser>
          <c:idx val="385"/>
          <c:order val="385"/>
          <c:tx>
            <c:strRef>
              <c:f>'2022_Data'!$A$386</c:f>
            </c:strRef>
          </c:tx>
          <c:dLbls>
            <c:dLblPos val="ctr"/>
            <c:showLegendKey val="0"/>
            <c:showVal val="0"/>
            <c:showCatName val="0"/>
            <c:showSerName val="1"/>
            <c:showPercent val="0"/>
            <c:showBubbleSize val="0"/>
          </c:dLbls>
          <c:xVal>
            <c:strRef>
              <c:f>'2022_Data'!$F$386</c:f>
            </c:strRef>
          </c:xVal>
          <c:yVal>
            <c:numRef>
              <c:f>'2022_Data'!$E$386</c:f>
              <c:numCache/>
            </c:numRef>
          </c:yVal>
          <c:bubbleSize>
            <c:numRef>
              <c:f>'2022_Data'!$G$386</c:f>
            </c:numRef>
          </c:bubbleSize>
        </c:ser>
        <c:ser>
          <c:idx val="386"/>
          <c:order val="386"/>
          <c:tx>
            <c:strRef>
              <c:f>'2022_Data'!$A$387</c:f>
            </c:strRef>
          </c:tx>
          <c:dLbls>
            <c:dLblPos val="ctr"/>
            <c:showLegendKey val="0"/>
            <c:showVal val="0"/>
            <c:showCatName val="0"/>
            <c:showSerName val="1"/>
            <c:showPercent val="0"/>
            <c:showBubbleSize val="0"/>
          </c:dLbls>
          <c:xVal>
            <c:strRef>
              <c:f>'2022_Data'!$F$387</c:f>
            </c:strRef>
          </c:xVal>
          <c:yVal>
            <c:numRef>
              <c:f>'2022_Data'!$E$387</c:f>
              <c:numCache/>
            </c:numRef>
          </c:yVal>
          <c:bubbleSize>
            <c:numRef>
              <c:f>'2022_Data'!$G$387</c:f>
            </c:numRef>
          </c:bubbleSize>
        </c:ser>
        <c:ser>
          <c:idx val="387"/>
          <c:order val="387"/>
          <c:tx>
            <c:strRef>
              <c:f>'2022_Data'!$A$388</c:f>
            </c:strRef>
          </c:tx>
          <c:dLbls>
            <c:dLblPos val="ctr"/>
            <c:showLegendKey val="0"/>
            <c:showVal val="0"/>
            <c:showCatName val="0"/>
            <c:showSerName val="1"/>
            <c:showPercent val="0"/>
            <c:showBubbleSize val="0"/>
          </c:dLbls>
          <c:xVal>
            <c:strRef>
              <c:f>'2022_Data'!$F$388</c:f>
            </c:strRef>
          </c:xVal>
          <c:yVal>
            <c:numRef>
              <c:f>'2022_Data'!$E$388</c:f>
              <c:numCache/>
            </c:numRef>
          </c:yVal>
          <c:bubbleSize>
            <c:numRef>
              <c:f>'2022_Data'!$G$388</c:f>
            </c:numRef>
          </c:bubbleSize>
        </c:ser>
        <c:ser>
          <c:idx val="388"/>
          <c:order val="388"/>
          <c:tx>
            <c:strRef>
              <c:f>'2022_Data'!$A$389</c:f>
            </c:strRef>
          </c:tx>
          <c:dLbls>
            <c:dLblPos val="ctr"/>
            <c:showLegendKey val="0"/>
            <c:showVal val="0"/>
            <c:showCatName val="0"/>
            <c:showSerName val="1"/>
            <c:showPercent val="0"/>
            <c:showBubbleSize val="0"/>
          </c:dLbls>
          <c:xVal>
            <c:strRef>
              <c:f>'2022_Data'!$F$389</c:f>
            </c:strRef>
          </c:xVal>
          <c:yVal>
            <c:numRef>
              <c:f>'2022_Data'!$E$389</c:f>
              <c:numCache/>
            </c:numRef>
          </c:yVal>
          <c:bubbleSize>
            <c:numRef>
              <c:f>'2022_Data'!$G$389</c:f>
            </c:numRef>
          </c:bubbleSize>
        </c:ser>
        <c:ser>
          <c:idx val="389"/>
          <c:order val="389"/>
          <c:tx>
            <c:strRef>
              <c:f>'2022_Data'!$A$390</c:f>
            </c:strRef>
          </c:tx>
          <c:dLbls>
            <c:dLblPos val="ctr"/>
            <c:showLegendKey val="0"/>
            <c:showVal val="0"/>
            <c:showCatName val="0"/>
            <c:showSerName val="1"/>
            <c:showPercent val="0"/>
            <c:showBubbleSize val="0"/>
          </c:dLbls>
          <c:xVal>
            <c:strRef>
              <c:f>'2022_Data'!$F$390</c:f>
            </c:strRef>
          </c:xVal>
          <c:yVal>
            <c:numRef>
              <c:f>'2022_Data'!$E$390</c:f>
              <c:numCache/>
            </c:numRef>
          </c:yVal>
          <c:bubbleSize>
            <c:numRef>
              <c:f>'2022_Data'!$G$390</c:f>
            </c:numRef>
          </c:bubbleSize>
        </c:ser>
        <c:ser>
          <c:idx val="390"/>
          <c:order val="390"/>
          <c:tx>
            <c:strRef>
              <c:f>'2022_Data'!$A$391</c:f>
            </c:strRef>
          </c:tx>
          <c:dLbls>
            <c:dLblPos val="ctr"/>
            <c:showLegendKey val="0"/>
            <c:showVal val="0"/>
            <c:showCatName val="0"/>
            <c:showSerName val="1"/>
            <c:showPercent val="0"/>
            <c:showBubbleSize val="0"/>
          </c:dLbls>
          <c:xVal>
            <c:strRef>
              <c:f>'2022_Data'!$F$391</c:f>
            </c:strRef>
          </c:xVal>
          <c:yVal>
            <c:numRef>
              <c:f>'2022_Data'!$E$391</c:f>
              <c:numCache/>
            </c:numRef>
          </c:yVal>
          <c:bubbleSize>
            <c:numRef>
              <c:f>'2022_Data'!$G$391</c:f>
            </c:numRef>
          </c:bubbleSize>
        </c:ser>
        <c:ser>
          <c:idx val="391"/>
          <c:order val="391"/>
          <c:tx>
            <c:strRef>
              <c:f>'2022_Data'!$A$392</c:f>
            </c:strRef>
          </c:tx>
          <c:dLbls>
            <c:dLblPos val="ctr"/>
            <c:showLegendKey val="0"/>
            <c:showVal val="0"/>
            <c:showCatName val="0"/>
            <c:showSerName val="1"/>
            <c:showPercent val="0"/>
            <c:showBubbleSize val="0"/>
          </c:dLbls>
          <c:xVal>
            <c:strRef>
              <c:f>'2022_Data'!$F$392</c:f>
            </c:strRef>
          </c:xVal>
          <c:yVal>
            <c:numRef>
              <c:f>'2022_Data'!$E$392</c:f>
              <c:numCache/>
            </c:numRef>
          </c:yVal>
          <c:bubbleSize>
            <c:numRef>
              <c:f>'2022_Data'!$G$392</c:f>
            </c:numRef>
          </c:bubbleSize>
        </c:ser>
        <c:ser>
          <c:idx val="392"/>
          <c:order val="392"/>
          <c:tx>
            <c:strRef>
              <c:f>'2022_Data'!$A$393</c:f>
            </c:strRef>
          </c:tx>
          <c:dLbls>
            <c:dLblPos val="ctr"/>
            <c:showLegendKey val="0"/>
            <c:showVal val="0"/>
            <c:showCatName val="0"/>
            <c:showSerName val="1"/>
            <c:showPercent val="0"/>
            <c:showBubbleSize val="0"/>
          </c:dLbls>
          <c:xVal>
            <c:strRef>
              <c:f>'2022_Data'!$F$393</c:f>
            </c:strRef>
          </c:xVal>
          <c:yVal>
            <c:numRef>
              <c:f>'2022_Data'!$E$393</c:f>
              <c:numCache/>
            </c:numRef>
          </c:yVal>
          <c:bubbleSize>
            <c:numRef>
              <c:f>'2022_Data'!$G$393</c:f>
            </c:numRef>
          </c:bubbleSize>
        </c:ser>
        <c:ser>
          <c:idx val="393"/>
          <c:order val="393"/>
          <c:tx>
            <c:strRef>
              <c:f>'2022_Data'!$A$394</c:f>
            </c:strRef>
          </c:tx>
          <c:dLbls>
            <c:dLblPos val="ctr"/>
            <c:showLegendKey val="0"/>
            <c:showVal val="0"/>
            <c:showCatName val="0"/>
            <c:showSerName val="1"/>
            <c:showPercent val="0"/>
            <c:showBubbleSize val="0"/>
          </c:dLbls>
          <c:xVal>
            <c:strRef>
              <c:f>'2022_Data'!$F$394</c:f>
            </c:strRef>
          </c:xVal>
          <c:yVal>
            <c:numRef>
              <c:f>'2022_Data'!$E$394</c:f>
              <c:numCache/>
            </c:numRef>
          </c:yVal>
          <c:bubbleSize>
            <c:numRef>
              <c:f>'2022_Data'!$G$394</c:f>
            </c:numRef>
          </c:bubbleSize>
        </c:ser>
        <c:ser>
          <c:idx val="394"/>
          <c:order val="394"/>
          <c:tx>
            <c:strRef>
              <c:f>'2022_Data'!$A$395</c:f>
            </c:strRef>
          </c:tx>
          <c:dLbls>
            <c:dLblPos val="ctr"/>
            <c:showLegendKey val="0"/>
            <c:showVal val="0"/>
            <c:showCatName val="0"/>
            <c:showSerName val="1"/>
            <c:showPercent val="0"/>
            <c:showBubbleSize val="0"/>
          </c:dLbls>
          <c:xVal>
            <c:strRef>
              <c:f>'2022_Data'!$F$395</c:f>
            </c:strRef>
          </c:xVal>
          <c:yVal>
            <c:numRef>
              <c:f>'2022_Data'!$E$395</c:f>
              <c:numCache/>
            </c:numRef>
          </c:yVal>
          <c:bubbleSize>
            <c:numRef>
              <c:f>'2022_Data'!$G$395</c:f>
            </c:numRef>
          </c:bubbleSize>
        </c:ser>
        <c:ser>
          <c:idx val="395"/>
          <c:order val="395"/>
          <c:tx>
            <c:strRef>
              <c:f>'2022_Data'!$A$396</c:f>
            </c:strRef>
          </c:tx>
          <c:dLbls>
            <c:dLblPos val="ctr"/>
            <c:showLegendKey val="0"/>
            <c:showVal val="0"/>
            <c:showCatName val="0"/>
            <c:showSerName val="1"/>
            <c:showPercent val="0"/>
            <c:showBubbleSize val="0"/>
          </c:dLbls>
          <c:xVal>
            <c:strRef>
              <c:f>'2022_Data'!$F$396</c:f>
            </c:strRef>
          </c:xVal>
          <c:yVal>
            <c:numRef>
              <c:f>'2022_Data'!$E$396</c:f>
              <c:numCache/>
            </c:numRef>
          </c:yVal>
          <c:bubbleSize>
            <c:numRef>
              <c:f>'2022_Data'!$G$396</c:f>
            </c:numRef>
          </c:bubbleSize>
        </c:ser>
        <c:ser>
          <c:idx val="396"/>
          <c:order val="396"/>
          <c:tx>
            <c:strRef>
              <c:f>'2022_Data'!$A$397</c:f>
            </c:strRef>
          </c:tx>
          <c:dLbls>
            <c:dLblPos val="ctr"/>
            <c:showLegendKey val="0"/>
            <c:showVal val="0"/>
            <c:showCatName val="0"/>
            <c:showSerName val="1"/>
            <c:showPercent val="0"/>
            <c:showBubbleSize val="0"/>
          </c:dLbls>
          <c:xVal>
            <c:strRef>
              <c:f>'2022_Data'!$F$397</c:f>
            </c:strRef>
          </c:xVal>
          <c:yVal>
            <c:numRef>
              <c:f>'2022_Data'!$E$397</c:f>
              <c:numCache/>
            </c:numRef>
          </c:yVal>
          <c:bubbleSize>
            <c:numRef>
              <c:f>'2022_Data'!$G$397</c:f>
            </c:numRef>
          </c:bubbleSize>
        </c:ser>
        <c:ser>
          <c:idx val="397"/>
          <c:order val="397"/>
          <c:tx>
            <c:strRef>
              <c:f>'2022_Data'!$A$398</c:f>
            </c:strRef>
          </c:tx>
          <c:dLbls>
            <c:dLblPos val="ctr"/>
            <c:showLegendKey val="0"/>
            <c:showVal val="0"/>
            <c:showCatName val="0"/>
            <c:showSerName val="1"/>
            <c:showPercent val="0"/>
            <c:showBubbleSize val="0"/>
          </c:dLbls>
          <c:xVal>
            <c:strRef>
              <c:f>'2022_Data'!$F$398</c:f>
            </c:strRef>
          </c:xVal>
          <c:yVal>
            <c:numRef>
              <c:f>'2022_Data'!$E$398</c:f>
              <c:numCache/>
            </c:numRef>
          </c:yVal>
          <c:bubbleSize>
            <c:numRef>
              <c:f>'2022_Data'!$G$398</c:f>
            </c:numRef>
          </c:bubbleSize>
        </c:ser>
        <c:ser>
          <c:idx val="398"/>
          <c:order val="398"/>
          <c:tx>
            <c:strRef>
              <c:f>'2022_Data'!$A$399</c:f>
            </c:strRef>
          </c:tx>
          <c:dLbls>
            <c:dLblPos val="ctr"/>
            <c:showLegendKey val="0"/>
            <c:showVal val="0"/>
            <c:showCatName val="0"/>
            <c:showSerName val="1"/>
            <c:showPercent val="0"/>
            <c:showBubbleSize val="0"/>
          </c:dLbls>
          <c:xVal>
            <c:strRef>
              <c:f>'2022_Data'!$F$399</c:f>
            </c:strRef>
          </c:xVal>
          <c:yVal>
            <c:numRef>
              <c:f>'2022_Data'!$E$399</c:f>
              <c:numCache/>
            </c:numRef>
          </c:yVal>
          <c:bubbleSize>
            <c:numRef>
              <c:f>'2022_Data'!$G$399</c:f>
            </c:numRef>
          </c:bubbleSize>
        </c:ser>
        <c:ser>
          <c:idx val="399"/>
          <c:order val="399"/>
          <c:tx>
            <c:strRef>
              <c:f>'2022_Data'!$A$400</c:f>
            </c:strRef>
          </c:tx>
          <c:dLbls>
            <c:dLblPos val="ctr"/>
            <c:showLegendKey val="0"/>
            <c:showVal val="0"/>
            <c:showCatName val="0"/>
            <c:showSerName val="1"/>
            <c:showPercent val="0"/>
            <c:showBubbleSize val="0"/>
          </c:dLbls>
          <c:xVal>
            <c:strRef>
              <c:f>'2022_Data'!$F$400</c:f>
            </c:strRef>
          </c:xVal>
          <c:yVal>
            <c:numRef>
              <c:f>'2022_Data'!$E$400</c:f>
              <c:numCache/>
            </c:numRef>
          </c:yVal>
          <c:bubbleSize>
            <c:numRef>
              <c:f>'2022_Data'!$G$400</c:f>
            </c:numRef>
          </c:bubbleSize>
        </c:ser>
        <c:ser>
          <c:idx val="400"/>
          <c:order val="400"/>
          <c:tx>
            <c:strRef>
              <c:f>'2022_Data'!$A$401</c:f>
            </c:strRef>
          </c:tx>
          <c:dLbls>
            <c:dLblPos val="ctr"/>
            <c:showLegendKey val="0"/>
            <c:showVal val="0"/>
            <c:showCatName val="0"/>
            <c:showSerName val="1"/>
            <c:showPercent val="0"/>
            <c:showBubbleSize val="0"/>
          </c:dLbls>
          <c:xVal>
            <c:strRef>
              <c:f>'2022_Data'!$F$401</c:f>
            </c:strRef>
          </c:xVal>
          <c:yVal>
            <c:numRef>
              <c:f>'2022_Data'!$E$401</c:f>
              <c:numCache/>
            </c:numRef>
          </c:yVal>
          <c:bubbleSize>
            <c:numRef>
              <c:f>'2022_Data'!$G$401</c:f>
            </c:numRef>
          </c:bubbleSize>
        </c:ser>
        <c:ser>
          <c:idx val="401"/>
          <c:order val="401"/>
          <c:tx>
            <c:strRef>
              <c:f>'2022_Data'!$A$402</c:f>
            </c:strRef>
          </c:tx>
          <c:dLbls>
            <c:dLblPos val="ctr"/>
            <c:showLegendKey val="0"/>
            <c:showVal val="0"/>
            <c:showCatName val="0"/>
            <c:showSerName val="1"/>
            <c:showPercent val="0"/>
            <c:showBubbleSize val="0"/>
          </c:dLbls>
          <c:xVal>
            <c:strRef>
              <c:f>'2022_Data'!$F$402</c:f>
            </c:strRef>
          </c:xVal>
          <c:yVal>
            <c:numRef>
              <c:f>'2022_Data'!$E$402</c:f>
              <c:numCache/>
            </c:numRef>
          </c:yVal>
          <c:bubbleSize>
            <c:numRef>
              <c:f>'2022_Data'!$G$402</c:f>
            </c:numRef>
          </c:bubbleSize>
        </c:ser>
        <c:ser>
          <c:idx val="402"/>
          <c:order val="402"/>
          <c:tx>
            <c:strRef>
              <c:f>'2022_Data'!$A$403</c:f>
            </c:strRef>
          </c:tx>
          <c:dLbls>
            <c:dLblPos val="ctr"/>
            <c:showLegendKey val="0"/>
            <c:showVal val="0"/>
            <c:showCatName val="0"/>
            <c:showSerName val="1"/>
            <c:showPercent val="0"/>
            <c:showBubbleSize val="0"/>
          </c:dLbls>
          <c:xVal>
            <c:strRef>
              <c:f>'2022_Data'!$F$403</c:f>
            </c:strRef>
          </c:xVal>
          <c:yVal>
            <c:numRef>
              <c:f>'2022_Data'!$E$403</c:f>
              <c:numCache/>
            </c:numRef>
          </c:yVal>
          <c:bubbleSize>
            <c:numRef>
              <c:f>'2022_Data'!$G$403</c:f>
            </c:numRef>
          </c:bubbleSize>
        </c:ser>
        <c:ser>
          <c:idx val="403"/>
          <c:order val="403"/>
          <c:tx>
            <c:strRef>
              <c:f>'2022_Data'!$A$404</c:f>
            </c:strRef>
          </c:tx>
          <c:dLbls>
            <c:dLblPos val="ctr"/>
            <c:showLegendKey val="0"/>
            <c:showVal val="0"/>
            <c:showCatName val="0"/>
            <c:showSerName val="1"/>
            <c:showPercent val="0"/>
            <c:showBubbleSize val="0"/>
          </c:dLbls>
          <c:xVal>
            <c:strRef>
              <c:f>'2022_Data'!$F$404</c:f>
            </c:strRef>
          </c:xVal>
          <c:yVal>
            <c:numRef>
              <c:f>'2022_Data'!$E$404</c:f>
              <c:numCache/>
            </c:numRef>
          </c:yVal>
          <c:bubbleSize>
            <c:numRef>
              <c:f>'2022_Data'!$G$404</c:f>
            </c:numRef>
          </c:bubbleSize>
        </c:ser>
        <c:ser>
          <c:idx val="404"/>
          <c:order val="404"/>
          <c:tx>
            <c:strRef>
              <c:f>'2022_Data'!$A$405</c:f>
            </c:strRef>
          </c:tx>
          <c:dLbls>
            <c:dLblPos val="ctr"/>
            <c:showLegendKey val="0"/>
            <c:showVal val="0"/>
            <c:showCatName val="0"/>
            <c:showSerName val="1"/>
            <c:showPercent val="0"/>
            <c:showBubbleSize val="0"/>
          </c:dLbls>
          <c:xVal>
            <c:strRef>
              <c:f>'2022_Data'!$F$405</c:f>
            </c:strRef>
          </c:xVal>
          <c:yVal>
            <c:numRef>
              <c:f>'2022_Data'!$E$405</c:f>
              <c:numCache/>
            </c:numRef>
          </c:yVal>
          <c:bubbleSize>
            <c:numRef>
              <c:f>'2022_Data'!$G$405</c:f>
            </c:numRef>
          </c:bubbleSize>
        </c:ser>
        <c:ser>
          <c:idx val="405"/>
          <c:order val="405"/>
          <c:tx>
            <c:strRef>
              <c:f>'2022_Data'!$A$406</c:f>
            </c:strRef>
          </c:tx>
          <c:dLbls>
            <c:dLblPos val="ctr"/>
            <c:showLegendKey val="0"/>
            <c:showVal val="0"/>
            <c:showCatName val="0"/>
            <c:showSerName val="1"/>
            <c:showPercent val="0"/>
            <c:showBubbleSize val="0"/>
          </c:dLbls>
          <c:xVal>
            <c:strRef>
              <c:f>'2022_Data'!$F$406</c:f>
            </c:strRef>
          </c:xVal>
          <c:yVal>
            <c:numRef>
              <c:f>'2022_Data'!$E$406</c:f>
              <c:numCache/>
            </c:numRef>
          </c:yVal>
          <c:bubbleSize>
            <c:numRef>
              <c:f>'2022_Data'!$G$406</c:f>
            </c:numRef>
          </c:bubbleSize>
        </c:ser>
        <c:ser>
          <c:idx val="406"/>
          <c:order val="406"/>
          <c:tx>
            <c:strRef>
              <c:f>'2022_Data'!$A$407</c:f>
            </c:strRef>
          </c:tx>
          <c:dLbls>
            <c:dLblPos val="ctr"/>
            <c:showLegendKey val="0"/>
            <c:showVal val="0"/>
            <c:showCatName val="0"/>
            <c:showSerName val="1"/>
            <c:showPercent val="0"/>
            <c:showBubbleSize val="0"/>
          </c:dLbls>
          <c:xVal>
            <c:strRef>
              <c:f>'2022_Data'!$F$407</c:f>
            </c:strRef>
          </c:xVal>
          <c:yVal>
            <c:numRef>
              <c:f>'2022_Data'!$E$407</c:f>
              <c:numCache/>
            </c:numRef>
          </c:yVal>
          <c:bubbleSize>
            <c:numRef>
              <c:f>'2022_Data'!$G$407</c:f>
            </c:numRef>
          </c:bubbleSize>
        </c:ser>
        <c:ser>
          <c:idx val="407"/>
          <c:order val="407"/>
          <c:tx>
            <c:strRef>
              <c:f>'2022_Data'!$A$408</c:f>
            </c:strRef>
          </c:tx>
          <c:dLbls>
            <c:dLblPos val="ctr"/>
            <c:showLegendKey val="0"/>
            <c:showVal val="0"/>
            <c:showCatName val="0"/>
            <c:showSerName val="1"/>
            <c:showPercent val="0"/>
            <c:showBubbleSize val="0"/>
          </c:dLbls>
          <c:xVal>
            <c:strRef>
              <c:f>'2022_Data'!$F$408</c:f>
            </c:strRef>
          </c:xVal>
          <c:yVal>
            <c:numRef>
              <c:f>'2022_Data'!$E$408</c:f>
              <c:numCache/>
            </c:numRef>
          </c:yVal>
          <c:bubbleSize>
            <c:numRef>
              <c:f>'2022_Data'!$G$408</c:f>
            </c:numRef>
          </c:bubbleSize>
        </c:ser>
        <c:ser>
          <c:idx val="408"/>
          <c:order val="408"/>
          <c:tx>
            <c:strRef>
              <c:f>'2022_Data'!$A$409</c:f>
            </c:strRef>
          </c:tx>
          <c:dLbls>
            <c:dLblPos val="ctr"/>
            <c:showLegendKey val="0"/>
            <c:showVal val="0"/>
            <c:showCatName val="0"/>
            <c:showSerName val="1"/>
            <c:showPercent val="0"/>
            <c:showBubbleSize val="0"/>
          </c:dLbls>
          <c:xVal>
            <c:strRef>
              <c:f>'2022_Data'!$F$409</c:f>
            </c:strRef>
          </c:xVal>
          <c:yVal>
            <c:numRef>
              <c:f>'2022_Data'!$E$409</c:f>
              <c:numCache/>
            </c:numRef>
          </c:yVal>
          <c:bubbleSize>
            <c:numRef>
              <c:f>'2022_Data'!$G$409</c:f>
            </c:numRef>
          </c:bubbleSize>
        </c:ser>
        <c:ser>
          <c:idx val="409"/>
          <c:order val="409"/>
          <c:tx>
            <c:strRef>
              <c:f>'2022_Data'!$A$410</c:f>
            </c:strRef>
          </c:tx>
          <c:dLbls>
            <c:dLblPos val="ctr"/>
            <c:showLegendKey val="0"/>
            <c:showVal val="0"/>
            <c:showCatName val="0"/>
            <c:showSerName val="1"/>
            <c:showPercent val="0"/>
            <c:showBubbleSize val="0"/>
          </c:dLbls>
          <c:xVal>
            <c:strRef>
              <c:f>'2022_Data'!$F$410</c:f>
            </c:strRef>
          </c:xVal>
          <c:yVal>
            <c:numRef>
              <c:f>'2022_Data'!$E$410</c:f>
              <c:numCache/>
            </c:numRef>
          </c:yVal>
          <c:bubbleSize>
            <c:numRef>
              <c:f>'2022_Data'!$G$410</c:f>
            </c:numRef>
          </c:bubbleSize>
        </c:ser>
        <c:ser>
          <c:idx val="410"/>
          <c:order val="410"/>
          <c:tx>
            <c:strRef>
              <c:f>'2022_Data'!$A$411</c:f>
            </c:strRef>
          </c:tx>
          <c:dLbls>
            <c:dLblPos val="ctr"/>
            <c:showLegendKey val="0"/>
            <c:showVal val="0"/>
            <c:showCatName val="0"/>
            <c:showSerName val="1"/>
            <c:showPercent val="0"/>
            <c:showBubbleSize val="0"/>
          </c:dLbls>
          <c:xVal>
            <c:strRef>
              <c:f>'2022_Data'!$F$411</c:f>
            </c:strRef>
          </c:xVal>
          <c:yVal>
            <c:numRef>
              <c:f>'2022_Data'!$E$411</c:f>
              <c:numCache/>
            </c:numRef>
          </c:yVal>
          <c:bubbleSize>
            <c:numRef>
              <c:f>'2022_Data'!$G$411</c:f>
            </c:numRef>
          </c:bubbleSize>
        </c:ser>
        <c:ser>
          <c:idx val="411"/>
          <c:order val="411"/>
          <c:tx>
            <c:strRef>
              <c:f>'2022_Data'!$A$412</c:f>
            </c:strRef>
          </c:tx>
          <c:dLbls>
            <c:dLblPos val="ctr"/>
            <c:showLegendKey val="0"/>
            <c:showVal val="0"/>
            <c:showCatName val="0"/>
            <c:showSerName val="1"/>
            <c:showPercent val="0"/>
            <c:showBubbleSize val="0"/>
          </c:dLbls>
          <c:xVal>
            <c:strRef>
              <c:f>'2022_Data'!$F$412</c:f>
            </c:strRef>
          </c:xVal>
          <c:yVal>
            <c:numRef>
              <c:f>'2022_Data'!$E$412</c:f>
              <c:numCache/>
            </c:numRef>
          </c:yVal>
          <c:bubbleSize>
            <c:numRef>
              <c:f>'2022_Data'!$G$412</c:f>
            </c:numRef>
          </c:bubbleSize>
        </c:ser>
        <c:ser>
          <c:idx val="412"/>
          <c:order val="412"/>
          <c:tx>
            <c:strRef>
              <c:f>'2022_Data'!$A$413</c:f>
            </c:strRef>
          </c:tx>
          <c:dLbls>
            <c:dLblPos val="ctr"/>
            <c:showLegendKey val="0"/>
            <c:showVal val="0"/>
            <c:showCatName val="0"/>
            <c:showSerName val="1"/>
            <c:showPercent val="0"/>
            <c:showBubbleSize val="0"/>
          </c:dLbls>
          <c:xVal>
            <c:strRef>
              <c:f>'2022_Data'!$F$413</c:f>
            </c:strRef>
          </c:xVal>
          <c:yVal>
            <c:numRef>
              <c:f>'2022_Data'!$E$413</c:f>
              <c:numCache/>
            </c:numRef>
          </c:yVal>
          <c:bubbleSize>
            <c:numRef>
              <c:f>'2022_Data'!$G$413</c:f>
            </c:numRef>
          </c:bubbleSize>
        </c:ser>
        <c:ser>
          <c:idx val="413"/>
          <c:order val="413"/>
          <c:tx>
            <c:strRef>
              <c:f>'2022_Data'!$A$414</c:f>
            </c:strRef>
          </c:tx>
          <c:dLbls>
            <c:dLblPos val="ctr"/>
            <c:showLegendKey val="0"/>
            <c:showVal val="0"/>
            <c:showCatName val="0"/>
            <c:showSerName val="1"/>
            <c:showPercent val="0"/>
            <c:showBubbleSize val="0"/>
          </c:dLbls>
          <c:xVal>
            <c:strRef>
              <c:f>'2022_Data'!$F$414</c:f>
            </c:strRef>
          </c:xVal>
          <c:yVal>
            <c:numRef>
              <c:f>'2022_Data'!$E$414</c:f>
              <c:numCache/>
            </c:numRef>
          </c:yVal>
          <c:bubbleSize>
            <c:numRef>
              <c:f>'2022_Data'!$G$414</c:f>
            </c:numRef>
          </c:bubbleSize>
        </c:ser>
        <c:ser>
          <c:idx val="414"/>
          <c:order val="414"/>
          <c:tx>
            <c:strRef>
              <c:f>'2022_Data'!$A$415</c:f>
            </c:strRef>
          </c:tx>
          <c:dLbls>
            <c:dLblPos val="ctr"/>
            <c:showLegendKey val="0"/>
            <c:showVal val="0"/>
            <c:showCatName val="0"/>
            <c:showSerName val="1"/>
            <c:showPercent val="0"/>
            <c:showBubbleSize val="0"/>
          </c:dLbls>
          <c:xVal>
            <c:strRef>
              <c:f>'2022_Data'!$F$415</c:f>
            </c:strRef>
          </c:xVal>
          <c:yVal>
            <c:numRef>
              <c:f>'2022_Data'!$E$415</c:f>
              <c:numCache/>
            </c:numRef>
          </c:yVal>
          <c:bubbleSize>
            <c:numRef>
              <c:f>'2022_Data'!$G$415</c:f>
            </c:numRef>
          </c:bubbleSize>
        </c:ser>
        <c:ser>
          <c:idx val="415"/>
          <c:order val="415"/>
          <c:tx>
            <c:strRef>
              <c:f>'2022_Data'!$A$416</c:f>
            </c:strRef>
          </c:tx>
          <c:dLbls>
            <c:dLblPos val="ctr"/>
            <c:showLegendKey val="0"/>
            <c:showVal val="0"/>
            <c:showCatName val="0"/>
            <c:showSerName val="1"/>
            <c:showPercent val="0"/>
            <c:showBubbleSize val="0"/>
          </c:dLbls>
          <c:xVal>
            <c:strRef>
              <c:f>'2022_Data'!$F$416</c:f>
            </c:strRef>
          </c:xVal>
          <c:yVal>
            <c:numRef>
              <c:f>'2022_Data'!$E$416</c:f>
              <c:numCache/>
            </c:numRef>
          </c:yVal>
          <c:bubbleSize>
            <c:numRef>
              <c:f>'2022_Data'!$G$416</c:f>
            </c:numRef>
          </c:bubbleSize>
        </c:ser>
        <c:ser>
          <c:idx val="416"/>
          <c:order val="416"/>
          <c:tx>
            <c:strRef>
              <c:f>'2022_Data'!$A$417</c:f>
            </c:strRef>
          </c:tx>
          <c:dLbls>
            <c:dLblPos val="ctr"/>
            <c:showLegendKey val="0"/>
            <c:showVal val="0"/>
            <c:showCatName val="0"/>
            <c:showSerName val="1"/>
            <c:showPercent val="0"/>
            <c:showBubbleSize val="0"/>
          </c:dLbls>
          <c:xVal>
            <c:strRef>
              <c:f>'2022_Data'!$F$417</c:f>
            </c:strRef>
          </c:xVal>
          <c:yVal>
            <c:numRef>
              <c:f>'2022_Data'!$E$417</c:f>
              <c:numCache/>
            </c:numRef>
          </c:yVal>
          <c:bubbleSize>
            <c:numRef>
              <c:f>'2022_Data'!$G$417</c:f>
            </c:numRef>
          </c:bubbleSize>
        </c:ser>
        <c:ser>
          <c:idx val="417"/>
          <c:order val="417"/>
          <c:tx>
            <c:strRef>
              <c:f>'2022_Data'!$A$418</c:f>
            </c:strRef>
          </c:tx>
          <c:dLbls>
            <c:dLblPos val="ctr"/>
            <c:showLegendKey val="0"/>
            <c:showVal val="0"/>
            <c:showCatName val="0"/>
            <c:showSerName val="1"/>
            <c:showPercent val="0"/>
            <c:showBubbleSize val="0"/>
          </c:dLbls>
          <c:xVal>
            <c:strRef>
              <c:f>'2022_Data'!$F$418</c:f>
            </c:strRef>
          </c:xVal>
          <c:yVal>
            <c:numRef>
              <c:f>'2022_Data'!$E$418</c:f>
              <c:numCache/>
            </c:numRef>
          </c:yVal>
          <c:bubbleSize>
            <c:numRef>
              <c:f>'2022_Data'!$G$418</c:f>
            </c:numRef>
          </c:bubbleSize>
        </c:ser>
        <c:ser>
          <c:idx val="418"/>
          <c:order val="418"/>
          <c:tx>
            <c:strRef>
              <c:f>'2022_Data'!$A$419</c:f>
            </c:strRef>
          </c:tx>
          <c:dLbls>
            <c:dLblPos val="ctr"/>
            <c:showLegendKey val="0"/>
            <c:showVal val="0"/>
            <c:showCatName val="0"/>
            <c:showSerName val="1"/>
            <c:showPercent val="0"/>
            <c:showBubbleSize val="0"/>
          </c:dLbls>
          <c:xVal>
            <c:strRef>
              <c:f>'2022_Data'!$F$419</c:f>
            </c:strRef>
          </c:xVal>
          <c:yVal>
            <c:numRef>
              <c:f>'2022_Data'!$E$419</c:f>
              <c:numCache/>
            </c:numRef>
          </c:yVal>
          <c:bubbleSize>
            <c:numRef>
              <c:f>'2022_Data'!$G$419</c:f>
            </c:numRef>
          </c:bubbleSize>
        </c:ser>
        <c:ser>
          <c:idx val="419"/>
          <c:order val="419"/>
          <c:tx>
            <c:strRef>
              <c:f>'2022_Data'!$A$420</c:f>
            </c:strRef>
          </c:tx>
          <c:dLbls>
            <c:dLblPos val="ctr"/>
            <c:showLegendKey val="0"/>
            <c:showVal val="0"/>
            <c:showCatName val="0"/>
            <c:showSerName val="1"/>
            <c:showPercent val="0"/>
            <c:showBubbleSize val="0"/>
          </c:dLbls>
          <c:xVal>
            <c:strRef>
              <c:f>'2022_Data'!$F$420</c:f>
            </c:strRef>
          </c:xVal>
          <c:yVal>
            <c:numRef>
              <c:f>'2022_Data'!$E$420</c:f>
              <c:numCache/>
            </c:numRef>
          </c:yVal>
          <c:bubbleSize>
            <c:numRef>
              <c:f>'2022_Data'!$G$420</c:f>
            </c:numRef>
          </c:bubbleSize>
        </c:ser>
        <c:ser>
          <c:idx val="420"/>
          <c:order val="420"/>
          <c:tx>
            <c:strRef>
              <c:f>'2022_Data'!$A$421</c:f>
            </c:strRef>
          </c:tx>
          <c:dLbls>
            <c:dLblPos val="ctr"/>
            <c:showLegendKey val="0"/>
            <c:showVal val="0"/>
            <c:showCatName val="0"/>
            <c:showSerName val="1"/>
            <c:showPercent val="0"/>
            <c:showBubbleSize val="0"/>
          </c:dLbls>
          <c:xVal>
            <c:strRef>
              <c:f>'2022_Data'!$F$421</c:f>
            </c:strRef>
          </c:xVal>
          <c:yVal>
            <c:numRef>
              <c:f>'2022_Data'!$E$421</c:f>
              <c:numCache/>
            </c:numRef>
          </c:yVal>
          <c:bubbleSize>
            <c:numRef>
              <c:f>'2022_Data'!$G$421</c:f>
            </c:numRef>
          </c:bubbleSize>
        </c:ser>
        <c:ser>
          <c:idx val="421"/>
          <c:order val="421"/>
          <c:tx>
            <c:strRef>
              <c:f>'2022_Data'!$A$422</c:f>
            </c:strRef>
          </c:tx>
          <c:dLbls>
            <c:dLblPos val="ctr"/>
            <c:showLegendKey val="0"/>
            <c:showVal val="0"/>
            <c:showCatName val="0"/>
            <c:showSerName val="1"/>
            <c:showPercent val="0"/>
            <c:showBubbleSize val="0"/>
          </c:dLbls>
          <c:xVal>
            <c:strRef>
              <c:f>'2022_Data'!$F$422</c:f>
            </c:strRef>
          </c:xVal>
          <c:yVal>
            <c:numRef>
              <c:f>'2022_Data'!$E$422</c:f>
              <c:numCache/>
            </c:numRef>
          </c:yVal>
          <c:bubbleSize>
            <c:numRef>
              <c:f>'2022_Data'!$G$422</c:f>
            </c:numRef>
          </c:bubbleSize>
        </c:ser>
        <c:ser>
          <c:idx val="422"/>
          <c:order val="422"/>
          <c:tx>
            <c:strRef>
              <c:f>'2022_Data'!$A$423</c:f>
            </c:strRef>
          </c:tx>
          <c:dLbls>
            <c:dLblPos val="ctr"/>
            <c:showLegendKey val="0"/>
            <c:showVal val="0"/>
            <c:showCatName val="0"/>
            <c:showSerName val="1"/>
            <c:showPercent val="0"/>
            <c:showBubbleSize val="0"/>
          </c:dLbls>
          <c:xVal>
            <c:strRef>
              <c:f>'2022_Data'!$F$423</c:f>
            </c:strRef>
          </c:xVal>
          <c:yVal>
            <c:numRef>
              <c:f>'2022_Data'!$E$423</c:f>
              <c:numCache/>
            </c:numRef>
          </c:yVal>
          <c:bubbleSize>
            <c:numRef>
              <c:f>'2022_Data'!$G$423</c:f>
            </c:numRef>
          </c:bubbleSize>
        </c:ser>
        <c:ser>
          <c:idx val="423"/>
          <c:order val="423"/>
          <c:tx>
            <c:strRef>
              <c:f>'2022_Data'!$A$424</c:f>
            </c:strRef>
          </c:tx>
          <c:dLbls>
            <c:dLblPos val="ctr"/>
            <c:showLegendKey val="0"/>
            <c:showVal val="0"/>
            <c:showCatName val="0"/>
            <c:showSerName val="1"/>
            <c:showPercent val="0"/>
            <c:showBubbleSize val="0"/>
          </c:dLbls>
          <c:xVal>
            <c:strRef>
              <c:f>'2022_Data'!$F$424</c:f>
            </c:strRef>
          </c:xVal>
          <c:yVal>
            <c:numRef>
              <c:f>'2022_Data'!$E$424</c:f>
              <c:numCache/>
            </c:numRef>
          </c:yVal>
          <c:bubbleSize>
            <c:numRef>
              <c:f>'2022_Data'!$G$424</c:f>
            </c:numRef>
          </c:bubbleSize>
        </c:ser>
        <c:ser>
          <c:idx val="424"/>
          <c:order val="424"/>
          <c:tx>
            <c:strRef>
              <c:f>'2022_Data'!$A$425</c:f>
            </c:strRef>
          </c:tx>
          <c:dLbls>
            <c:dLblPos val="ctr"/>
            <c:showLegendKey val="0"/>
            <c:showVal val="0"/>
            <c:showCatName val="0"/>
            <c:showSerName val="1"/>
            <c:showPercent val="0"/>
            <c:showBubbleSize val="0"/>
          </c:dLbls>
          <c:xVal>
            <c:strRef>
              <c:f>'2022_Data'!$F$425</c:f>
            </c:strRef>
          </c:xVal>
          <c:yVal>
            <c:numRef>
              <c:f>'2022_Data'!$E$425</c:f>
              <c:numCache/>
            </c:numRef>
          </c:yVal>
          <c:bubbleSize>
            <c:numRef>
              <c:f>'2022_Data'!$G$425</c:f>
            </c:numRef>
          </c:bubbleSize>
        </c:ser>
        <c:ser>
          <c:idx val="425"/>
          <c:order val="425"/>
          <c:tx>
            <c:strRef>
              <c:f>'2022_Data'!$A$426</c:f>
            </c:strRef>
          </c:tx>
          <c:dLbls>
            <c:dLblPos val="ctr"/>
            <c:showLegendKey val="0"/>
            <c:showVal val="0"/>
            <c:showCatName val="0"/>
            <c:showSerName val="1"/>
            <c:showPercent val="0"/>
            <c:showBubbleSize val="0"/>
          </c:dLbls>
          <c:xVal>
            <c:strRef>
              <c:f>'2022_Data'!$F$426</c:f>
            </c:strRef>
          </c:xVal>
          <c:yVal>
            <c:numRef>
              <c:f>'2022_Data'!$E$426</c:f>
              <c:numCache/>
            </c:numRef>
          </c:yVal>
          <c:bubbleSize>
            <c:numRef>
              <c:f>'2022_Data'!$G$426</c:f>
            </c:numRef>
          </c:bubbleSize>
        </c:ser>
        <c:ser>
          <c:idx val="426"/>
          <c:order val="426"/>
          <c:tx>
            <c:strRef>
              <c:f>'2022_Data'!$A$427</c:f>
            </c:strRef>
          </c:tx>
          <c:dLbls>
            <c:dLblPos val="ctr"/>
            <c:showLegendKey val="0"/>
            <c:showVal val="0"/>
            <c:showCatName val="0"/>
            <c:showSerName val="1"/>
            <c:showPercent val="0"/>
            <c:showBubbleSize val="0"/>
          </c:dLbls>
          <c:xVal>
            <c:strRef>
              <c:f>'2022_Data'!$F$427</c:f>
            </c:strRef>
          </c:xVal>
          <c:yVal>
            <c:numRef>
              <c:f>'2022_Data'!$E$427</c:f>
              <c:numCache/>
            </c:numRef>
          </c:yVal>
          <c:bubbleSize>
            <c:numRef>
              <c:f>'2022_Data'!$G$427</c:f>
            </c:numRef>
          </c:bubbleSize>
        </c:ser>
        <c:ser>
          <c:idx val="427"/>
          <c:order val="427"/>
          <c:tx>
            <c:strRef>
              <c:f>'2022_Data'!$A$428</c:f>
            </c:strRef>
          </c:tx>
          <c:dLbls>
            <c:dLblPos val="ctr"/>
            <c:showLegendKey val="0"/>
            <c:showVal val="0"/>
            <c:showCatName val="0"/>
            <c:showSerName val="1"/>
            <c:showPercent val="0"/>
            <c:showBubbleSize val="0"/>
          </c:dLbls>
          <c:xVal>
            <c:strRef>
              <c:f>'2022_Data'!$F$428</c:f>
            </c:strRef>
          </c:xVal>
          <c:yVal>
            <c:numRef>
              <c:f>'2022_Data'!$E$428</c:f>
              <c:numCache/>
            </c:numRef>
          </c:yVal>
          <c:bubbleSize>
            <c:numRef>
              <c:f>'2022_Data'!$G$428</c:f>
            </c:numRef>
          </c:bubbleSize>
        </c:ser>
        <c:ser>
          <c:idx val="428"/>
          <c:order val="428"/>
          <c:tx>
            <c:strRef>
              <c:f>'2022_Data'!$A$429</c:f>
            </c:strRef>
          </c:tx>
          <c:dLbls>
            <c:dLblPos val="ctr"/>
            <c:showLegendKey val="0"/>
            <c:showVal val="0"/>
            <c:showCatName val="0"/>
            <c:showSerName val="1"/>
            <c:showPercent val="0"/>
            <c:showBubbleSize val="0"/>
          </c:dLbls>
          <c:xVal>
            <c:strRef>
              <c:f>'2022_Data'!$F$429</c:f>
            </c:strRef>
          </c:xVal>
          <c:yVal>
            <c:numRef>
              <c:f>'2022_Data'!$E$429</c:f>
              <c:numCache/>
            </c:numRef>
          </c:yVal>
          <c:bubbleSize>
            <c:numRef>
              <c:f>'2022_Data'!$G$429</c:f>
            </c:numRef>
          </c:bubbleSize>
        </c:ser>
        <c:ser>
          <c:idx val="429"/>
          <c:order val="429"/>
          <c:tx>
            <c:strRef>
              <c:f>'2022_Data'!$A$430</c:f>
            </c:strRef>
          </c:tx>
          <c:dLbls>
            <c:dLblPos val="ctr"/>
            <c:showLegendKey val="0"/>
            <c:showVal val="0"/>
            <c:showCatName val="0"/>
            <c:showSerName val="1"/>
            <c:showPercent val="0"/>
            <c:showBubbleSize val="0"/>
          </c:dLbls>
          <c:xVal>
            <c:strRef>
              <c:f>'2022_Data'!$F$430</c:f>
            </c:strRef>
          </c:xVal>
          <c:yVal>
            <c:numRef>
              <c:f>'2022_Data'!$E$430</c:f>
              <c:numCache/>
            </c:numRef>
          </c:yVal>
          <c:bubbleSize>
            <c:numRef>
              <c:f>'2022_Data'!$G$430</c:f>
            </c:numRef>
          </c:bubbleSize>
        </c:ser>
        <c:ser>
          <c:idx val="430"/>
          <c:order val="430"/>
          <c:tx>
            <c:strRef>
              <c:f>'2022_Data'!$A$431</c:f>
            </c:strRef>
          </c:tx>
          <c:dLbls>
            <c:dLblPos val="ctr"/>
            <c:showLegendKey val="0"/>
            <c:showVal val="0"/>
            <c:showCatName val="0"/>
            <c:showSerName val="1"/>
            <c:showPercent val="0"/>
            <c:showBubbleSize val="0"/>
          </c:dLbls>
          <c:xVal>
            <c:strRef>
              <c:f>'2022_Data'!$F$431</c:f>
            </c:strRef>
          </c:xVal>
          <c:yVal>
            <c:numRef>
              <c:f>'2022_Data'!$E$431</c:f>
              <c:numCache/>
            </c:numRef>
          </c:yVal>
          <c:bubbleSize>
            <c:numRef>
              <c:f>'2022_Data'!$G$431</c:f>
            </c:numRef>
          </c:bubbleSize>
        </c:ser>
        <c:ser>
          <c:idx val="431"/>
          <c:order val="431"/>
          <c:tx>
            <c:strRef>
              <c:f>'2022_Data'!$A$432</c:f>
            </c:strRef>
          </c:tx>
          <c:dLbls>
            <c:dLblPos val="ctr"/>
            <c:showLegendKey val="0"/>
            <c:showVal val="0"/>
            <c:showCatName val="0"/>
            <c:showSerName val="1"/>
            <c:showPercent val="0"/>
            <c:showBubbleSize val="0"/>
          </c:dLbls>
          <c:xVal>
            <c:strRef>
              <c:f>'2022_Data'!$F$432</c:f>
            </c:strRef>
          </c:xVal>
          <c:yVal>
            <c:numRef>
              <c:f>'2022_Data'!$E$432</c:f>
              <c:numCache/>
            </c:numRef>
          </c:yVal>
          <c:bubbleSize>
            <c:numRef>
              <c:f>'2022_Data'!$G$432</c:f>
            </c:numRef>
          </c:bubbleSize>
        </c:ser>
        <c:ser>
          <c:idx val="432"/>
          <c:order val="432"/>
          <c:tx>
            <c:strRef>
              <c:f>'2022_Data'!$A$433</c:f>
            </c:strRef>
          </c:tx>
          <c:dLbls>
            <c:dLblPos val="ctr"/>
            <c:showLegendKey val="0"/>
            <c:showVal val="0"/>
            <c:showCatName val="0"/>
            <c:showSerName val="1"/>
            <c:showPercent val="0"/>
            <c:showBubbleSize val="0"/>
          </c:dLbls>
          <c:xVal>
            <c:strRef>
              <c:f>'2022_Data'!$F$433</c:f>
            </c:strRef>
          </c:xVal>
          <c:yVal>
            <c:numRef>
              <c:f>'2022_Data'!$E$433</c:f>
              <c:numCache/>
            </c:numRef>
          </c:yVal>
          <c:bubbleSize>
            <c:numRef>
              <c:f>'2022_Data'!$G$433</c:f>
            </c:numRef>
          </c:bubbleSize>
        </c:ser>
        <c:ser>
          <c:idx val="433"/>
          <c:order val="433"/>
          <c:tx>
            <c:strRef>
              <c:f>'2022_Data'!$A$434</c:f>
            </c:strRef>
          </c:tx>
          <c:dLbls>
            <c:dLblPos val="ctr"/>
            <c:showLegendKey val="0"/>
            <c:showVal val="0"/>
            <c:showCatName val="0"/>
            <c:showSerName val="1"/>
            <c:showPercent val="0"/>
            <c:showBubbleSize val="0"/>
          </c:dLbls>
          <c:xVal>
            <c:strRef>
              <c:f>'2022_Data'!$F$434</c:f>
            </c:strRef>
          </c:xVal>
          <c:yVal>
            <c:numRef>
              <c:f>'2022_Data'!$E$434</c:f>
              <c:numCache/>
            </c:numRef>
          </c:yVal>
          <c:bubbleSize>
            <c:numRef>
              <c:f>'2022_Data'!$G$434</c:f>
            </c:numRef>
          </c:bubbleSize>
        </c:ser>
        <c:ser>
          <c:idx val="434"/>
          <c:order val="434"/>
          <c:tx>
            <c:strRef>
              <c:f>'2022_Data'!$A$435</c:f>
            </c:strRef>
          </c:tx>
          <c:dLbls>
            <c:dLblPos val="ctr"/>
            <c:showLegendKey val="0"/>
            <c:showVal val="0"/>
            <c:showCatName val="0"/>
            <c:showSerName val="1"/>
            <c:showPercent val="0"/>
            <c:showBubbleSize val="0"/>
          </c:dLbls>
          <c:xVal>
            <c:strRef>
              <c:f>'2022_Data'!$F$435</c:f>
            </c:strRef>
          </c:xVal>
          <c:yVal>
            <c:numRef>
              <c:f>'2022_Data'!$E$435</c:f>
              <c:numCache/>
            </c:numRef>
          </c:yVal>
          <c:bubbleSize>
            <c:numRef>
              <c:f>'2022_Data'!$G$435</c:f>
            </c:numRef>
          </c:bubbleSize>
        </c:ser>
        <c:ser>
          <c:idx val="435"/>
          <c:order val="435"/>
          <c:tx>
            <c:strRef>
              <c:f>'2022_Data'!$A$436</c:f>
            </c:strRef>
          </c:tx>
          <c:dLbls>
            <c:dLblPos val="ctr"/>
            <c:showLegendKey val="0"/>
            <c:showVal val="0"/>
            <c:showCatName val="0"/>
            <c:showSerName val="1"/>
            <c:showPercent val="0"/>
            <c:showBubbleSize val="0"/>
          </c:dLbls>
          <c:xVal>
            <c:strRef>
              <c:f>'2022_Data'!$F$436</c:f>
            </c:strRef>
          </c:xVal>
          <c:yVal>
            <c:numRef>
              <c:f>'2022_Data'!$E$436</c:f>
              <c:numCache/>
            </c:numRef>
          </c:yVal>
          <c:bubbleSize>
            <c:numRef>
              <c:f>'2022_Data'!$G$436</c:f>
            </c:numRef>
          </c:bubbleSize>
        </c:ser>
        <c:ser>
          <c:idx val="436"/>
          <c:order val="436"/>
          <c:tx>
            <c:strRef>
              <c:f>'2022_Data'!$A$437</c:f>
            </c:strRef>
          </c:tx>
          <c:dLbls>
            <c:dLblPos val="ctr"/>
            <c:showLegendKey val="0"/>
            <c:showVal val="0"/>
            <c:showCatName val="0"/>
            <c:showSerName val="1"/>
            <c:showPercent val="0"/>
            <c:showBubbleSize val="0"/>
          </c:dLbls>
          <c:xVal>
            <c:strRef>
              <c:f>'2022_Data'!$F$437</c:f>
            </c:strRef>
          </c:xVal>
          <c:yVal>
            <c:numRef>
              <c:f>'2022_Data'!$E$437</c:f>
              <c:numCache/>
            </c:numRef>
          </c:yVal>
          <c:bubbleSize>
            <c:numRef>
              <c:f>'2022_Data'!$G$437</c:f>
            </c:numRef>
          </c:bubbleSize>
        </c:ser>
        <c:ser>
          <c:idx val="437"/>
          <c:order val="437"/>
          <c:tx>
            <c:strRef>
              <c:f>'2022_Data'!$A$438</c:f>
            </c:strRef>
          </c:tx>
          <c:dLbls>
            <c:dLblPos val="ctr"/>
            <c:showLegendKey val="0"/>
            <c:showVal val="0"/>
            <c:showCatName val="0"/>
            <c:showSerName val="1"/>
            <c:showPercent val="0"/>
            <c:showBubbleSize val="0"/>
          </c:dLbls>
          <c:xVal>
            <c:strRef>
              <c:f>'2022_Data'!$F$438</c:f>
            </c:strRef>
          </c:xVal>
          <c:yVal>
            <c:numRef>
              <c:f>'2022_Data'!$E$438</c:f>
              <c:numCache/>
            </c:numRef>
          </c:yVal>
          <c:bubbleSize>
            <c:numRef>
              <c:f>'2022_Data'!$G$438</c:f>
            </c:numRef>
          </c:bubbleSize>
        </c:ser>
        <c:ser>
          <c:idx val="438"/>
          <c:order val="438"/>
          <c:tx>
            <c:strRef>
              <c:f>'2022_Data'!$A$439</c:f>
            </c:strRef>
          </c:tx>
          <c:dLbls>
            <c:dLblPos val="ctr"/>
            <c:showLegendKey val="0"/>
            <c:showVal val="0"/>
            <c:showCatName val="0"/>
            <c:showSerName val="1"/>
            <c:showPercent val="0"/>
            <c:showBubbleSize val="0"/>
          </c:dLbls>
          <c:xVal>
            <c:strRef>
              <c:f>'2022_Data'!$F$439</c:f>
            </c:strRef>
          </c:xVal>
          <c:yVal>
            <c:numRef>
              <c:f>'2022_Data'!$E$439</c:f>
              <c:numCache/>
            </c:numRef>
          </c:yVal>
          <c:bubbleSize>
            <c:numRef>
              <c:f>'2022_Data'!$G$439</c:f>
            </c:numRef>
          </c:bubbleSize>
        </c:ser>
        <c:ser>
          <c:idx val="439"/>
          <c:order val="439"/>
          <c:tx>
            <c:strRef>
              <c:f>'2022_Data'!$A$440</c:f>
            </c:strRef>
          </c:tx>
          <c:dLbls>
            <c:dLblPos val="ctr"/>
            <c:showLegendKey val="0"/>
            <c:showVal val="0"/>
            <c:showCatName val="0"/>
            <c:showSerName val="1"/>
            <c:showPercent val="0"/>
            <c:showBubbleSize val="0"/>
          </c:dLbls>
          <c:xVal>
            <c:strRef>
              <c:f>'2022_Data'!$F$440</c:f>
            </c:strRef>
          </c:xVal>
          <c:yVal>
            <c:numRef>
              <c:f>'2022_Data'!$E$440</c:f>
              <c:numCache/>
            </c:numRef>
          </c:yVal>
          <c:bubbleSize>
            <c:numRef>
              <c:f>'2022_Data'!$G$440</c:f>
            </c:numRef>
          </c:bubbleSize>
        </c:ser>
        <c:ser>
          <c:idx val="440"/>
          <c:order val="440"/>
          <c:tx>
            <c:strRef>
              <c:f>'2022_Data'!$A$441</c:f>
            </c:strRef>
          </c:tx>
          <c:dLbls>
            <c:dLblPos val="ctr"/>
            <c:showLegendKey val="0"/>
            <c:showVal val="0"/>
            <c:showCatName val="0"/>
            <c:showSerName val="1"/>
            <c:showPercent val="0"/>
            <c:showBubbleSize val="0"/>
          </c:dLbls>
          <c:xVal>
            <c:strRef>
              <c:f>'2022_Data'!$F$441</c:f>
            </c:strRef>
          </c:xVal>
          <c:yVal>
            <c:numRef>
              <c:f>'2022_Data'!$E$441</c:f>
              <c:numCache/>
            </c:numRef>
          </c:yVal>
          <c:bubbleSize>
            <c:numRef>
              <c:f>'2022_Data'!$G$441</c:f>
            </c:numRef>
          </c:bubbleSize>
        </c:ser>
        <c:ser>
          <c:idx val="441"/>
          <c:order val="441"/>
          <c:tx>
            <c:strRef>
              <c:f>'2022_Data'!$A$442</c:f>
            </c:strRef>
          </c:tx>
          <c:dLbls>
            <c:dLblPos val="ctr"/>
            <c:showLegendKey val="0"/>
            <c:showVal val="0"/>
            <c:showCatName val="0"/>
            <c:showSerName val="1"/>
            <c:showPercent val="0"/>
            <c:showBubbleSize val="0"/>
          </c:dLbls>
          <c:xVal>
            <c:strRef>
              <c:f>'2022_Data'!$F$442</c:f>
            </c:strRef>
          </c:xVal>
          <c:yVal>
            <c:numRef>
              <c:f>'2022_Data'!$E$442</c:f>
              <c:numCache/>
            </c:numRef>
          </c:yVal>
          <c:bubbleSize>
            <c:numRef>
              <c:f>'2022_Data'!$G$442</c:f>
            </c:numRef>
          </c:bubbleSize>
        </c:ser>
        <c:ser>
          <c:idx val="442"/>
          <c:order val="442"/>
          <c:tx>
            <c:strRef>
              <c:f>'2022_Data'!$A$443</c:f>
            </c:strRef>
          </c:tx>
          <c:dLbls>
            <c:dLblPos val="ctr"/>
            <c:showLegendKey val="0"/>
            <c:showVal val="0"/>
            <c:showCatName val="0"/>
            <c:showSerName val="1"/>
            <c:showPercent val="0"/>
            <c:showBubbleSize val="0"/>
          </c:dLbls>
          <c:xVal>
            <c:strRef>
              <c:f>'2022_Data'!$F$443</c:f>
            </c:strRef>
          </c:xVal>
          <c:yVal>
            <c:numRef>
              <c:f>'2022_Data'!$E$443</c:f>
              <c:numCache/>
            </c:numRef>
          </c:yVal>
          <c:bubbleSize>
            <c:numRef>
              <c:f>'2022_Data'!$G$443</c:f>
            </c:numRef>
          </c:bubbleSize>
        </c:ser>
        <c:ser>
          <c:idx val="443"/>
          <c:order val="443"/>
          <c:tx>
            <c:strRef>
              <c:f>'2022_Data'!$A$444</c:f>
            </c:strRef>
          </c:tx>
          <c:dLbls>
            <c:dLblPos val="ctr"/>
            <c:showLegendKey val="0"/>
            <c:showVal val="0"/>
            <c:showCatName val="0"/>
            <c:showSerName val="1"/>
            <c:showPercent val="0"/>
            <c:showBubbleSize val="0"/>
          </c:dLbls>
          <c:xVal>
            <c:strRef>
              <c:f>'2022_Data'!$F$444</c:f>
            </c:strRef>
          </c:xVal>
          <c:yVal>
            <c:numRef>
              <c:f>'2022_Data'!$E$444</c:f>
              <c:numCache/>
            </c:numRef>
          </c:yVal>
          <c:bubbleSize>
            <c:numRef>
              <c:f>'2022_Data'!$G$444</c:f>
            </c:numRef>
          </c:bubbleSize>
        </c:ser>
        <c:ser>
          <c:idx val="444"/>
          <c:order val="444"/>
          <c:tx>
            <c:strRef>
              <c:f>'2022_Data'!$A$445</c:f>
            </c:strRef>
          </c:tx>
          <c:dLbls>
            <c:dLblPos val="ctr"/>
            <c:showLegendKey val="0"/>
            <c:showVal val="0"/>
            <c:showCatName val="0"/>
            <c:showSerName val="1"/>
            <c:showPercent val="0"/>
            <c:showBubbleSize val="0"/>
          </c:dLbls>
          <c:xVal>
            <c:strRef>
              <c:f>'2022_Data'!$F$445</c:f>
            </c:strRef>
          </c:xVal>
          <c:yVal>
            <c:numRef>
              <c:f>'2022_Data'!$E$445</c:f>
              <c:numCache/>
            </c:numRef>
          </c:yVal>
          <c:bubbleSize>
            <c:numRef>
              <c:f>'2022_Data'!$G$445</c:f>
            </c:numRef>
          </c:bubbleSize>
        </c:ser>
        <c:ser>
          <c:idx val="445"/>
          <c:order val="445"/>
          <c:tx>
            <c:strRef>
              <c:f>'2022_Data'!$A$446</c:f>
            </c:strRef>
          </c:tx>
          <c:dLbls>
            <c:dLblPos val="ctr"/>
            <c:showLegendKey val="0"/>
            <c:showVal val="0"/>
            <c:showCatName val="0"/>
            <c:showSerName val="1"/>
            <c:showPercent val="0"/>
            <c:showBubbleSize val="0"/>
          </c:dLbls>
          <c:xVal>
            <c:strRef>
              <c:f>'2022_Data'!$F$446</c:f>
            </c:strRef>
          </c:xVal>
          <c:yVal>
            <c:numRef>
              <c:f>'2022_Data'!$E$446</c:f>
              <c:numCache/>
            </c:numRef>
          </c:yVal>
          <c:bubbleSize>
            <c:numRef>
              <c:f>'2022_Data'!$G$446</c:f>
            </c:numRef>
          </c:bubbleSize>
        </c:ser>
        <c:ser>
          <c:idx val="446"/>
          <c:order val="446"/>
          <c:tx>
            <c:strRef>
              <c:f>'2022_Data'!$A$447</c:f>
            </c:strRef>
          </c:tx>
          <c:dLbls>
            <c:dLblPos val="ctr"/>
            <c:showLegendKey val="0"/>
            <c:showVal val="0"/>
            <c:showCatName val="0"/>
            <c:showSerName val="1"/>
            <c:showPercent val="0"/>
            <c:showBubbleSize val="0"/>
          </c:dLbls>
          <c:xVal>
            <c:strRef>
              <c:f>'2022_Data'!$F$447</c:f>
            </c:strRef>
          </c:xVal>
          <c:yVal>
            <c:numRef>
              <c:f>'2022_Data'!$E$447</c:f>
              <c:numCache/>
            </c:numRef>
          </c:yVal>
          <c:bubbleSize>
            <c:numRef>
              <c:f>'2022_Data'!$G$447</c:f>
            </c:numRef>
          </c:bubbleSize>
        </c:ser>
        <c:ser>
          <c:idx val="447"/>
          <c:order val="447"/>
          <c:tx>
            <c:strRef>
              <c:f>'2022_Data'!$A$448</c:f>
            </c:strRef>
          </c:tx>
          <c:dLbls>
            <c:dLblPos val="ctr"/>
            <c:showLegendKey val="0"/>
            <c:showVal val="0"/>
            <c:showCatName val="0"/>
            <c:showSerName val="1"/>
            <c:showPercent val="0"/>
            <c:showBubbleSize val="0"/>
          </c:dLbls>
          <c:xVal>
            <c:strRef>
              <c:f>'2022_Data'!$F$448</c:f>
            </c:strRef>
          </c:xVal>
          <c:yVal>
            <c:numRef>
              <c:f>'2022_Data'!$E$448</c:f>
              <c:numCache/>
            </c:numRef>
          </c:yVal>
          <c:bubbleSize>
            <c:numRef>
              <c:f>'2022_Data'!$G$448</c:f>
            </c:numRef>
          </c:bubbleSize>
        </c:ser>
        <c:ser>
          <c:idx val="448"/>
          <c:order val="448"/>
          <c:tx>
            <c:strRef>
              <c:f>'2022_Data'!$A$449</c:f>
            </c:strRef>
          </c:tx>
          <c:dLbls>
            <c:dLblPos val="ctr"/>
            <c:showLegendKey val="0"/>
            <c:showVal val="0"/>
            <c:showCatName val="0"/>
            <c:showSerName val="1"/>
            <c:showPercent val="0"/>
            <c:showBubbleSize val="0"/>
          </c:dLbls>
          <c:xVal>
            <c:strRef>
              <c:f>'2022_Data'!$F$449</c:f>
            </c:strRef>
          </c:xVal>
          <c:yVal>
            <c:numRef>
              <c:f>'2022_Data'!$E$449</c:f>
              <c:numCache/>
            </c:numRef>
          </c:yVal>
          <c:bubbleSize>
            <c:numRef>
              <c:f>'2022_Data'!$G$449</c:f>
            </c:numRef>
          </c:bubbleSize>
        </c:ser>
        <c:ser>
          <c:idx val="449"/>
          <c:order val="449"/>
          <c:tx>
            <c:strRef>
              <c:f>'2022_Data'!$A$450</c:f>
            </c:strRef>
          </c:tx>
          <c:dLbls>
            <c:dLblPos val="ctr"/>
            <c:showLegendKey val="0"/>
            <c:showVal val="0"/>
            <c:showCatName val="0"/>
            <c:showSerName val="1"/>
            <c:showPercent val="0"/>
            <c:showBubbleSize val="0"/>
          </c:dLbls>
          <c:xVal>
            <c:strRef>
              <c:f>'2022_Data'!$F$450</c:f>
            </c:strRef>
          </c:xVal>
          <c:yVal>
            <c:numRef>
              <c:f>'2022_Data'!$E$450</c:f>
              <c:numCache/>
            </c:numRef>
          </c:yVal>
          <c:bubbleSize>
            <c:numRef>
              <c:f>'2022_Data'!$G$450</c:f>
            </c:numRef>
          </c:bubbleSize>
        </c:ser>
        <c:ser>
          <c:idx val="450"/>
          <c:order val="450"/>
          <c:tx>
            <c:strRef>
              <c:f>'2022_Data'!$A$451</c:f>
            </c:strRef>
          </c:tx>
          <c:dLbls>
            <c:dLblPos val="ctr"/>
            <c:showLegendKey val="0"/>
            <c:showVal val="0"/>
            <c:showCatName val="0"/>
            <c:showSerName val="1"/>
            <c:showPercent val="0"/>
            <c:showBubbleSize val="0"/>
          </c:dLbls>
          <c:xVal>
            <c:strRef>
              <c:f>'2022_Data'!$F$451</c:f>
            </c:strRef>
          </c:xVal>
          <c:yVal>
            <c:numRef>
              <c:f>'2022_Data'!$E$451</c:f>
              <c:numCache/>
            </c:numRef>
          </c:yVal>
          <c:bubbleSize>
            <c:numRef>
              <c:f>'2022_Data'!$G$451</c:f>
            </c:numRef>
          </c:bubbleSize>
        </c:ser>
        <c:ser>
          <c:idx val="451"/>
          <c:order val="451"/>
          <c:tx>
            <c:strRef>
              <c:f>'2022_Data'!$A$452</c:f>
            </c:strRef>
          </c:tx>
          <c:dLbls>
            <c:dLblPos val="ctr"/>
            <c:showLegendKey val="0"/>
            <c:showVal val="0"/>
            <c:showCatName val="0"/>
            <c:showSerName val="1"/>
            <c:showPercent val="0"/>
            <c:showBubbleSize val="0"/>
          </c:dLbls>
          <c:xVal>
            <c:strRef>
              <c:f>'2022_Data'!$F$452</c:f>
            </c:strRef>
          </c:xVal>
          <c:yVal>
            <c:numRef>
              <c:f>'2022_Data'!$E$452</c:f>
              <c:numCache/>
            </c:numRef>
          </c:yVal>
          <c:bubbleSize>
            <c:numRef>
              <c:f>'2022_Data'!$G$452</c:f>
            </c:numRef>
          </c:bubbleSize>
        </c:ser>
        <c:ser>
          <c:idx val="452"/>
          <c:order val="452"/>
          <c:tx>
            <c:strRef>
              <c:f>'2022_Data'!$A$453</c:f>
            </c:strRef>
          </c:tx>
          <c:dLbls>
            <c:dLblPos val="ctr"/>
            <c:showLegendKey val="0"/>
            <c:showVal val="0"/>
            <c:showCatName val="0"/>
            <c:showSerName val="1"/>
            <c:showPercent val="0"/>
            <c:showBubbleSize val="0"/>
          </c:dLbls>
          <c:xVal>
            <c:strRef>
              <c:f>'2022_Data'!$F$453</c:f>
            </c:strRef>
          </c:xVal>
          <c:yVal>
            <c:numRef>
              <c:f>'2022_Data'!$E$453</c:f>
              <c:numCache/>
            </c:numRef>
          </c:yVal>
          <c:bubbleSize>
            <c:numRef>
              <c:f>'2022_Data'!$G$453</c:f>
            </c:numRef>
          </c:bubbleSize>
        </c:ser>
        <c:ser>
          <c:idx val="453"/>
          <c:order val="453"/>
          <c:tx>
            <c:strRef>
              <c:f>'2022_Data'!$A$454</c:f>
            </c:strRef>
          </c:tx>
          <c:dLbls>
            <c:dLblPos val="ctr"/>
            <c:showLegendKey val="0"/>
            <c:showVal val="0"/>
            <c:showCatName val="0"/>
            <c:showSerName val="1"/>
            <c:showPercent val="0"/>
            <c:showBubbleSize val="0"/>
          </c:dLbls>
          <c:xVal>
            <c:strRef>
              <c:f>'2022_Data'!$F$454</c:f>
            </c:strRef>
          </c:xVal>
          <c:yVal>
            <c:numRef>
              <c:f>'2022_Data'!$E$454</c:f>
              <c:numCache/>
            </c:numRef>
          </c:yVal>
          <c:bubbleSize>
            <c:numRef>
              <c:f>'2022_Data'!$G$454</c:f>
            </c:numRef>
          </c:bubbleSize>
        </c:ser>
        <c:ser>
          <c:idx val="454"/>
          <c:order val="454"/>
          <c:tx>
            <c:strRef>
              <c:f>'2022_Data'!$A$455</c:f>
            </c:strRef>
          </c:tx>
          <c:dLbls>
            <c:dLblPos val="ctr"/>
            <c:showLegendKey val="0"/>
            <c:showVal val="0"/>
            <c:showCatName val="0"/>
            <c:showSerName val="1"/>
            <c:showPercent val="0"/>
            <c:showBubbleSize val="0"/>
          </c:dLbls>
          <c:xVal>
            <c:strRef>
              <c:f>'2022_Data'!$F$455</c:f>
            </c:strRef>
          </c:xVal>
          <c:yVal>
            <c:numRef>
              <c:f>'2022_Data'!$E$455</c:f>
              <c:numCache/>
            </c:numRef>
          </c:yVal>
          <c:bubbleSize>
            <c:numRef>
              <c:f>'2022_Data'!$G$455</c:f>
            </c:numRef>
          </c:bubbleSize>
        </c:ser>
        <c:ser>
          <c:idx val="455"/>
          <c:order val="455"/>
          <c:tx>
            <c:strRef>
              <c:f>'2022_Data'!$A$456</c:f>
            </c:strRef>
          </c:tx>
          <c:dLbls>
            <c:dLblPos val="ctr"/>
            <c:showLegendKey val="0"/>
            <c:showVal val="0"/>
            <c:showCatName val="0"/>
            <c:showSerName val="1"/>
            <c:showPercent val="0"/>
            <c:showBubbleSize val="0"/>
          </c:dLbls>
          <c:xVal>
            <c:strRef>
              <c:f>'2022_Data'!$F$456</c:f>
            </c:strRef>
          </c:xVal>
          <c:yVal>
            <c:numRef>
              <c:f>'2022_Data'!$E$456</c:f>
              <c:numCache/>
            </c:numRef>
          </c:yVal>
          <c:bubbleSize>
            <c:numRef>
              <c:f>'2022_Data'!$G$456</c:f>
            </c:numRef>
          </c:bubbleSize>
        </c:ser>
        <c:ser>
          <c:idx val="456"/>
          <c:order val="456"/>
          <c:tx>
            <c:strRef>
              <c:f>'2022_Data'!$A$457</c:f>
            </c:strRef>
          </c:tx>
          <c:dLbls>
            <c:dLblPos val="ctr"/>
            <c:showLegendKey val="0"/>
            <c:showVal val="0"/>
            <c:showCatName val="0"/>
            <c:showSerName val="1"/>
            <c:showPercent val="0"/>
            <c:showBubbleSize val="0"/>
          </c:dLbls>
          <c:xVal>
            <c:strRef>
              <c:f>'2022_Data'!$F$457</c:f>
            </c:strRef>
          </c:xVal>
          <c:yVal>
            <c:numRef>
              <c:f>'2022_Data'!$E$457</c:f>
              <c:numCache/>
            </c:numRef>
          </c:yVal>
          <c:bubbleSize>
            <c:numRef>
              <c:f>'2022_Data'!$G$457</c:f>
            </c:numRef>
          </c:bubbleSize>
        </c:ser>
        <c:ser>
          <c:idx val="457"/>
          <c:order val="457"/>
          <c:tx>
            <c:strRef>
              <c:f>'2022_Data'!$A$458</c:f>
            </c:strRef>
          </c:tx>
          <c:dLbls>
            <c:dLblPos val="ctr"/>
            <c:showLegendKey val="0"/>
            <c:showVal val="0"/>
            <c:showCatName val="0"/>
            <c:showSerName val="1"/>
            <c:showPercent val="0"/>
            <c:showBubbleSize val="0"/>
          </c:dLbls>
          <c:xVal>
            <c:strRef>
              <c:f>'2022_Data'!$F$458</c:f>
            </c:strRef>
          </c:xVal>
          <c:yVal>
            <c:numRef>
              <c:f>'2022_Data'!$E$458</c:f>
              <c:numCache/>
            </c:numRef>
          </c:yVal>
          <c:bubbleSize>
            <c:numRef>
              <c:f>'2022_Data'!$G$458</c:f>
            </c:numRef>
          </c:bubbleSize>
        </c:ser>
        <c:ser>
          <c:idx val="458"/>
          <c:order val="458"/>
          <c:tx>
            <c:strRef>
              <c:f>'2022_Data'!$A$459</c:f>
            </c:strRef>
          </c:tx>
          <c:dLbls>
            <c:dLblPos val="ctr"/>
            <c:showLegendKey val="0"/>
            <c:showVal val="0"/>
            <c:showCatName val="0"/>
            <c:showSerName val="1"/>
            <c:showPercent val="0"/>
            <c:showBubbleSize val="0"/>
          </c:dLbls>
          <c:xVal>
            <c:strRef>
              <c:f>'2022_Data'!$F$459</c:f>
            </c:strRef>
          </c:xVal>
          <c:yVal>
            <c:numRef>
              <c:f>'2022_Data'!$E$459</c:f>
              <c:numCache/>
            </c:numRef>
          </c:yVal>
          <c:bubbleSize>
            <c:numRef>
              <c:f>'2022_Data'!$G$459</c:f>
            </c:numRef>
          </c:bubbleSize>
        </c:ser>
        <c:ser>
          <c:idx val="459"/>
          <c:order val="459"/>
          <c:tx>
            <c:strRef>
              <c:f>'2022_Data'!$A$460</c:f>
            </c:strRef>
          </c:tx>
          <c:dLbls>
            <c:dLblPos val="ctr"/>
            <c:showLegendKey val="0"/>
            <c:showVal val="0"/>
            <c:showCatName val="0"/>
            <c:showSerName val="1"/>
            <c:showPercent val="0"/>
            <c:showBubbleSize val="0"/>
          </c:dLbls>
          <c:xVal>
            <c:strRef>
              <c:f>'2022_Data'!$F$460</c:f>
            </c:strRef>
          </c:xVal>
          <c:yVal>
            <c:numRef>
              <c:f>'2022_Data'!$E$460</c:f>
              <c:numCache/>
            </c:numRef>
          </c:yVal>
          <c:bubbleSize>
            <c:numRef>
              <c:f>'2022_Data'!$G$460</c:f>
            </c:numRef>
          </c:bubbleSize>
        </c:ser>
        <c:ser>
          <c:idx val="460"/>
          <c:order val="460"/>
          <c:tx>
            <c:strRef>
              <c:f>'2022_Data'!$A$461</c:f>
            </c:strRef>
          </c:tx>
          <c:dLbls>
            <c:dLblPos val="ctr"/>
            <c:showLegendKey val="0"/>
            <c:showVal val="0"/>
            <c:showCatName val="0"/>
            <c:showSerName val="1"/>
            <c:showPercent val="0"/>
            <c:showBubbleSize val="0"/>
          </c:dLbls>
          <c:xVal>
            <c:strRef>
              <c:f>'2022_Data'!$F$461</c:f>
            </c:strRef>
          </c:xVal>
          <c:yVal>
            <c:numRef>
              <c:f>'2022_Data'!$E$461</c:f>
              <c:numCache/>
            </c:numRef>
          </c:yVal>
          <c:bubbleSize>
            <c:numRef>
              <c:f>'2022_Data'!$G$461</c:f>
            </c:numRef>
          </c:bubbleSize>
        </c:ser>
        <c:ser>
          <c:idx val="461"/>
          <c:order val="461"/>
          <c:tx>
            <c:strRef>
              <c:f>'2022_Data'!$A$462</c:f>
            </c:strRef>
          </c:tx>
          <c:dLbls>
            <c:dLblPos val="ctr"/>
            <c:showLegendKey val="0"/>
            <c:showVal val="0"/>
            <c:showCatName val="0"/>
            <c:showSerName val="1"/>
            <c:showPercent val="0"/>
            <c:showBubbleSize val="0"/>
          </c:dLbls>
          <c:xVal>
            <c:strRef>
              <c:f>'2022_Data'!$F$462</c:f>
            </c:strRef>
          </c:xVal>
          <c:yVal>
            <c:numRef>
              <c:f>'2022_Data'!$E$462</c:f>
              <c:numCache/>
            </c:numRef>
          </c:yVal>
          <c:bubbleSize>
            <c:numRef>
              <c:f>'2022_Data'!$G$462</c:f>
            </c:numRef>
          </c:bubbleSize>
        </c:ser>
        <c:ser>
          <c:idx val="462"/>
          <c:order val="462"/>
          <c:tx>
            <c:strRef>
              <c:f>'2022_Data'!$A$463</c:f>
            </c:strRef>
          </c:tx>
          <c:dLbls>
            <c:dLblPos val="ctr"/>
            <c:showLegendKey val="0"/>
            <c:showVal val="0"/>
            <c:showCatName val="0"/>
            <c:showSerName val="1"/>
            <c:showPercent val="0"/>
            <c:showBubbleSize val="0"/>
          </c:dLbls>
          <c:xVal>
            <c:strRef>
              <c:f>'2022_Data'!$F$463</c:f>
            </c:strRef>
          </c:xVal>
          <c:yVal>
            <c:numRef>
              <c:f>'2022_Data'!$E$463</c:f>
              <c:numCache/>
            </c:numRef>
          </c:yVal>
          <c:bubbleSize>
            <c:numRef>
              <c:f>'2022_Data'!$G$463</c:f>
            </c:numRef>
          </c:bubbleSize>
        </c:ser>
        <c:ser>
          <c:idx val="463"/>
          <c:order val="463"/>
          <c:tx>
            <c:strRef>
              <c:f>'2022_Data'!$A$464</c:f>
            </c:strRef>
          </c:tx>
          <c:dLbls>
            <c:dLblPos val="ctr"/>
            <c:showLegendKey val="0"/>
            <c:showVal val="0"/>
            <c:showCatName val="0"/>
            <c:showSerName val="1"/>
            <c:showPercent val="0"/>
            <c:showBubbleSize val="0"/>
          </c:dLbls>
          <c:xVal>
            <c:strRef>
              <c:f>'2022_Data'!$F$464</c:f>
            </c:strRef>
          </c:xVal>
          <c:yVal>
            <c:numRef>
              <c:f>'2022_Data'!$E$464</c:f>
              <c:numCache/>
            </c:numRef>
          </c:yVal>
          <c:bubbleSize>
            <c:numRef>
              <c:f>'2022_Data'!$G$464</c:f>
            </c:numRef>
          </c:bubbleSize>
        </c:ser>
        <c:ser>
          <c:idx val="464"/>
          <c:order val="464"/>
          <c:tx>
            <c:strRef>
              <c:f>'2022_Data'!$A$465</c:f>
            </c:strRef>
          </c:tx>
          <c:dLbls>
            <c:dLblPos val="ctr"/>
            <c:showLegendKey val="0"/>
            <c:showVal val="0"/>
            <c:showCatName val="0"/>
            <c:showSerName val="1"/>
            <c:showPercent val="0"/>
            <c:showBubbleSize val="0"/>
          </c:dLbls>
          <c:xVal>
            <c:strRef>
              <c:f>'2022_Data'!$F$465</c:f>
            </c:strRef>
          </c:xVal>
          <c:yVal>
            <c:numRef>
              <c:f>'2022_Data'!$E$465</c:f>
              <c:numCache/>
            </c:numRef>
          </c:yVal>
          <c:bubbleSize>
            <c:numRef>
              <c:f>'2022_Data'!$G$465</c:f>
            </c:numRef>
          </c:bubbleSize>
        </c:ser>
        <c:ser>
          <c:idx val="465"/>
          <c:order val="465"/>
          <c:tx>
            <c:strRef>
              <c:f>'2022_Data'!$A$466</c:f>
            </c:strRef>
          </c:tx>
          <c:dLbls>
            <c:dLblPos val="ctr"/>
            <c:showLegendKey val="0"/>
            <c:showVal val="0"/>
            <c:showCatName val="0"/>
            <c:showSerName val="1"/>
            <c:showPercent val="0"/>
            <c:showBubbleSize val="0"/>
          </c:dLbls>
          <c:xVal>
            <c:strRef>
              <c:f>'2022_Data'!$F$466</c:f>
            </c:strRef>
          </c:xVal>
          <c:yVal>
            <c:numRef>
              <c:f>'2022_Data'!$E$466</c:f>
              <c:numCache/>
            </c:numRef>
          </c:yVal>
          <c:bubbleSize>
            <c:numRef>
              <c:f>'2022_Data'!$G$466</c:f>
            </c:numRef>
          </c:bubbleSize>
        </c:ser>
        <c:ser>
          <c:idx val="466"/>
          <c:order val="466"/>
          <c:tx>
            <c:strRef>
              <c:f>'2022_Data'!$A$467</c:f>
            </c:strRef>
          </c:tx>
          <c:dLbls>
            <c:dLblPos val="ctr"/>
            <c:showLegendKey val="0"/>
            <c:showVal val="0"/>
            <c:showCatName val="0"/>
            <c:showSerName val="1"/>
            <c:showPercent val="0"/>
            <c:showBubbleSize val="0"/>
          </c:dLbls>
          <c:xVal>
            <c:strRef>
              <c:f>'2022_Data'!$F$467</c:f>
            </c:strRef>
          </c:xVal>
          <c:yVal>
            <c:numRef>
              <c:f>'2022_Data'!$E$467</c:f>
              <c:numCache/>
            </c:numRef>
          </c:yVal>
          <c:bubbleSize>
            <c:numRef>
              <c:f>'2022_Data'!$G$467</c:f>
            </c:numRef>
          </c:bubbleSize>
        </c:ser>
        <c:ser>
          <c:idx val="467"/>
          <c:order val="467"/>
          <c:tx>
            <c:strRef>
              <c:f>'2022_Data'!$A$468</c:f>
            </c:strRef>
          </c:tx>
          <c:dLbls>
            <c:dLblPos val="ctr"/>
            <c:showLegendKey val="0"/>
            <c:showVal val="0"/>
            <c:showCatName val="0"/>
            <c:showSerName val="1"/>
            <c:showPercent val="0"/>
            <c:showBubbleSize val="0"/>
          </c:dLbls>
          <c:xVal>
            <c:strRef>
              <c:f>'2022_Data'!$F$468</c:f>
            </c:strRef>
          </c:xVal>
          <c:yVal>
            <c:numRef>
              <c:f>'2022_Data'!$E$468</c:f>
              <c:numCache/>
            </c:numRef>
          </c:yVal>
          <c:bubbleSize>
            <c:numRef>
              <c:f>'2022_Data'!$G$468</c:f>
            </c:numRef>
          </c:bubbleSize>
        </c:ser>
        <c:ser>
          <c:idx val="468"/>
          <c:order val="468"/>
          <c:tx>
            <c:strRef>
              <c:f>'2022_Data'!$A$469</c:f>
            </c:strRef>
          </c:tx>
          <c:dLbls>
            <c:dLblPos val="ctr"/>
            <c:showLegendKey val="0"/>
            <c:showVal val="0"/>
            <c:showCatName val="0"/>
            <c:showSerName val="1"/>
            <c:showPercent val="0"/>
            <c:showBubbleSize val="0"/>
          </c:dLbls>
          <c:xVal>
            <c:strRef>
              <c:f>'2022_Data'!$F$469</c:f>
            </c:strRef>
          </c:xVal>
          <c:yVal>
            <c:numRef>
              <c:f>'2022_Data'!$E$469</c:f>
              <c:numCache/>
            </c:numRef>
          </c:yVal>
          <c:bubbleSize>
            <c:numRef>
              <c:f>'2022_Data'!$G$469</c:f>
            </c:numRef>
          </c:bubbleSize>
        </c:ser>
        <c:ser>
          <c:idx val="469"/>
          <c:order val="469"/>
          <c:tx>
            <c:strRef>
              <c:f>'2022_Data'!$A$470</c:f>
            </c:strRef>
          </c:tx>
          <c:dLbls>
            <c:dLblPos val="ctr"/>
            <c:showLegendKey val="0"/>
            <c:showVal val="0"/>
            <c:showCatName val="0"/>
            <c:showSerName val="1"/>
            <c:showPercent val="0"/>
            <c:showBubbleSize val="0"/>
          </c:dLbls>
          <c:xVal>
            <c:strRef>
              <c:f>'2022_Data'!$F$470</c:f>
            </c:strRef>
          </c:xVal>
          <c:yVal>
            <c:numRef>
              <c:f>'2022_Data'!$E$470</c:f>
              <c:numCache/>
            </c:numRef>
          </c:yVal>
          <c:bubbleSize>
            <c:numRef>
              <c:f>'2022_Data'!$G$470</c:f>
            </c:numRef>
          </c:bubbleSize>
        </c:ser>
        <c:ser>
          <c:idx val="470"/>
          <c:order val="470"/>
          <c:tx>
            <c:strRef>
              <c:f>'2022_Data'!$A$471</c:f>
            </c:strRef>
          </c:tx>
          <c:dLbls>
            <c:dLblPos val="ctr"/>
            <c:showLegendKey val="0"/>
            <c:showVal val="0"/>
            <c:showCatName val="0"/>
            <c:showSerName val="1"/>
            <c:showPercent val="0"/>
            <c:showBubbleSize val="0"/>
          </c:dLbls>
          <c:xVal>
            <c:strRef>
              <c:f>'2022_Data'!$F$471</c:f>
            </c:strRef>
          </c:xVal>
          <c:yVal>
            <c:numRef>
              <c:f>'2022_Data'!$E$471</c:f>
              <c:numCache/>
            </c:numRef>
          </c:yVal>
          <c:bubbleSize>
            <c:numRef>
              <c:f>'2022_Data'!$G$471</c:f>
            </c:numRef>
          </c:bubbleSize>
        </c:ser>
        <c:ser>
          <c:idx val="471"/>
          <c:order val="471"/>
          <c:tx>
            <c:strRef>
              <c:f>'2022_Data'!$A$472</c:f>
            </c:strRef>
          </c:tx>
          <c:dLbls>
            <c:dLblPos val="ctr"/>
            <c:showLegendKey val="0"/>
            <c:showVal val="0"/>
            <c:showCatName val="0"/>
            <c:showSerName val="1"/>
            <c:showPercent val="0"/>
            <c:showBubbleSize val="0"/>
          </c:dLbls>
          <c:xVal>
            <c:strRef>
              <c:f>'2022_Data'!$F$472</c:f>
            </c:strRef>
          </c:xVal>
          <c:yVal>
            <c:numRef>
              <c:f>'2022_Data'!$E$472</c:f>
              <c:numCache/>
            </c:numRef>
          </c:yVal>
          <c:bubbleSize>
            <c:numRef>
              <c:f>'2022_Data'!$G$472</c:f>
            </c:numRef>
          </c:bubbleSize>
        </c:ser>
        <c:ser>
          <c:idx val="472"/>
          <c:order val="472"/>
          <c:tx>
            <c:strRef>
              <c:f>'2022_Data'!$A$473</c:f>
            </c:strRef>
          </c:tx>
          <c:dLbls>
            <c:dLblPos val="ctr"/>
            <c:showLegendKey val="0"/>
            <c:showVal val="0"/>
            <c:showCatName val="0"/>
            <c:showSerName val="1"/>
            <c:showPercent val="0"/>
            <c:showBubbleSize val="0"/>
          </c:dLbls>
          <c:xVal>
            <c:strRef>
              <c:f>'2022_Data'!$F$473</c:f>
            </c:strRef>
          </c:xVal>
          <c:yVal>
            <c:numRef>
              <c:f>'2022_Data'!$E$473</c:f>
              <c:numCache/>
            </c:numRef>
          </c:yVal>
          <c:bubbleSize>
            <c:numRef>
              <c:f>'2022_Data'!$G$473</c:f>
            </c:numRef>
          </c:bubbleSize>
        </c:ser>
        <c:ser>
          <c:idx val="473"/>
          <c:order val="473"/>
          <c:tx>
            <c:strRef>
              <c:f>'2022_Data'!$A$474</c:f>
            </c:strRef>
          </c:tx>
          <c:dLbls>
            <c:dLblPos val="ctr"/>
            <c:showLegendKey val="0"/>
            <c:showVal val="0"/>
            <c:showCatName val="0"/>
            <c:showSerName val="1"/>
            <c:showPercent val="0"/>
            <c:showBubbleSize val="0"/>
          </c:dLbls>
          <c:xVal>
            <c:strRef>
              <c:f>'2022_Data'!$F$474</c:f>
            </c:strRef>
          </c:xVal>
          <c:yVal>
            <c:numRef>
              <c:f>'2022_Data'!$E$474</c:f>
              <c:numCache/>
            </c:numRef>
          </c:yVal>
          <c:bubbleSize>
            <c:numRef>
              <c:f>'2022_Data'!$G$474</c:f>
            </c:numRef>
          </c:bubbleSize>
        </c:ser>
        <c:ser>
          <c:idx val="474"/>
          <c:order val="474"/>
          <c:tx>
            <c:strRef>
              <c:f>'2022_Data'!$A$475</c:f>
            </c:strRef>
          </c:tx>
          <c:dLbls>
            <c:dLblPos val="ctr"/>
            <c:showLegendKey val="0"/>
            <c:showVal val="0"/>
            <c:showCatName val="0"/>
            <c:showSerName val="1"/>
            <c:showPercent val="0"/>
            <c:showBubbleSize val="0"/>
          </c:dLbls>
          <c:xVal>
            <c:strRef>
              <c:f>'2022_Data'!$F$475</c:f>
            </c:strRef>
          </c:xVal>
          <c:yVal>
            <c:numRef>
              <c:f>'2022_Data'!$E$475</c:f>
              <c:numCache/>
            </c:numRef>
          </c:yVal>
          <c:bubbleSize>
            <c:numRef>
              <c:f>'2022_Data'!$G$475</c:f>
            </c:numRef>
          </c:bubbleSize>
        </c:ser>
        <c:ser>
          <c:idx val="475"/>
          <c:order val="475"/>
          <c:tx>
            <c:strRef>
              <c:f>'2022_Data'!$A$476</c:f>
            </c:strRef>
          </c:tx>
          <c:dLbls>
            <c:dLblPos val="ctr"/>
            <c:showLegendKey val="0"/>
            <c:showVal val="0"/>
            <c:showCatName val="0"/>
            <c:showSerName val="1"/>
            <c:showPercent val="0"/>
            <c:showBubbleSize val="0"/>
          </c:dLbls>
          <c:xVal>
            <c:strRef>
              <c:f>'2022_Data'!$F$476</c:f>
            </c:strRef>
          </c:xVal>
          <c:yVal>
            <c:numRef>
              <c:f>'2022_Data'!$E$476</c:f>
              <c:numCache/>
            </c:numRef>
          </c:yVal>
          <c:bubbleSize>
            <c:numRef>
              <c:f>'2022_Data'!$G$476</c:f>
            </c:numRef>
          </c:bubbleSize>
        </c:ser>
        <c:ser>
          <c:idx val="476"/>
          <c:order val="476"/>
          <c:tx>
            <c:strRef>
              <c:f>'2022_Data'!$A$477</c:f>
            </c:strRef>
          </c:tx>
          <c:dLbls>
            <c:dLblPos val="ctr"/>
            <c:showLegendKey val="0"/>
            <c:showVal val="0"/>
            <c:showCatName val="0"/>
            <c:showSerName val="1"/>
            <c:showPercent val="0"/>
            <c:showBubbleSize val="0"/>
          </c:dLbls>
          <c:xVal>
            <c:strRef>
              <c:f>'2022_Data'!$F$477</c:f>
            </c:strRef>
          </c:xVal>
          <c:yVal>
            <c:numRef>
              <c:f>'2022_Data'!$E$477</c:f>
              <c:numCache/>
            </c:numRef>
          </c:yVal>
          <c:bubbleSize>
            <c:numRef>
              <c:f>'2022_Data'!$G$477</c:f>
            </c:numRef>
          </c:bubbleSize>
        </c:ser>
        <c:ser>
          <c:idx val="477"/>
          <c:order val="477"/>
          <c:tx>
            <c:strRef>
              <c:f>'2022_Data'!$A$478</c:f>
            </c:strRef>
          </c:tx>
          <c:dLbls>
            <c:dLblPos val="ctr"/>
            <c:showLegendKey val="0"/>
            <c:showVal val="0"/>
            <c:showCatName val="0"/>
            <c:showSerName val="1"/>
            <c:showPercent val="0"/>
            <c:showBubbleSize val="0"/>
          </c:dLbls>
          <c:xVal>
            <c:strRef>
              <c:f>'2022_Data'!$F$478</c:f>
            </c:strRef>
          </c:xVal>
          <c:yVal>
            <c:numRef>
              <c:f>'2022_Data'!$E$478</c:f>
              <c:numCache/>
            </c:numRef>
          </c:yVal>
          <c:bubbleSize>
            <c:numRef>
              <c:f>'2022_Data'!$G$478</c:f>
            </c:numRef>
          </c:bubbleSize>
        </c:ser>
        <c:ser>
          <c:idx val="478"/>
          <c:order val="478"/>
          <c:tx>
            <c:strRef>
              <c:f>'2022_Data'!$A$479</c:f>
            </c:strRef>
          </c:tx>
          <c:dLbls>
            <c:dLblPos val="ctr"/>
            <c:showLegendKey val="0"/>
            <c:showVal val="0"/>
            <c:showCatName val="0"/>
            <c:showSerName val="1"/>
            <c:showPercent val="0"/>
            <c:showBubbleSize val="0"/>
          </c:dLbls>
          <c:xVal>
            <c:strRef>
              <c:f>'2022_Data'!$F$479</c:f>
            </c:strRef>
          </c:xVal>
          <c:yVal>
            <c:numRef>
              <c:f>'2022_Data'!$E$479</c:f>
              <c:numCache/>
            </c:numRef>
          </c:yVal>
          <c:bubbleSize>
            <c:numRef>
              <c:f>'2022_Data'!$G$479</c:f>
            </c:numRef>
          </c:bubbleSize>
        </c:ser>
        <c:ser>
          <c:idx val="479"/>
          <c:order val="479"/>
          <c:tx>
            <c:strRef>
              <c:f>'2022_Data'!$A$480</c:f>
            </c:strRef>
          </c:tx>
          <c:dLbls>
            <c:dLblPos val="ctr"/>
            <c:showLegendKey val="0"/>
            <c:showVal val="0"/>
            <c:showCatName val="0"/>
            <c:showSerName val="1"/>
            <c:showPercent val="0"/>
            <c:showBubbleSize val="0"/>
          </c:dLbls>
          <c:xVal>
            <c:strRef>
              <c:f>'2022_Data'!$F$480</c:f>
            </c:strRef>
          </c:xVal>
          <c:yVal>
            <c:numRef>
              <c:f>'2022_Data'!$E$480</c:f>
              <c:numCache/>
            </c:numRef>
          </c:yVal>
          <c:bubbleSize>
            <c:numRef>
              <c:f>'2022_Data'!$G$480</c:f>
            </c:numRef>
          </c:bubbleSize>
        </c:ser>
        <c:ser>
          <c:idx val="480"/>
          <c:order val="480"/>
          <c:tx>
            <c:strRef>
              <c:f>'2022_Data'!$A$481</c:f>
            </c:strRef>
          </c:tx>
          <c:dLbls>
            <c:dLblPos val="ctr"/>
            <c:showLegendKey val="0"/>
            <c:showVal val="0"/>
            <c:showCatName val="0"/>
            <c:showSerName val="1"/>
            <c:showPercent val="0"/>
            <c:showBubbleSize val="0"/>
          </c:dLbls>
          <c:xVal>
            <c:strRef>
              <c:f>'2022_Data'!$F$481</c:f>
            </c:strRef>
          </c:xVal>
          <c:yVal>
            <c:numRef>
              <c:f>'2022_Data'!$E$481</c:f>
              <c:numCache/>
            </c:numRef>
          </c:yVal>
          <c:bubbleSize>
            <c:numRef>
              <c:f>'2022_Data'!$G$481</c:f>
            </c:numRef>
          </c:bubbleSize>
        </c:ser>
        <c:ser>
          <c:idx val="481"/>
          <c:order val="481"/>
          <c:tx>
            <c:strRef>
              <c:f>'2022_Data'!$A$482</c:f>
            </c:strRef>
          </c:tx>
          <c:dLbls>
            <c:dLblPos val="ctr"/>
            <c:showLegendKey val="0"/>
            <c:showVal val="0"/>
            <c:showCatName val="0"/>
            <c:showSerName val="1"/>
            <c:showPercent val="0"/>
            <c:showBubbleSize val="0"/>
          </c:dLbls>
          <c:xVal>
            <c:strRef>
              <c:f>'2022_Data'!$F$482</c:f>
            </c:strRef>
          </c:xVal>
          <c:yVal>
            <c:numRef>
              <c:f>'2022_Data'!$E$482</c:f>
              <c:numCache/>
            </c:numRef>
          </c:yVal>
          <c:bubbleSize>
            <c:numRef>
              <c:f>'2022_Data'!$G$482</c:f>
            </c:numRef>
          </c:bubbleSize>
        </c:ser>
        <c:ser>
          <c:idx val="482"/>
          <c:order val="482"/>
          <c:tx>
            <c:strRef>
              <c:f>'2022_Data'!$A$483</c:f>
            </c:strRef>
          </c:tx>
          <c:dLbls>
            <c:dLblPos val="ctr"/>
            <c:showLegendKey val="0"/>
            <c:showVal val="0"/>
            <c:showCatName val="0"/>
            <c:showSerName val="1"/>
            <c:showPercent val="0"/>
            <c:showBubbleSize val="0"/>
          </c:dLbls>
          <c:xVal>
            <c:strRef>
              <c:f>'2022_Data'!$F$483</c:f>
            </c:strRef>
          </c:xVal>
          <c:yVal>
            <c:numRef>
              <c:f>'2022_Data'!$E$483</c:f>
              <c:numCache/>
            </c:numRef>
          </c:yVal>
          <c:bubbleSize>
            <c:numRef>
              <c:f>'2022_Data'!$G$483</c:f>
            </c:numRef>
          </c:bubbleSize>
        </c:ser>
        <c:ser>
          <c:idx val="483"/>
          <c:order val="483"/>
          <c:tx>
            <c:strRef>
              <c:f>'2022_Data'!$A$484</c:f>
            </c:strRef>
          </c:tx>
          <c:dLbls>
            <c:dLblPos val="ctr"/>
            <c:showLegendKey val="0"/>
            <c:showVal val="0"/>
            <c:showCatName val="0"/>
            <c:showSerName val="1"/>
            <c:showPercent val="0"/>
            <c:showBubbleSize val="0"/>
          </c:dLbls>
          <c:xVal>
            <c:strRef>
              <c:f>'2022_Data'!$F$484</c:f>
            </c:strRef>
          </c:xVal>
          <c:yVal>
            <c:numRef>
              <c:f>'2022_Data'!$E$484</c:f>
              <c:numCache/>
            </c:numRef>
          </c:yVal>
          <c:bubbleSize>
            <c:numRef>
              <c:f>'2022_Data'!$G$484</c:f>
            </c:numRef>
          </c:bubbleSize>
        </c:ser>
        <c:ser>
          <c:idx val="484"/>
          <c:order val="484"/>
          <c:tx>
            <c:strRef>
              <c:f>'2022_Data'!$A$485</c:f>
            </c:strRef>
          </c:tx>
          <c:dLbls>
            <c:dLblPos val="ctr"/>
            <c:showLegendKey val="0"/>
            <c:showVal val="0"/>
            <c:showCatName val="0"/>
            <c:showSerName val="1"/>
            <c:showPercent val="0"/>
            <c:showBubbleSize val="0"/>
          </c:dLbls>
          <c:xVal>
            <c:strRef>
              <c:f>'2022_Data'!$F$485</c:f>
            </c:strRef>
          </c:xVal>
          <c:yVal>
            <c:numRef>
              <c:f>'2022_Data'!$E$485</c:f>
              <c:numCache/>
            </c:numRef>
          </c:yVal>
          <c:bubbleSize>
            <c:numRef>
              <c:f>'2022_Data'!$G$485</c:f>
            </c:numRef>
          </c:bubbleSize>
        </c:ser>
        <c:ser>
          <c:idx val="485"/>
          <c:order val="485"/>
          <c:tx>
            <c:strRef>
              <c:f>'2022_Data'!$A$486</c:f>
            </c:strRef>
          </c:tx>
          <c:dLbls>
            <c:dLblPos val="ctr"/>
            <c:showLegendKey val="0"/>
            <c:showVal val="0"/>
            <c:showCatName val="0"/>
            <c:showSerName val="1"/>
            <c:showPercent val="0"/>
            <c:showBubbleSize val="0"/>
          </c:dLbls>
          <c:xVal>
            <c:strRef>
              <c:f>'2022_Data'!$F$486</c:f>
            </c:strRef>
          </c:xVal>
          <c:yVal>
            <c:numRef>
              <c:f>'2022_Data'!$E$486</c:f>
              <c:numCache/>
            </c:numRef>
          </c:yVal>
          <c:bubbleSize>
            <c:numRef>
              <c:f>'2022_Data'!$G$486</c:f>
            </c:numRef>
          </c:bubbleSize>
        </c:ser>
        <c:ser>
          <c:idx val="486"/>
          <c:order val="486"/>
          <c:tx>
            <c:strRef>
              <c:f>'2022_Data'!$A$487</c:f>
            </c:strRef>
          </c:tx>
          <c:dLbls>
            <c:dLblPos val="ctr"/>
            <c:showLegendKey val="0"/>
            <c:showVal val="0"/>
            <c:showCatName val="0"/>
            <c:showSerName val="1"/>
            <c:showPercent val="0"/>
            <c:showBubbleSize val="0"/>
          </c:dLbls>
          <c:xVal>
            <c:strRef>
              <c:f>'2022_Data'!$F$487</c:f>
            </c:strRef>
          </c:xVal>
          <c:yVal>
            <c:numRef>
              <c:f>'2022_Data'!$E$487</c:f>
              <c:numCache/>
            </c:numRef>
          </c:yVal>
          <c:bubbleSize>
            <c:numRef>
              <c:f>'2022_Data'!$G$487</c:f>
            </c:numRef>
          </c:bubbleSize>
        </c:ser>
        <c:ser>
          <c:idx val="487"/>
          <c:order val="487"/>
          <c:tx>
            <c:strRef>
              <c:f>'2022_Data'!$A$488</c:f>
            </c:strRef>
          </c:tx>
          <c:dLbls>
            <c:dLblPos val="ctr"/>
            <c:showLegendKey val="0"/>
            <c:showVal val="0"/>
            <c:showCatName val="0"/>
            <c:showSerName val="1"/>
            <c:showPercent val="0"/>
            <c:showBubbleSize val="0"/>
          </c:dLbls>
          <c:xVal>
            <c:strRef>
              <c:f>'2022_Data'!$F$488</c:f>
            </c:strRef>
          </c:xVal>
          <c:yVal>
            <c:numRef>
              <c:f>'2022_Data'!$E$488</c:f>
              <c:numCache/>
            </c:numRef>
          </c:yVal>
          <c:bubbleSize>
            <c:numRef>
              <c:f>'2022_Data'!$G$488</c:f>
            </c:numRef>
          </c:bubbleSize>
        </c:ser>
        <c:ser>
          <c:idx val="488"/>
          <c:order val="488"/>
          <c:tx>
            <c:strRef>
              <c:f>'2022_Data'!$A$489</c:f>
            </c:strRef>
          </c:tx>
          <c:dLbls>
            <c:dLblPos val="ctr"/>
            <c:showLegendKey val="0"/>
            <c:showVal val="0"/>
            <c:showCatName val="0"/>
            <c:showSerName val="1"/>
            <c:showPercent val="0"/>
            <c:showBubbleSize val="0"/>
          </c:dLbls>
          <c:xVal>
            <c:strRef>
              <c:f>'2022_Data'!$F$489</c:f>
            </c:strRef>
          </c:xVal>
          <c:yVal>
            <c:numRef>
              <c:f>'2022_Data'!$E$489</c:f>
              <c:numCache/>
            </c:numRef>
          </c:yVal>
          <c:bubbleSize>
            <c:numRef>
              <c:f>'2022_Data'!$G$489</c:f>
            </c:numRef>
          </c:bubbleSize>
        </c:ser>
        <c:ser>
          <c:idx val="489"/>
          <c:order val="489"/>
          <c:tx>
            <c:strRef>
              <c:f>'2022_Data'!$A$490</c:f>
            </c:strRef>
          </c:tx>
          <c:dLbls>
            <c:dLblPos val="ctr"/>
            <c:showLegendKey val="0"/>
            <c:showVal val="0"/>
            <c:showCatName val="0"/>
            <c:showSerName val="1"/>
            <c:showPercent val="0"/>
            <c:showBubbleSize val="0"/>
          </c:dLbls>
          <c:xVal>
            <c:strRef>
              <c:f>'2022_Data'!$F$490</c:f>
            </c:strRef>
          </c:xVal>
          <c:yVal>
            <c:numRef>
              <c:f>'2022_Data'!$E$490</c:f>
              <c:numCache/>
            </c:numRef>
          </c:yVal>
          <c:bubbleSize>
            <c:numRef>
              <c:f>'2022_Data'!$G$490</c:f>
            </c:numRef>
          </c:bubbleSize>
        </c:ser>
        <c:ser>
          <c:idx val="490"/>
          <c:order val="490"/>
          <c:tx>
            <c:strRef>
              <c:f>'2022_Data'!$A$491</c:f>
            </c:strRef>
          </c:tx>
          <c:dLbls>
            <c:dLblPos val="ctr"/>
            <c:showLegendKey val="0"/>
            <c:showVal val="0"/>
            <c:showCatName val="0"/>
            <c:showSerName val="1"/>
            <c:showPercent val="0"/>
            <c:showBubbleSize val="0"/>
          </c:dLbls>
          <c:xVal>
            <c:strRef>
              <c:f>'2022_Data'!$F$491</c:f>
            </c:strRef>
          </c:xVal>
          <c:yVal>
            <c:numRef>
              <c:f>'2022_Data'!$E$491</c:f>
              <c:numCache/>
            </c:numRef>
          </c:yVal>
          <c:bubbleSize>
            <c:numRef>
              <c:f>'2022_Data'!$G$491</c:f>
            </c:numRef>
          </c:bubbleSize>
        </c:ser>
        <c:ser>
          <c:idx val="491"/>
          <c:order val="491"/>
          <c:tx>
            <c:strRef>
              <c:f>'2022_Data'!$A$492</c:f>
            </c:strRef>
          </c:tx>
          <c:dLbls>
            <c:dLblPos val="ctr"/>
            <c:showLegendKey val="0"/>
            <c:showVal val="0"/>
            <c:showCatName val="0"/>
            <c:showSerName val="1"/>
            <c:showPercent val="0"/>
            <c:showBubbleSize val="0"/>
          </c:dLbls>
          <c:xVal>
            <c:strRef>
              <c:f>'2022_Data'!$F$492</c:f>
            </c:strRef>
          </c:xVal>
          <c:yVal>
            <c:numRef>
              <c:f>'2022_Data'!$E$492</c:f>
              <c:numCache/>
            </c:numRef>
          </c:yVal>
          <c:bubbleSize>
            <c:numRef>
              <c:f>'2022_Data'!$G$492</c:f>
            </c:numRef>
          </c:bubbleSize>
        </c:ser>
        <c:ser>
          <c:idx val="492"/>
          <c:order val="492"/>
          <c:tx>
            <c:strRef>
              <c:f>'2022_Data'!$A$493</c:f>
            </c:strRef>
          </c:tx>
          <c:dLbls>
            <c:dLblPos val="ctr"/>
            <c:showLegendKey val="0"/>
            <c:showVal val="0"/>
            <c:showCatName val="0"/>
            <c:showSerName val="1"/>
            <c:showPercent val="0"/>
            <c:showBubbleSize val="0"/>
          </c:dLbls>
          <c:xVal>
            <c:strRef>
              <c:f>'2022_Data'!$F$493</c:f>
            </c:strRef>
          </c:xVal>
          <c:yVal>
            <c:numRef>
              <c:f>'2022_Data'!$E$493</c:f>
              <c:numCache/>
            </c:numRef>
          </c:yVal>
          <c:bubbleSize>
            <c:numRef>
              <c:f>'2022_Data'!$G$493</c:f>
            </c:numRef>
          </c:bubbleSize>
        </c:ser>
        <c:ser>
          <c:idx val="493"/>
          <c:order val="493"/>
          <c:tx>
            <c:strRef>
              <c:f>'2022_Data'!$A$494</c:f>
            </c:strRef>
          </c:tx>
          <c:dLbls>
            <c:dLblPos val="ctr"/>
            <c:showLegendKey val="0"/>
            <c:showVal val="0"/>
            <c:showCatName val="0"/>
            <c:showSerName val="1"/>
            <c:showPercent val="0"/>
            <c:showBubbleSize val="0"/>
          </c:dLbls>
          <c:xVal>
            <c:strRef>
              <c:f>'2022_Data'!$F$494</c:f>
            </c:strRef>
          </c:xVal>
          <c:yVal>
            <c:numRef>
              <c:f>'2022_Data'!$E$494</c:f>
              <c:numCache/>
            </c:numRef>
          </c:yVal>
          <c:bubbleSize>
            <c:numRef>
              <c:f>'2022_Data'!$G$494</c:f>
            </c:numRef>
          </c:bubbleSize>
        </c:ser>
        <c:ser>
          <c:idx val="494"/>
          <c:order val="494"/>
          <c:tx>
            <c:strRef>
              <c:f>'2022_Data'!$A$495</c:f>
            </c:strRef>
          </c:tx>
          <c:dLbls>
            <c:dLblPos val="ctr"/>
            <c:showLegendKey val="0"/>
            <c:showVal val="0"/>
            <c:showCatName val="0"/>
            <c:showSerName val="1"/>
            <c:showPercent val="0"/>
            <c:showBubbleSize val="0"/>
          </c:dLbls>
          <c:xVal>
            <c:strRef>
              <c:f>'2022_Data'!$F$495</c:f>
            </c:strRef>
          </c:xVal>
          <c:yVal>
            <c:numRef>
              <c:f>'2022_Data'!$E$495</c:f>
              <c:numCache/>
            </c:numRef>
          </c:yVal>
          <c:bubbleSize>
            <c:numRef>
              <c:f>'2022_Data'!$G$495</c:f>
            </c:numRef>
          </c:bubbleSize>
        </c:ser>
        <c:ser>
          <c:idx val="495"/>
          <c:order val="495"/>
          <c:tx>
            <c:strRef>
              <c:f>'2022_Data'!$A$496</c:f>
            </c:strRef>
          </c:tx>
          <c:dLbls>
            <c:dLblPos val="ctr"/>
            <c:showLegendKey val="0"/>
            <c:showVal val="0"/>
            <c:showCatName val="0"/>
            <c:showSerName val="1"/>
            <c:showPercent val="0"/>
            <c:showBubbleSize val="0"/>
          </c:dLbls>
          <c:xVal>
            <c:strRef>
              <c:f>'2022_Data'!$F$496</c:f>
            </c:strRef>
          </c:xVal>
          <c:yVal>
            <c:numRef>
              <c:f>'2022_Data'!$E$496</c:f>
              <c:numCache/>
            </c:numRef>
          </c:yVal>
          <c:bubbleSize>
            <c:numRef>
              <c:f>'2022_Data'!$G$496</c:f>
            </c:numRef>
          </c:bubbleSize>
        </c:ser>
        <c:ser>
          <c:idx val="496"/>
          <c:order val="496"/>
          <c:tx>
            <c:strRef>
              <c:f>'2022_Data'!$A$497</c:f>
            </c:strRef>
          </c:tx>
          <c:dLbls>
            <c:dLblPos val="ctr"/>
            <c:showLegendKey val="0"/>
            <c:showVal val="0"/>
            <c:showCatName val="0"/>
            <c:showSerName val="1"/>
            <c:showPercent val="0"/>
            <c:showBubbleSize val="0"/>
          </c:dLbls>
          <c:xVal>
            <c:strRef>
              <c:f>'2022_Data'!$F$497</c:f>
            </c:strRef>
          </c:xVal>
          <c:yVal>
            <c:numRef>
              <c:f>'2022_Data'!$E$497</c:f>
              <c:numCache/>
            </c:numRef>
          </c:yVal>
          <c:bubbleSize>
            <c:numRef>
              <c:f>'2022_Data'!$G$497</c:f>
            </c:numRef>
          </c:bubbleSize>
        </c:ser>
        <c:ser>
          <c:idx val="497"/>
          <c:order val="497"/>
          <c:tx>
            <c:strRef>
              <c:f>'2022_Data'!$A$498</c:f>
            </c:strRef>
          </c:tx>
          <c:dLbls>
            <c:dLblPos val="ctr"/>
            <c:showLegendKey val="0"/>
            <c:showVal val="0"/>
            <c:showCatName val="0"/>
            <c:showSerName val="1"/>
            <c:showPercent val="0"/>
            <c:showBubbleSize val="0"/>
          </c:dLbls>
          <c:xVal>
            <c:strRef>
              <c:f>'2022_Data'!$F$498</c:f>
            </c:strRef>
          </c:xVal>
          <c:yVal>
            <c:numRef>
              <c:f>'2022_Data'!$E$498</c:f>
              <c:numCache/>
            </c:numRef>
          </c:yVal>
          <c:bubbleSize>
            <c:numRef>
              <c:f>'2022_Data'!$G$498</c:f>
            </c:numRef>
          </c:bubbleSize>
        </c:ser>
        <c:ser>
          <c:idx val="498"/>
          <c:order val="498"/>
          <c:tx>
            <c:strRef>
              <c:f>'2022_Data'!$A$499</c:f>
            </c:strRef>
          </c:tx>
          <c:dLbls>
            <c:dLblPos val="ctr"/>
            <c:showLegendKey val="0"/>
            <c:showVal val="0"/>
            <c:showCatName val="0"/>
            <c:showSerName val="1"/>
            <c:showPercent val="0"/>
            <c:showBubbleSize val="0"/>
          </c:dLbls>
          <c:xVal>
            <c:strRef>
              <c:f>'2022_Data'!$F$499</c:f>
            </c:strRef>
          </c:xVal>
          <c:yVal>
            <c:numRef>
              <c:f>'2022_Data'!$E$499</c:f>
              <c:numCache/>
            </c:numRef>
          </c:yVal>
          <c:bubbleSize>
            <c:numRef>
              <c:f>'2022_Data'!$G$499</c:f>
            </c:numRef>
          </c:bubbleSize>
        </c:ser>
        <c:ser>
          <c:idx val="499"/>
          <c:order val="499"/>
          <c:tx>
            <c:strRef>
              <c:f>'2022_Data'!$A$500</c:f>
            </c:strRef>
          </c:tx>
          <c:dLbls>
            <c:dLblPos val="ctr"/>
            <c:showLegendKey val="0"/>
            <c:showVal val="0"/>
            <c:showCatName val="0"/>
            <c:showSerName val="1"/>
            <c:showPercent val="0"/>
            <c:showBubbleSize val="0"/>
          </c:dLbls>
          <c:xVal>
            <c:strRef>
              <c:f>'2022_Data'!$F$500</c:f>
            </c:strRef>
          </c:xVal>
          <c:yVal>
            <c:numRef>
              <c:f>'2022_Data'!$E$500</c:f>
              <c:numCache/>
            </c:numRef>
          </c:yVal>
          <c:bubbleSize>
            <c:numRef>
              <c:f>'2022_Data'!$G$500</c:f>
            </c:numRef>
          </c:bubbleSize>
        </c:ser>
        <c:ser>
          <c:idx val="500"/>
          <c:order val="500"/>
          <c:tx>
            <c:strRef>
              <c:f>'2022_Data'!$A$501</c:f>
            </c:strRef>
          </c:tx>
          <c:dLbls>
            <c:dLblPos val="ctr"/>
            <c:showLegendKey val="0"/>
            <c:showVal val="0"/>
            <c:showCatName val="0"/>
            <c:showSerName val="1"/>
            <c:showPercent val="0"/>
            <c:showBubbleSize val="0"/>
          </c:dLbls>
          <c:xVal>
            <c:strRef>
              <c:f>'2022_Data'!$F$501</c:f>
            </c:strRef>
          </c:xVal>
          <c:yVal>
            <c:numRef>
              <c:f>'2022_Data'!$E$501</c:f>
              <c:numCache/>
            </c:numRef>
          </c:yVal>
          <c:bubbleSize>
            <c:numRef>
              <c:f>'2022_Data'!$G$501</c:f>
            </c:numRef>
          </c:bubbleSize>
        </c:ser>
        <c:ser>
          <c:idx val="501"/>
          <c:order val="501"/>
          <c:tx>
            <c:strRef>
              <c:f>'2022_Data'!$A$502</c:f>
            </c:strRef>
          </c:tx>
          <c:dLbls>
            <c:dLblPos val="ctr"/>
            <c:showLegendKey val="0"/>
            <c:showVal val="0"/>
            <c:showCatName val="0"/>
            <c:showSerName val="1"/>
            <c:showPercent val="0"/>
            <c:showBubbleSize val="0"/>
          </c:dLbls>
          <c:xVal>
            <c:strRef>
              <c:f>'2022_Data'!$F$502</c:f>
            </c:strRef>
          </c:xVal>
          <c:yVal>
            <c:numRef>
              <c:f>'2022_Data'!$E$502</c:f>
              <c:numCache/>
            </c:numRef>
          </c:yVal>
          <c:bubbleSize>
            <c:numRef>
              <c:f>'2022_Data'!$G$502</c:f>
            </c:numRef>
          </c:bubbleSize>
        </c:ser>
        <c:ser>
          <c:idx val="502"/>
          <c:order val="502"/>
          <c:tx>
            <c:strRef>
              <c:f>'2022_Data'!$A$503</c:f>
            </c:strRef>
          </c:tx>
          <c:dLbls>
            <c:dLblPos val="ctr"/>
            <c:showLegendKey val="0"/>
            <c:showVal val="0"/>
            <c:showCatName val="0"/>
            <c:showSerName val="1"/>
            <c:showPercent val="0"/>
            <c:showBubbleSize val="0"/>
          </c:dLbls>
          <c:xVal>
            <c:strRef>
              <c:f>'2022_Data'!$F$503</c:f>
            </c:strRef>
          </c:xVal>
          <c:yVal>
            <c:numRef>
              <c:f>'2022_Data'!$E$503</c:f>
              <c:numCache/>
            </c:numRef>
          </c:yVal>
          <c:bubbleSize>
            <c:numRef>
              <c:f>'2022_Data'!$G$503</c:f>
            </c:numRef>
          </c:bubbleSize>
        </c:ser>
        <c:ser>
          <c:idx val="503"/>
          <c:order val="503"/>
          <c:tx>
            <c:strRef>
              <c:f>'2022_Data'!$A$504</c:f>
            </c:strRef>
          </c:tx>
          <c:dLbls>
            <c:dLblPos val="ctr"/>
            <c:showLegendKey val="0"/>
            <c:showVal val="0"/>
            <c:showCatName val="0"/>
            <c:showSerName val="1"/>
            <c:showPercent val="0"/>
            <c:showBubbleSize val="0"/>
          </c:dLbls>
          <c:xVal>
            <c:strRef>
              <c:f>'2022_Data'!$F$504</c:f>
            </c:strRef>
          </c:xVal>
          <c:yVal>
            <c:numRef>
              <c:f>'2022_Data'!$E$504</c:f>
              <c:numCache/>
            </c:numRef>
          </c:yVal>
          <c:bubbleSize>
            <c:numRef>
              <c:f>'2022_Data'!$G$504</c:f>
            </c:numRef>
          </c:bubbleSize>
        </c:ser>
        <c:ser>
          <c:idx val="504"/>
          <c:order val="504"/>
          <c:tx>
            <c:strRef>
              <c:f>'2022_Data'!$A$505</c:f>
            </c:strRef>
          </c:tx>
          <c:dLbls>
            <c:dLblPos val="ctr"/>
            <c:showLegendKey val="0"/>
            <c:showVal val="0"/>
            <c:showCatName val="0"/>
            <c:showSerName val="1"/>
            <c:showPercent val="0"/>
            <c:showBubbleSize val="0"/>
          </c:dLbls>
          <c:xVal>
            <c:strRef>
              <c:f>'2022_Data'!$F$505</c:f>
            </c:strRef>
          </c:xVal>
          <c:yVal>
            <c:numRef>
              <c:f>'2022_Data'!$E$505</c:f>
              <c:numCache/>
            </c:numRef>
          </c:yVal>
          <c:bubbleSize>
            <c:numRef>
              <c:f>'2022_Data'!$G$505</c:f>
            </c:numRef>
          </c:bubbleSize>
        </c:ser>
        <c:ser>
          <c:idx val="505"/>
          <c:order val="505"/>
          <c:tx>
            <c:strRef>
              <c:f>'2022_Data'!$A$506</c:f>
            </c:strRef>
          </c:tx>
          <c:dLbls>
            <c:dLblPos val="ctr"/>
            <c:showLegendKey val="0"/>
            <c:showVal val="0"/>
            <c:showCatName val="0"/>
            <c:showSerName val="1"/>
            <c:showPercent val="0"/>
            <c:showBubbleSize val="0"/>
          </c:dLbls>
          <c:xVal>
            <c:strRef>
              <c:f>'2022_Data'!$F$506</c:f>
            </c:strRef>
          </c:xVal>
          <c:yVal>
            <c:numRef>
              <c:f>'2022_Data'!$E$506</c:f>
              <c:numCache/>
            </c:numRef>
          </c:yVal>
          <c:bubbleSize>
            <c:numRef>
              <c:f>'2022_Data'!$G$506</c:f>
            </c:numRef>
          </c:bubbleSize>
        </c:ser>
        <c:ser>
          <c:idx val="506"/>
          <c:order val="506"/>
          <c:tx>
            <c:strRef>
              <c:f>'2022_Data'!$A$507</c:f>
            </c:strRef>
          </c:tx>
          <c:dLbls>
            <c:dLblPos val="ctr"/>
            <c:showLegendKey val="0"/>
            <c:showVal val="0"/>
            <c:showCatName val="0"/>
            <c:showSerName val="1"/>
            <c:showPercent val="0"/>
            <c:showBubbleSize val="0"/>
          </c:dLbls>
          <c:xVal>
            <c:strRef>
              <c:f>'2022_Data'!$F$507</c:f>
            </c:strRef>
          </c:xVal>
          <c:yVal>
            <c:numRef>
              <c:f>'2022_Data'!$E$507</c:f>
              <c:numCache/>
            </c:numRef>
          </c:yVal>
          <c:bubbleSize>
            <c:numRef>
              <c:f>'2022_Data'!$G$507</c:f>
            </c:numRef>
          </c:bubbleSize>
        </c:ser>
        <c:ser>
          <c:idx val="507"/>
          <c:order val="507"/>
          <c:tx>
            <c:strRef>
              <c:f>'2022_Data'!$A$508</c:f>
            </c:strRef>
          </c:tx>
          <c:dLbls>
            <c:dLblPos val="ctr"/>
            <c:showLegendKey val="0"/>
            <c:showVal val="0"/>
            <c:showCatName val="0"/>
            <c:showSerName val="1"/>
            <c:showPercent val="0"/>
            <c:showBubbleSize val="0"/>
          </c:dLbls>
          <c:xVal>
            <c:strRef>
              <c:f>'2022_Data'!$F$508</c:f>
            </c:strRef>
          </c:xVal>
          <c:yVal>
            <c:numRef>
              <c:f>'2022_Data'!$E$508</c:f>
              <c:numCache/>
            </c:numRef>
          </c:yVal>
          <c:bubbleSize>
            <c:numRef>
              <c:f>'2022_Data'!$G$508</c:f>
            </c:numRef>
          </c:bubbleSize>
        </c:ser>
        <c:ser>
          <c:idx val="508"/>
          <c:order val="508"/>
          <c:tx>
            <c:strRef>
              <c:f>'2022_Data'!$A$509</c:f>
            </c:strRef>
          </c:tx>
          <c:dLbls>
            <c:dLblPos val="ctr"/>
            <c:showLegendKey val="0"/>
            <c:showVal val="0"/>
            <c:showCatName val="0"/>
            <c:showSerName val="1"/>
            <c:showPercent val="0"/>
            <c:showBubbleSize val="0"/>
          </c:dLbls>
          <c:xVal>
            <c:strRef>
              <c:f>'2022_Data'!$F$509</c:f>
            </c:strRef>
          </c:xVal>
          <c:yVal>
            <c:numRef>
              <c:f>'2022_Data'!$E$509</c:f>
              <c:numCache/>
            </c:numRef>
          </c:yVal>
          <c:bubbleSize>
            <c:numRef>
              <c:f>'2022_Data'!$G$509</c:f>
            </c:numRef>
          </c:bubbleSize>
        </c:ser>
        <c:ser>
          <c:idx val="509"/>
          <c:order val="509"/>
          <c:tx>
            <c:strRef>
              <c:f>'2022_Data'!$A$510</c:f>
            </c:strRef>
          </c:tx>
          <c:dLbls>
            <c:dLblPos val="ctr"/>
            <c:showLegendKey val="0"/>
            <c:showVal val="0"/>
            <c:showCatName val="0"/>
            <c:showSerName val="1"/>
            <c:showPercent val="0"/>
            <c:showBubbleSize val="0"/>
          </c:dLbls>
          <c:xVal>
            <c:strRef>
              <c:f>'2022_Data'!$F$510</c:f>
            </c:strRef>
          </c:xVal>
          <c:yVal>
            <c:numRef>
              <c:f>'2022_Data'!$E$510</c:f>
              <c:numCache/>
            </c:numRef>
          </c:yVal>
          <c:bubbleSize>
            <c:numRef>
              <c:f>'2022_Data'!$G$510</c:f>
            </c:numRef>
          </c:bubbleSize>
        </c:ser>
        <c:ser>
          <c:idx val="510"/>
          <c:order val="510"/>
          <c:tx>
            <c:strRef>
              <c:f>'2022_Data'!$A$511</c:f>
            </c:strRef>
          </c:tx>
          <c:dLbls>
            <c:dLblPos val="ctr"/>
            <c:showLegendKey val="0"/>
            <c:showVal val="0"/>
            <c:showCatName val="0"/>
            <c:showSerName val="1"/>
            <c:showPercent val="0"/>
            <c:showBubbleSize val="0"/>
          </c:dLbls>
          <c:xVal>
            <c:strRef>
              <c:f>'2022_Data'!$F$511</c:f>
            </c:strRef>
          </c:xVal>
          <c:yVal>
            <c:numRef>
              <c:f>'2022_Data'!$E$511</c:f>
              <c:numCache/>
            </c:numRef>
          </c:yVal>
          <c:bubbleSize>
            <c:numRef>
              <c:f>'2022_Data'!$G$511</c:f>
            </c:numRef>
          </c:bubbleSize>
        </c:ser>
        <c:ser>
          <c:idx val="511"/>
          <c:order val="511"/>
          <c:tx>
            <c:strRef>
              <c:f>'2022_Data'!$A$512</c:f>
            </c:strRef>
          </c:tx>
          <c:dLbls>
            <c:dLblPos val="ctr"/>
            <c:showLegendKey val="0"/>
            <c:showVal val="0"/>
            <c:showCatName val="0"/>
            <c:showSerName val="1"/>
            <c:showPercent val="0"/>
            <c:showBubbleSize val="0"/>
          </c:dLbls>
          <c:xVal>
            <c:strRef>
              <c:f>'2022_Data'!$F$512</c:f>
            </c:strRef>
          </c:xVal>
          <c:yVal>
            <c:numRef>
              <c:f>'2022_Data'!$E$512</c:f>
              <c:numCache/>
            </c:numRef>
          </c:yVal>
          <c:bubbleSize>
            <c:numRef>
              <c:f>'2022_Data'!$G$512</c:f>
            </c:numRef>
          </c:bubbleSize>
        </c:ser>
        <c:ser>
          <c:idx val="512"/>
          <c:order val="512"/>
          <c:tx>
            <c:strRef>
              <c:f>'2022_Data'!$A$513</c:f>
            </c:strRef>
          </c:tx>
          <c:dLbls>
            <c:dLblPos val="ctr"/>
            <c:showLegendKey val="0"/>
            <c:showVal val="0"/>
            <c:showCatName val="0"/>
            <c:showSerName val="1"/>
            <c:showPercent val="0"/>
            <c:showBubbleSize val="0"/>
          </c:dLbls>
          <c:xVal>
            <c:strRef>
              <c:f>'2022_Data'!$F$513</c:f>
            </c:strRef>
          </c:xVal>
          <c:yVal>
            <c:numRef>
              <c:f>'2022_Data'!$E$513</c:f>
              <c:numCache/>
            </c:numRef>
          </c:yVal>
          <c:bubbleSize>
            <c:numRef>
              <c:f>'2022_Data'!$G$513</c:f>
            </c:numRef>
          </c:bubbleSize>
        </c:ser>
        <c:ser>
          <c:idx val="513"/>
          <c:order val="513"/>
          <c:tx>
            <c:strRef>
              <c:f>'2022_Data'!$A$514</c:f>
            </c:strRef>
          </c:tx>
          <c:dLbls>
            <c:dLblPos val="ctr"/>
            <c:showLegendKey val="0"/>
            <c:showVal val="0"/>
            <c:showCatName val="0"/>
            <c:showSerName val="1"/>
            <c:showPercent val="0"/>
            <c:showBubbleSize val="0"/>
          </c:dLbls>
          <c:xVal>
            <c:strRef>
              <c:f>'2022_Data'!$F$514</c:f>
            </c:strRef>
          </c:xVal>
          <c:yVal>
            <c:numRef>
              <c:f>'2022_Data'!$E$514</c:f>
              <c:numCache/>
            </c:numRef>
          </c:yVal>
          <c:bubbleSize>
            <c:numRef>
              <c:f>'2022_Data'!$G$514</c:f>
            </c:numRef>
          </c:bubbleSize>
        </c:ser>
        <c:ser>
          <c:idx val="514"/>
          <c:order val="514"/>
          <c:tx>
            <c:strRef>
              <c:f>'2022_Data'!$A$515</c:f>
            </c:strRef>
          </c:tx>
          <c:dLbls>
            <c:dLblPos val="ctr"/>
            <c:showLegendKey val="0"/>
            <c:showVal val="0"/>
            <c:showCatName val="0"/>
            <c:showSerName val="1"/>
            <c:showPercent val="0"/>
            <c:showBubbleSize val="0"/>
          </c:dLbls>
          <c:xVal>
            <c:strRef>
              <c:f>'2022_Data'!$F$515</c:f>
            </c:strRef>
          </c:xVal>
          <c:yVal>
            <c:numRef>
              <c:f>'2022_Data'!$E$515</c:f>
              <c:numCache/>
            </c:numRef>
          </c:yVal>
          <c:bubbleSize>
            <c:numRef>
              <c:f>'2022_Data'!$G$515</c:f>
            </c:numRef>
          </c:bubbleSize>
        </c:ser>
        <c:ser>
          <c:idx val="515"/>
          <c:order val="515"/>
          <c:tx>
            <c:strRef>
              <c:f>'2022_Data'!$A$516</c:f>
            </c:strRef>
          </c:tx>
          <c:dLbls>
            <c:dLblPos val="ctr"/>
            <c:showLegendKey val="0"/>
            <c:showVal val="0"/>
            <c:showCatName val="0"/>
            <c:showSerName val="1"/>
            <c:showPercent val="0"/>
            <c:showBubbleSize val="0"/>
          </c:dLbls>
          <c:xVal>
            <c:strRef>
              <c:f>'2022_Data'!$F$516</c:f>
            </c:strRef>
          </c:xVal>
          <c:yVal>
            <c:numRef>
              <c:f>'2022_Data'!$E$516</c:f>
              <c:numCache/>
            </c:numRef>
          </c:yVal>
          <c:bubbleSize>
            <c:numRef>
              <c:f>'2022_Data'!$G$516</c:f>
            </c:numRef>
          </c:bubbleSize>
        </c:ser>
        <c:ser>
          <c:idx val="516"/>
          <c:order val="516"/>
          <c:tx>
            <c:strRef>
              <c:f>'2022_Data'!$A$517</c:f>
            </c:strRef>
          </c:tx>
          <c:dLbls>
            <c:dLblPos val="ctr"/>
            <c:showLegendKey val="0"/>
            <c:showVal val="0"/>
            <c:showCatName val="0"/>
            <c:showSerName val="1"/>
            <c:showPercent val="0"/>
            <c:showBubbleSize val="0"/>
          </c:dLbls>
          <c:xVal>
            <c:strRef>
              <c:f>'2022_Data'!$F$517</c:f>
            </c:strRef>
          </c:xVal>
          <c:yVal>
            <c:numRef>
              <c:f>'2022_Data'!$E$517</c:f>
              <c:numCache/>
            </c:numRef>
          </c:yVal>
          <c:bubbleSize>
            <c:numRef>
              <c:f>'2022_Data'!$G$517</c:f>
            </c:numRef>
          </c:bubbleSize>
        </c:ser>
        <c:ser>
          <c:idx val="517"/>
          <c:order val="517"/>
          <c:tx>
            <c:strRef>
              <c:f>'2022_Data'!$A$518</c:f>
            </c:strRef>
          </c:tx>
          <c:dLbls>
            <c:dLblPos val="ctr"/>
            <c:showLegendKey val="0"/>
            <c:showVal val="0"/>
            <c:showCatName val="0"/>
            <c:showSerName val="1"/>
            <c:showPercent val="0"/>
            <c:showBubbleSize val="0"/>
          </c:dLbls>
          <c:xVal>
            <c:strRef>
              <c:f>'2022_Data'!$F$518</c:f>
            </c:strRef>
          </c:xVal>
          <c:yVal>
            <c:numRef>
              <c:f>'2022_Data'!$E$518</c:f>
              <c:numCache/>
            </c:numRef>
          </c:yVal>
          <c:bubbleSize>
            <c:numRef>
              <c:f>'2022_Data'!$G$518</c:f>
            </c:numRef>
          </c:bubbleSize>
        </c:ser>
        <c:ser>
          <c:idx val="518"/>
          <c:order val="518"/>
          <c:tx>
            <c:strRef>
              <c:f>'2022_Data'!$A$519</c:f>
            </c:strRef>
          </c:tx>
          <c:dLbls>
            <c:dLblPos val="ctr"/>
            <c:showLegendKey val="0"/>
            <c:showVal val="0"/>
            <c:showCatName val="0"/>
            <c:showSerName val="1"/>
            <c:showPercent val="0"/>
            <c:showBubbleSize val="0"/>
          </c:dLbls>
          <c:xVal>
            <c:strRef>
              <c:f>'2022_Data'!$F$519</c:f>
            </c:strRef>
          </c:xVal>
          <c:yVal>
            <c:numRef>
              <c:f>'2022_Data'!$E$519</c:f>
              <c:numCache/>
            </c:numRef>
          </c:yVal>
          <c:bubbleSize>
            <c:numRef>
              <c:f>'2022_Data'!$G$519</c:f>
            </c:numRef>
          </c:bubbleSize>
        </c:ser>
        <c:ser>
          <c:idx val="519"/>
          <c:order val="519"/>
          <c:tx>
            <c:strRef>
              <c:f>'2022_Data'!$A$520</c:f>
            </c:strRef>
          </c:tx>
          <c:dLbls>
            <c:dLblPos val="ctr"/>
            <c:showLegendKey val="0"/>
            <c:showVal val="0"/>
            <c:showCatName val="0"/>
            <c:showSerName val="1"/>
            <c:showPercent val="0"/>
            <c:showBubbleSize val="0"/>
          </c:dLbls>
          <c:xVal>
            <c:strRef>
              <c:f>'2022_Data'!$F$520</c:f>
            </c:strRef>
          </c:xVal>
          <c:yVal>
            <c:numRef>
              <c:f>'2022_Data'!$E$520</c:f>
              <c:numCache/>
            </c:numRef>
          </c:yVal>
          <c:bubbleSize>
            <c:numRef>
              <c:f>'2022_Data'!$G$520</c:f>
            </c:numRef>
          </c:bubbleSize>
        </c:ser>
        <c:ser>
          <c:idx val="520"/>
          <c:order val="520"/>
          <c:tx>
            <c:strRef>
              <c:f>'2022_Data'!$A$521</c:f>
            </c:strRef>
          </c:tx>
          <c:dLbls>
            <c:dLblPos val="ctr"/>
            <c:showLegendKey val="0"/>
            <c:showVal val="0"/>
            <c:showCatName val="0"/>
            <c:showSerName val="1"/>
            <c:showPercent val="0"/>
            <c:showBubbleSize val="0"/>
          </c:dLbls>
          <c:xVal>
            <c:strRef>
              <c:f>'2022_Data'!$F$521</c:f>
            </c:strRef>
          </c:xVal>
          <c:yVal>
            <c:numRef>
              <c:f>'2022_Data'!$E$521</c:f>
              <c:numCache/>
            </c:numRef>
          </c:yVal>
          <c:bubbleSize>
            <c:numRef>
              <c:f>'2022_Data'!$G$521</c:f>
            </c:numRef>
          </c:bubbleSize>
        </c:ser>
        <c:ser>
          <c:idx val="521"/>
          <c:order val="521"/>
          <c:tx>
            <c:strRef>
              <c:f>'2022_Data'!$A$522</c:f>
            </c:strRef>
          </c:tx>
          <c:dLbls>
            <c:dLblPos val="ctr"/>
            <c:showLegendKey val="0"/>
            <c:showVal val="0"/>
            <c:showCatName val="0"/>
            <c:showSerName val="1"/>
            <c:showPercent val="0"/>
            <c:showBubbleSize val="0"/>
          </c:dLbls>
          <c:xVal>
            <c:strRef>
              <c:f>'2022_Data'!$F$522</c:f>
            </c:strRef>
          </c:xVal>
          <c:yVal>
            <c:numRef>
              <c:f>'2022_Data'!$E$522</c:f>
              <c:numCache/>
            </c:numRef>
          </c:yVal>
          <c:bubbleSize>
            <c:numRef>
              <c:f>'2022_Data'!$G$522</c:f>
            </c:numRef>
          </c:bubbleSize>
        </c:ser>
        <c:ser>
          <c:idx val="522"/>
          <c:order val="522"/>
          <c:tx>
            <c:strRef>
              <c:f>'2022_Data'!$A$523</c:f>
            </c:strRef>
          </c:tx>
          <c:dLbls>
            <c:dLblPos val="ctr"/>
            <c:showLegendKey val="0"/>
            <c:showVal val="0"/>
            <c:showCatName val="0"/>
            <c:showSerName val="1"/>
            <c:showPercent val="0"/>
            <c:showBubbleSize val="0"/>
          </c:dLbls>
          <c:xVal>
            <c:strRef>
              <c:f>'2022_Data'!$F$523</c:f>
            </c:strRef>
          </c:xVal>
          <c:yVal>
            <c:numRef>
              <c:f>'2022_Data'!$E$523</c:f>
              <c:numCache/>
            </c:numRef>
          </c:yVal>
          <c:bubbleSize>
            <c:numRef>
              <c:f>'2022_Data'!$G$523</c:f>
            </c:numRef>
          </c:bubbleSize>
        </c:ser>
        <c:ser>
          <c:idx val="523"/>
          <c:order val="523"/>
          <c:tx>
            <c:strRef>
              <c:f>'2022_Data'!$A$524</c:f>
            </c:strRef>
          </c:tx>
          <c:dLbls>
            <c:dLblPos val="ctr"/>
            <c:showLegendKey val="0"/>
            <c:showVal val="0"/>
            <c:showCatName val="0"/>
            <c:showSerName val="1"/>
            <c:showPercent val="0"/>
            <c:showBubbleSize val="0"/>
          </c:dLbls>
          <c:xVal>
            <c:strRef>
              <c:f>'2022_Data'!$F$524</c:f>
            </c:strRef>
          </c:xVal>
          <c:yVal>
            <c:numRef>
              <c:f>'2022_Data'!$E$524</c:f>
              <c:numCache/>
            </c:numRef>
          </c:yVal>
          <c:bubbleSize>
            <c:numRef>
              <c:f>'2022_Data'!$G$524</c:f>
            </c:numRef>
          </c:bubbleSize>
        </c:ser>
        <c:ser>
          <c:idx val="524"/>
          <c:order val="524"/>
          <c:tx>
            <c:strRef>
              <c:f>'2022_Data'!$A$525</c:f>
            </c:strRef>
          </c:tx>
          <c:dLbls>
            <c:dLblPos val="ctr"/>
            <c:showLegendKey val="0"/>
            <c:showVal val="0"/>
            <c:showCatName val="0"/>
            <c:showSerName val="1"/>
            <c:showPercent val="0"/>
            <c:showBubbleSize val="0"/>
          </c:dLbls>
          <c:xVal>
            <c:strRef>
              <c:f>'2022_Data'!$F$525</c:f>
            </c:strRef>
          </c:xVal>
          <c:yVal>
            <c:numRef>
              <c:f>'2022_Data'!$E$525</c:f>
              <c:numCache/>
            </c:numRef>
          </c:yVal>
          <c:bubbleSize>
            <c:numRef>
              <c:f>'2022_Data'!$G$525</c:f>
            </c:numRef>
          </c:bubbleSize>
        </c:ser>
        <c:ser>
          <c:idx val="525"/>
          <c:order val="525"/>
          <c:tx>
            <c:strRef>
              <c:f>'2022_Data'!$A$526</c:f>
            </c:strRef>
          </c:tx>
          <c:dLbls>
            <c:dLblPos val="ctr"/>
            <c:showLegendKey val="0"/>
            <c:showVal val="0"/>
            <c:showCatName val="0"/>
            <c:showSerName val="1"/>
            <c:showPercent val="0"/>
            <c:showBubbleSize val="0"/>
          </c:dLbls>
          <c:xVal>
            <c:strRef>
              <c:f>'2022_Data'!$F$526</c:f>
            </c:strRef>
          </c:xVal>
          <c:yVal>
            <c:numRef>
              <c:f>'2022_Data'!$E$526</c:f>
              <c:numCache/>
            </c:numRef>
          </c:yVal>
          <c:bubbleSize>
            <c:numRef>
              <c:f>'2022_Data'!$G$526</c:f>
            </c:numRef>
          </c:bubbleSize>
        </c:ser>
        <c:ser>
          <c:idx val="526"/>
          <c:order val="526"/>
          <c:tx>
            <c:strRef>
              <c:f>'2022_Data'!$A$527</c:f>
            </c:strRef>
          </c:tx>
          <c:dLbls>
            <c:dLblPos val="ctr"/>
            <c:showLegendKey val="0"/>
            <c:showVal val="0"/>
            <c:showCatName val="0"/>
            <c:showSerName val="1"/>
            <c:showPercent val="0"/>
            <c:showBubbleSize val="0"/>
          </c:dLbls>
          <c:xVal>
            <c:strRef>
              <c:f>'2022_Data'!$F$527</c:f>
            </c:strRef>
          </c:xVal>
          <c:yVal>
            <c:numRef>
              <c:f>'2022_Data'!$E$527</c:f>
              <c:numCache/>
            </c:numRef>
          </c:yVal>
          <c:bubbleSize>
            <c:numRef>
              <c:f>'2022_Data'!$G$527</c:f>
            </c:numRef>
          </c:bubbleSize>
        </c:ser>
        <c:ser>
          <c:idx val="527"/>
          <c:order val="527"/>
          <c:tx>
            <c:strRef>
              <c:f>'2022_Data'!$A$528</c:f>
            </c:strRef>
          </c:tx>
          <c:dLbls>
            <c:dLblPos val="ctr"/>
            <c:showLegendKey val="0"/>
            <c:showVal val="0"/>
            <c:showCatName val="0"/>
            <c:showSerName val="1"/>
            <c:showPercent val="0"/>
            <c:showBubbleSize val="0"/>
          </c:dLbls>
          <c:xVal>
            <c:strRef>
              <c:f>'2022_Data'!$F$528</c:f>
            </c:strRef>
          </c:xVal>
          <c:yVal>
            <c:numRef>
              <c:f>'2022_Data'!$E$528</c:f>
              <c:numCache/>
            </c:numRef>
          </c:yVal>
          <c:bubbleSize>
            <c:numRef>
              <c:f>'2022_Data'!$G$528</c:f>
            </c:numRef>
          </c:bubbleSize>
        </c:ser>
        <c:ser>
          <c:idx val="528"/>
          <c:order val="528"/>
          <c:tx>
            <c:strRef>
              <c:f>'2022_Data'!$A$529</c:f>
            </c:strRef>
          </c:tx>
          <c:dLbls>
            <c:dLblPos val="ctr"/>
            <c:showLegendKey val="0"/>
            <c:showVal val="0"/>
            <c:showCatName val="0"/>
            <c:showSerName val="1"/>
            <c:showPercent val="0"/>
            <c:showBubbleSize val="0"/>
          </c:dLbls>
          <c:xVal>
            <c:strRef>
              <c:f>'2022_Data'!$F$529</c:f>
            </c:strRef>
          </c:xVal>
          <c:yVal>
            <c:numRef>
              <c:f>'2022_Data'!$E$529</c:f>
              <c:numCache/>
            </c:numRef>
          </c:yVal>
          <c:bubbleSize>
            <c:numRef>
              <c:f>'2022_Data'!$G$529</c:f>
            </c:numRef>
          </c:bubbleSize>
        </c:ser>
        <c:ser>
          <c:idx val="529"/>
          <c:order val="529"/>
          <c:tx>
            <c:strRef>
              <c:f>'2022_Data'!$A$530</c:f>
            </c:strRef>
          </c:tx>
          <c:dLbls>
            <c:dLblPos val="ctr"/>
            <c:showLegendKey val="0"/>
            <c:showVal val="0"/>
            <c:showCatName val="0"/>
            <c:showSerName val="1"/>
            <c:showPercent val="0"/>
            <c:showBubbleSize val="0"/>
          </c:dLbls>
          <c:xVal>
            <c:strRef>
              <c:f>'2022_Data'!$F$530</c:f>
            </c:strRef>
          </c:xVal>
          <c:yVal>
            <c:numRef>
              <c:f>'2022_Data'!$E$530</c:f>
              <c:numCache/>
            </c:numRef>
          </c:yVal>
          <c:bubbleSize>
            <c:numRef>
              <c:f>'2022_Data'!$G$530</c:f>
            </c:numRef>
          </c:bubbleSize>
        </c:ser>
        <c:ser>
          <c:idx val="530"/>
          <c:order val="530"/>
          <c:tx>
            <c:strRef>
              <c:f>'2022_Data'!$A$531</c:f>
            </c:strRef>
          </c:tx>
          <c:dLbls>
            <c:dLblPos val="ctr"/>
            <c:showLegendKey val="0"/>
            <c:showVal val="0"/>
            <c:showCatName val="0"/>
            <c:showSerName val="1"/>
            <c:showPercent val="0"/>
            <c:showBubbleSize val="0"/>
          </c:dLbls>
          <c:xVal>
            <c:strRef>
              <c:f>'2022_Data'!$F$531</c:f>
            </c:strRef>
          </c:xVal>
          <c:yVal>
            <c:numRef>
              <c:f>'2022_Data'!$E$531</c:f>
              <c:numCache/>
            </c:numRef>
          </c:yVal>
          <c:bubbleSize>
            <c:numRef>
              <c:f>'2022_Data'!$G$531</c:f>
            </c:numRef>
          </c:bubbleSize>
        </c:ser>
        <c:ser>
          <c:idx val="531"/>
          <c:order val="531"/>
          <c:tx>
            <c:strRef>
              <c:f>'2022_Data'!$A$532</c:f>
            </c:strRef>
          </c:tx>
          <c:dLbls>
            <c:dLblPos val="ctr"/>
            <c:showLegendKey val="0"/>
            <c:showVal val="0"/>
            <c:showCatName val="0"/>
            <c:showSerName val="1"/>
            <c:showPercent val="0"/>
            <c:showBubbleSize val="0"/>
          </c:dLbls>
          <c:xVal>
            <c:strRef>
              <c:f>'2022_Data'!$F$532</c:f>
            </c:strRef>
          </c:xVal>
          <c:yVal>
            <c:numRef>
              <c:f>'2022_Data'!$E$532</c:f>
              <c:numCache/>
            </c:numRef>
          </c:yVal>
          <c:bubbleSize>
            <c:numRef>
              <c:f>'2022_Data'!$G$532</c:f>
            </c:numRef>
          </c:bubbleSize>
        </c:ser>
        <c:ser>
          <c:idx val="532"/>
          <c:order val="532"/>
          <c:tx>
            <c:strRef>
              <c:f>'2022_Data'!$A$533</c:f>
            </c:strRef>
          </c:tx>
          <c:dLbls>
            <c:dLblPos val="ctr"/>
            <c:showLegendKey val="0"/>
            <c:showVal val="0"/>
            <c:showCatName val="0"/>
            <c:showSerName val="1"/>
            <c:showPercent val="0"/>
            <c:showBubbleSize val="0"/>
          </c:dLbls>
          <c:xVal>
            <c:strRef>
              <c:f>'2022_Data'!$F$533</c:f>
            </c:strRef>
          </c:xVal>
          <c:yVal>
            <c:numRef>
              <c:f>'2022_Data'!$E$533</c:f>
              <c:numCache/>
            </c:numRef>
          </c:yVal>
          <c:bubbleSize>
            <c:numRef>
              <c:f>'2022_Data'!$G$533</c:f>
            </c:numRef>
          </c:bubbleSize>
        </c:ser>
        <c:ser>
          <c:idx val="533"/>
          <c:order val="533"/>
          <c:tx>
            <c:strRef>
              <c:f>'2022_Data'!$A$534</c:f>
            </c:strRef>
          </c:tx>
          <c:dLbls>
            <c:dLblPos val="ctr"/>
            <c:showLegendKey val="0"/>
            <c:showVal val="0"/>
            <c:showCatName val="0"/>
            <c:showSerName val="1"/>
            <c:showPercent val="0"/>
            <c:showBubbleSize val="0"/>
          </c:dLbls>
          <c:xVal>
            <c:strRef>
              <c:f>'2022_Data'!$F$534</c:f>
            </c:strRef>
          </c:xVal>
          <c:yVal>
            <c:numRef>
              <c:f>'2022_Data'!$E$534</c:f>
              <c:numCache/>
            </c:numRef>
          </c:yVal>
          <c:bubbleSize>
            <c:numRef>
              <c:f>'2022_Data'!$G$534</c:f>
            </c:numRef>
          </c:bubbleSize>
        </c:ser>
        <c:ser>
          <c:idx val="534"/>
          <c:order val="534"/>
          <c:tx>
            <c:strRef>
              <c:f>'2022_Data'!$A$535</c:f>
            </c:strRef>
          </c:tx>
          <c:dLbls>
            <c:dLblPos val="ctr"/>
            <c:showLegendKey val="0"/>
            <c:showVal val="0"/>
            <c:showCatName val="0"/>
            <c:showSerName val="1"/>
            <c:showPercent val="0"/>
            <c:showBubbleSize val="0"/>
          </c:dLbls>
          <c:xVal>
            <c:strRef>
              <c:f>'2022_Data'!$F$535</c:f>
            </c:strRef>
          </c:xVal>
          <c:yVal>
            <c:numRef>
              <c:f>'2022_Data'!$E$535</c:f>
              <c:numCache/>
            </c:numRef>
          </c:yVal>
          <c:bubbleSize>
            <c:numRef>
              <c:f>'2022_Data'!$G$535</c:f>
            </c:numRef>
          </c:bubbleSize>
        </c:ser>
        <c:ser>
          <c:idx val="535"/>
          <c:order val="535"/>
          <c:tx>
            <c:strRef>
              <c:f>'2022_Data'!$A$536</c:f>
            </c:strRef>
          </c:tx>
          <c:dLbls>
            <c:dLblPos val="ctr"/>
            <c:showLegendKey val="0"/>
            <c:showVal val="0"/>
            <c:showCatName val="0"/>
            <c:showSerName val="1"/>
            <c:showPercent val="0"/>
            <c:showBubbleSize val="0"/>
          </c:dLbls>
          <c:xVal>
            <c:strRef>
              <c:f>'2022_Data'!$F$536</c:f>
            </c:strRef>
          </c:xVal>
          <c:yVal>
            <c:numRef>
              <c:f>'2022_Data'!$E$536</c:f>
              <c:numCache/>
            </c:numRef>
          </c:yVal>
          <c:bubbleSize>
            <c:numRef>
              <c:f>'2022_Data'!$G$536</c:f>
            </c:numRef>
          </c:bubbleSize>
        </c:ser>
        <c:ser>
          <c:idx val="536"/>
          <c:order val="536"/>
          <c:tx>
            <c:strRef>
              <c:f>'2022_Data'!$A$537</c:f>
            </c:strRef>
          </c:tx>
          <c:dLbls>
            <c:dLblPos val="ctr"/>
            <c:showLegendKey val="0"/>
            <c:showVal val="0"/>
            <c:showCatName val="0"/>
            <c:showSerName val="1"/>
            <c:showPercent val="0"/>
            <c:showBubbleSize val="0"/>
          </c:dLbls>
          <c:xVal>
            <c:strRef>
              <c:f>'2022_Data'!$F$537</c:f>
            </c:strRef>
          </c:xVal>
          <c:yVal>
            <c:numRef>
              <c:f>'2022_Data'!$E$537</c:f>
              <c:numCache/>
            </c:numRef>
          </c:yVal>
          <c:bubbleSize>
            <c:numRef>
              <c:f>'2022_Data'!$G$537</c:f>
            </c:numRef>
          </c:bubbleSize>
        </c:ser>
        <c:ser>
          <c:idx val="537"/>
          <c:order val="537"/>
          <c:tx>
            <c:strRef>
              <c:f>'2022_Data'!$A$538</c:f>
            </c:strRef>
          </c:tx>
          <c:dLbls>
            <c:dLblPos val="ctr"/>
            <c:showLegendKey val="0"/>
            <c:showVal val="0"/>
            <c:showCatName val="0"/>
            <c:showSerName val="1"/>
            <c:showPercent val="0"/>
            <c:showBubbleSize val="0"/>
          </c:dLbls>
          <c:xVal>
            <c:strRef>
              <c:f>'2022_Data'!$F$538</c:f>
            </c:strRef>
          </c:xVal>
          <c:yVal>
            <c:numRef>
              <c:f>'2022_Data'!$E$538</c:f>
              <c:numCache/>
            </c:numRef>
          </c:yVal>
          <c:bubbleSize>
            <c:numRef>
              <c:f>'2022_Data'!$G$538</c:f>
            </c:numRef>
          </c:bubbleSize>
        </c:ser>
        <c:ser>
          <c:idx val="538"/>
          <c:order val="538"/>
          <c:tx>
            <c:strRef>
              <c:f>'2022_Data'!$A$539</c:f>
            </c:strRef>
          </c:tx>
          <c:dLbls>
            <c:dLblPos val="ctr"/>
            <c:showLegendKey val="0"/>
            <c:showVal val="0"/>
            <c:showCatName val="0"/>
            <c:showSerName val="1"/>
            <c:showPercent val="0"/>
            <c:showBubbleSize val="0"/>
          </c:dLbls>
          <c:xVal>
            <c:strRef>
              <c:f>'2022_Data'!$F$539</c:f>
            </c:strRef>
          </c:xVal>
          <c:yVal>
            <c:numRef>
              <c:f>'2022_Data'!$E$539</c:f>
              <c:numCache/>
            </c:numRef>
          </c:yVal>
          <c:bubbleSize>
            <c:numRef>
              <c:f>'2022_Data'!$G$539</c:f>
            </c:numRef>
          </c:bubbleSize>
        </c:ser>
        <c:ser>
          <c:idx val="539"/>
          <c:order val="539"/>
          <c:tx>
            <c:strRef>
              <c:f>'2022_Data'!$A$540</c:f>
            </c:strRef>
          </c:tx>
          <c:dLbls>
            <c:dLblPos val="ctr"/>
            <c:showLegendKey val="0"/>
            <c:showVal val="0"/>
            <c:showCatName val="0"/>
            <c:showSerName val="1"/>
            <c:showPercent val="0"/>
            <c:showBubbleSize val="0"/>
          </c:dLbls>
          <c:xVal>
            <c:strRef>
              <c:f>'2022_Data'!$F$540</c:f>
            </c:strRef>
          </c:xVal>
          <c:yVal>
            <c:numRef>
              <c:f>'2022_Data'!$E$540</c:f>
              <c:numCache/>
            </c:numRef>
          </c:yVal>
          <c:bubbleSize>
            <c:numRef>
              <c:f>'2022_Data'!$G$540</c:f>
            </c:numRef>
          </c:bubbleSize>
        </c:ser>
        <c:ser>
          <c:idx val="540"/>
          <c:order val="540"/>
          <c:tx>
            <c:strRef>
              <c:f>'2022_Data'!$A$541</c:f>
            </c:strRef>
          </c:tx>
          <c:dLbls>
            <c:dLblPos val="ctr"/>
            <c:showLegendKey val="0"/>
            <c:showVal val="0"/>
            <c:showCatName val="0"/>
            <c:showSerName val="1"/>
            <c:showPercent val="0"/>
            <c:showBubbleSize val="0"/>
          </c:dLbls>
          <c:xVal>
            <c:strRef>
              <c:f>'2022_Data'!$F$541</c:f>
            </c:strRef>
          </c:xVal>
          <c:yVal>
            <c:numRef>
              <c:f>'2022_Data'!$E$541</c:f>
              <c:numCache/>
            </c:numRef>
          </c:yVal>
          <c:bubbleSize>
            <c:numRef>
              <c:f>'2022_Data'!$G$541</c:f>
            </c:numRef>
          </c:bubbleSize>
        </c:ser>
        <c:ser>
          <c:idx val="541"/>
          <c:order val="541"/>
          <c:tx>
            <c:strRef>
              <c:f>'2022_Data'!$A$542</c:f>
            </c:strRef>
          </c:tx>
          <c:dLbls>
            <c:dLblPos val="ctr"/>
            <c:showLegendKey val="0"/>
            <c:showVal val="0"/>
            <c:showCatName val="0"/>
            <c:showSerName val="1"/>
            <c:showPercent val="0"/>
            <c:showBubbleSize val="0"/>
          </c:dLbls>
          <c:xVal>
            <c:strRef>
              <c:f>'2022_Data'!$F$542</c:f>
            </c:strRef>
          </c:xVal>
          <c:yVal>
            <c:numRef>
              <c:f>'2022_Data'!$E$542</c:f>
              <c:numCache/>
            </c:numRef>
          </c:yVal>
          <c:bubbleSize>
            <c:numRef>
              <c:f>'2022_Data'!$G$542</c:f>
            </c:numRef>
          </c:bubbleSize>
        </c:ser>
        <c:ser>
          <c:idx val="542"/>
          <c:order val="542"/>
          <c:tx>
            <c:strRef>
              <c:f>'2022_Data'!$A$543</c:f>
            </c:strRef>
          </c:tx>
          <c:dLbls>
            <c:dLblPos val="ctr"/>
            <c:showLegendKey val="0"/>
            <c:showVal val="0"/>
            <c:showCatName val="0"/>
            <c:showSerName val="1"/>
            <c:showPercent val="0"/>
            <c:showBubbleSize val="0"/>
          </c:dLbls>
          <c:xVal>
            <c:strRef>
              <c:f>'2022_Data'!$F$543</c:f>
            </c:strRef>
          </c:xVal>
          <c:yVal>
            <c:numRef>
              <c:f>'2022_Data'!$E$543</c:f>
              <c:numCache/>
            </c:numRef>
          </c:yVal>
          <c:bubbleSize>
            <c:numRef>
              <c:f>'2022_Data'!$G$543</c:f>
            </c:numRef>
          </c:bubbleSize>
        </c:ser>
        <c:ser>
          <c:idx val="543"/>
          <c:order val="543"/>
          <c:tx>
            <c:strRef>
              <c:f>'2022_Data'!$A$544</c:f>
            </c:strRef>
          </c:tx>
          <c:dLbls>
            <c:dLblPos val="ctr"/>
            <c:showLegendKey val="0"/>
            <c:showVal val="0"/>
            <c:showCatName val="0"/>
            <c:showSerName val="1"/>
            <c:showPercent val="0"/>
            <c:showBubbleSize val="0"/>
          </c:dLbls>
          <c:xVal>
            <c:strRef>
              <c:f>'2022_Data'!$F$544</c:f>
            </c:strRef>
          </c:xVal>
          <c:yVal>
            <c:numRef>
              <c:f>'2022_Data'!$E$544</c:f>
              <c:numCache/>
            </c:numRef>
          </c:yVal>
          <c:bubbleSize>
            <c:numRef>
              <c:f>'2022_Data'!$G$544</c:f>
            </c:numRef>
          </c:bubbleSize>
        </c:ser>
        <c:ser>
          <c:idx val="544"/>
          <c:order val="544"/>
          <c:tx>
            <c:strRef>
              <c:f>'2022_Data'!$A$545</c:f>
            </c:strRef>
          </c:tx>
          <c:dLbls>
            <c:dLblPos val="ctr"/>
            <c:showLegendKey val="0"/>
            <c:showVal val="0"/>
            <c:showCatName val="0"/>
            <c:showSerName val="1"/>
            <c:showPercent val="0"/>
            <c:showBubbleSize val="0"/>
          </c:dLbls>
          <c:xVal>
            <c:strRef>
              <c:f>'2022_Data'!$F$545</c:f>
            </c:strRef>
          </c:xVal>
          <c:yVal>
            <c:numRef>
              <c:f>'2022_Data'!$E$545</c:f>
              <c:numCache/>
            </c:numRef>
          </c:yVal>
          <c:bubbleSize>
            <c:numRef>
              <c:f>'2022_Data'!$G$545</c:f>
            </c:numRef>
          </c:bubbleSize>
        </c:ser>
        <c:ser>
          <c:idx val="545"/>
          <c:order val="545"/>
          <c:tx>
            <c:strRef>
              <c:f>'2022_Data'!$A$546</c:f>
            </c:strRef>
          </c:tx>
          <c:dLbls>
            <c:dLblPos val="ctr"/>
            <c:showLegendKey val="0"/>
            <c:showVal val="0"/>
            <c:showCatName val="0"/>
            <c:showSerName val="1"/>
            <c:showPercent val="0"/>
            <c:showBubbleSize val="0"/>
          </c:dLbls>
          <c:xVal>
            <c:strRef>
              <c:f>'2022_Data'!$F$546</c:f>
            </c:strRef>
          </c:xVal>
          <c:yVal>
            <c:numRef>
              <c:f>'2022_Data'!$E$546</c:f>
              <c:numCache/>
            </c:numRef>
          </c:yVal>
          <c:bubbleSize>
            <c:numRef>
              <c:f>'2022_Data'!$G$546</c:f>
            </c:numRef>
          </c:bubbleSize>
        </c:ser>
        <c:ser>
          <c:idx val="546"/>
          <c:order val="546"/>
          <c:tx>
            <c:strRef>
              <c:f>'2022_Data'!$A$547</c:f>
            </c:strRef>
          </c:tx>
          <c:dLbls>
            <c:dLblPos val="ctr"/>
            <c:showLegendKey val="0"/>
            <c:showVal val="0"/>
            <c:showCatName val="0"/>
            <c:showSerName val="1"/>
            <c:showPercent val="0"/>
            <c:showBubbleSize val="0"/>
          </c:dLbls>
          <c:xVal>
            <c:strRef>
              <c:f>'2022_Data'!$F$547</c:f>
            </c:strRef>
          </c:xVal>
          <c:yVal>
            <c:numRef>
              <c:f>'2022_Data'!$E$547</c:f>
              <c:numCache/>
            </c:numRef>
          </c:yVal>
          <c:bubbleSize>
            <c:numRef>
              <c:f>'2022_Data'!$G$547</c:f>
            </c:numRef>
          </c:bubbleSize>
        </c:ser>
        <c:ser>
          <c:idx val="547"/>
          <c:order val="547"/>
          <c:tx>
            <c:strRef>
              <c:f>'2022_Data'!$A$548</c:f>
            </c:strRef>
          </c:tx>
          <c:dLbls>
            <c:dLblPos val="ctr"/>
            <c:showLegendKey val="0"/>
            <c:showVal val="0"/>
            <c:showCatName val="0"/>
            <c:showSerName val="1"/>
            <c:showPercent val="0"/>
            <c:showBubbleSize val="0"/>
          </c:dLbls>
          <c:xVal>
            <c:strRef>
              <c:f>'2022_Data'!$F$548</c:f>
            </c:strRef>
          </c:xVal>
          <c:yVal>
            <c:numRef>
              <c:f>'2022_Data'!$E$548</c:f>
              <c:numCache/>
            </c:numRef>
          </c:yVal>
          <c:bubbleSize>
            <c:numRef>
              <c:f>'2022_Data'!$G$548</c:f>
            </c:numRef>
          </c:bubbleSize>
        </c:ser>
        <c:ser>
          <c:idx val="548"/>
          <c:order val="548"/>
          <c:tx>
            <c:strRef>
              <c:f>'2022_Data'!$A$549</c:f>
            </c:strRef>
          </c:tx>
          <c:dLbls>
            <c:dLblPos val="ctr"/>
            <c:showLegendKey val="0"/>
            <c:showVal val="0"/>
            <c:showCatName val="0"/>
            <c:showSerName val="1"/>
            <c:showPercent val="0"/>
            <c:showBubbleSize val="0"/>
          </c:dLbls>
          <c:xVal>
            <c:strRef>
              <c:f>'2022_Data'!$F$549</c:f>
            </c:strRef>
          </c:xVal>
          <c:yVal>
            <c:numRef>
              <c:f>'2022_Data'!$E$549</c:f>
              <c:numCache/>
            </c:numRef>
          </c:yVal>
          <c:bubbleSize>
            <c:numRef>
              <c:f>'2022_Data'!$G$549</c:f>
            </c:numRef>
          </c:bubbleSize>
        </c:ser>
        <c:ser>
          <c:idx val="549"/>
          <c:order val="549"/>
          <c:tx>
            <c:strRef>
              <c:f>'2022_Data'!$A$550</c:f>
            </c:strRef>
          </c:tx>
          <c:dLbls>
            <c:dLblPos val="ctr"/>
            <c:showLegendKey val="0"/>
            <c:showVal val="0"/>
            <c:showCatName val="0"/>
            <c:showSerName val="1"/>
            <c:showPercent val="0"/>
            <c:showBubbleSize val="0"/>
          </c:dLbls>
          <c:xVal>
            <c:strRef>
              <c:f>'2022_Data'!$F$550</c:f>
            </c:strRef>
          </c:xVal>
          <c:yVal>
            <c:numRef>
              <c:f>'2022_Data'!$E$550</c:f>
              <c:numCache/>
            </c:numRef>
          </c:yVal>
          <c:bubbleSize>
            <c:numRef>
              <c:f>'2022_Data'!$G$550</c:f>
            </c:numRef>
          </c:bubbleSize>
        </c:ser>
        <c:ser>
          <c:idx val="550"/>
          <c:order val="550"/>
          <c:tx>
            <c:strRef>
              <c:f>'2022_Data'!$A$551</c:f>
            </c:strRef>
          </c:tx>
          <c:dLbls>
            <c:dLblPos val="ctr"/>
            <c:showLegendKey val="0"/>
            <c:showVal val="0"/>
            <c:showCatName val="0"/>
            <c:showSerName val="1"/>
            <c:showPercent val="0"/>
            <c:showBubbleSize val="0"/>
          </c:dLbls>
          <c:xVal>
            <c:strRef>
              <c:f>'2022_Data'!$F$551</c:f>
            </c:strRef>
          </c:xVal>
          <c:yVal>
            <c:numRef>
              <c:f>'2022_Data'!$E$551</c:f>
              <c:numCache/>
            </c:numRef>
          </c:yVal>
          <c:bubbleSize>
            <c:numRef>
              <c:f>'2022_Data'!$G$551</c:f>
            </c:numRef>
          </c:bubbleSize>
        </c:ser>
        <c:ser>
          <c:idx val="551"/>
          <c:order val="551"/>
          <c:tx>
            <c:strRef>
              <c:f>'2022_Data'!$A$552</c:f>
            </c:strRef>
          </c:tx>
          <c:dLbls>
            <c:dLblPos val="ctr"/>
            <c:showLegendKey val="0"/>
            <c:showVal val="0"/>
            <c:showCatName val="0"/>
            <c:showSerName val="1"/>
            <c:showPercent val="0"/>
            <c:showBubbleSize val="0"/>
          </c:dLbls>
          <c:xVal>
            <c:strRef>
              <c:f>'2022_Data'!$F$552</c:f>
            </c:strRef>
          </c:xVal>
          <c:yVal>
            <c:numRef>
              <c:f>'2022_Data'!$E$552</c:f>
              <c:numCache/>
            </c:numRef>
          </c:yVal>
          <c:bubbleSize>
            <c:numRef>
              <c:f>'2022_Data'!$G$552</c:f>
            </c:numRef>
          </c:bubbleSize>
        </c:ser>
        <c:ser>
          <c:idx val="552"/>
          <c:order val="552"/>
          <c:tx>
            <c:strRef>
              <c:f>'2022_Data'!$A$553</c:f>
            </c:strRef>
          </c:tx>
          <c:dLbls>
            <c:dLblPos val="ctr"/>
            <c:showLegendKey val="0"/>
            <c:showVal val="0"/>
            <c:showCatName val="0"/>
            <c:showSerName val="1"/>
            <c:showPercent val="0"/>
            <c:showBubbleSize val="0"/>
          </c:dLbls>
          <c:xVal>
            <c:strRef>
              <c:f>'2022_Data'!$F$553</c:f>
            </c:strRef>
          </c:xVal>
          <c:yVal>
            <c:numRef>
              <c:f>'2022_Data'!$E$553</c:f>
              <c:numCache/>
            </c:numRef>
          </c:yVal>
          <c:bubbleSize>
            <c:numRef>
              <c:f>'2022_Data'!$G$553</c:f>
            </c:numRef>
          </c:bubbleSize>
        </c:ser>
        <c:ser>
          <c:idx val="553"/>
          <c:order val="553"/>
          <c:tx>
            <c:strRef>
              <c:f>'2022_Data'!$A$554</c:f>
            </c:strRef>
          </c:tx>
          <c:dLbls>
            <c:dLblPos val="ctr"/>
            <c:showLegendKey val="0"/>
            <c:showVal val="0"/>
            <c:showCatName val="0"/>
            <c:showSerName val="1"/>
            <c:showPercent val="0"/>
            <c:showBubbleSize val="0"/>
          </c:dLbls>
          <c:xVal>
            <c:strRef>
              <c:f>'2022_Data'!$F$554</c:f>
            </c:strRef>
          </c:xVal>
          <c:yVal>
            <c:numRef>
              <c:f>'2022_Data'!$E$554</c:f>
              <c:numCache/>
            </c:numRef>
          </c:yVal>
          <c:bubbleSize>
            <c:numRef>
              <c:f>'2022_Data'!$G$554</c:f>
            </c:numRef>
          </c:bubbleSize>
        </c:ser>
        <c:ser>
          <c:idx val="554"/>
          <c:order val="554"/>
          <c:tx>
            <c:strRef>
              <c:f>'2022_Data'!$A$555</c:f>
            </c:strRef>
          </c:tx>
          <c:dLbls>
            <c:dLblPos val="ctr"/>
            <c:showLegendKey val="0"/>
            <c:showVal val="0"/>
            <c:showCatName val="0"/>
            <c:showSerName val="1"/>
            <c:showPercent val="0"/>
            <c:showBubbleSize val="0"/>
          </c:dLbls>
          <c:xVal>
            <c:strRef>
              <c:f>'2022_Data'!$F$555</c:f>
            </c:strRef>
          </c:xVal>
          <c:yVal>
            <c:numRef>
              <c:f>'2022_Data'!$E$555</c:f>
              <c:numCache/>
            </c:numRef>
          </c:yVal>
          <c:bubbleSize>
            <c:numRef>
              <c:f>'2022_Data'!$G$555</c:f>
            </c:numRef>
          </c:bubbleSize>
        </c:ser>
        <c:ser>
          <c:idx val="555"/>
          <c:order val="555"/>
          <c:tx>
            <c:strRef>
              <c:f>'2022_Data'!$A$556</c:f>
            </c:strRef>
          </c:tx>
          <c:dLbls>
            <c:dLblPos val="ctr"/>
            <c:showLegendKey val="0"/>
            <c:showVal val="0"/>
            <c:showCatName val="0"/>
            <c:showSerName val="1"/>
            <c:showPercent val="0"/>
            <c:showBubbleSize val="0"/>
          </c:dLbls>
          <c:xVal>
            <c:strRef>
              <c:f>'2022_Data'!$F$556</c:f>
            </c:strRef>
          </c:xVal>
          <c:yVal>
            <c:numRef>
              <c:f>'2022_Data'!$E$556</c:f>
              <c:numCache/>
            </c:numRef>
          </c:yVal>
          <c:bubbleSize>
            <c:numRef>
              <c:f>'2022_Data'!$G$556</c:f>
            </c:numRef>
          </c:bubbleSize>
        </c:ser>
        <c:ser>
          <c:idx val="556"/>
          <c:order val="556"/>
          <c:tx>
            <c:strRef>
              <c:f>'2022_Data'!$A$557</c:f>
            </c:strRef>
          </c:tx>
          <c:dLbls>
            <c:dLblPos val="ctr"/>
            <c:showLegendKey val="0"/>
            <c:showVal val="0"/>
            <c:showCatName val="0"/>
            <c:showSerName val="1"/>
            <c:showPercent val="0"/>
            <c:showBubbleSize val="0"/>
          </c:dLbls>
          <c:xVal>
            <c:strRef>
              <c:f>'2022_Data'!$F$557</c:f>
            </c:strRef>
          </c:xVal>
          <c:yVal>
            <c:numRef>
              <c:f>'2022_Data'!$E$557</c:f>
              <c:numCache/>
            </c:numRef>
          </c:yVal>
          <c:bubbleSize>
            <c:numRef>
              <c:f>'2022_Data'!$G$557</c:f>
            </c:numRef>
          </c:bubbleSize>
        </c:ser>
        <c:ser>
          <c:idx val="557"/>
          <c:order val="557"/>
          <c:tx>
            <c:strRef>
              <c:f>'2022_Data'!$A$558</c:f>
            </c:strRef>
          </c:tx>
          <c:dLbls>
            <c:dLblPos val="ctr"/>
            <c:showLegendKey val="0"/>
            <c:showVal val="0"/>
            <c:showCatName val="0"/>
            <c:showSerName val="1"/>
            <c:showPercent val="0"/>
            <c:showBubbleSize val="0"/>
          </c:dLbls>
          <c:xVal>
            <c:strRef>
              <c:f>'2022_Data'!$F$558</c:f>
            </c:strRef>
          </c:xVal>
          <c:yVal>
            <c:numRef>
              <c:f>'2022_Data'!$E$558</c:f>
              <c:numCache/>
            </c:numRef>
          </c:yVal>
          <c:bubbleSize>
            <c:numRef>
              <c:f>'2022_Data'!$G$558</c:f>
            </c:numRef>
          </c:bubbleSize>
        </c:ser>
        <c:ser>
          <c:idx val="558"/>
          <c:order val="558"/>
          <c:tx>
            <c:strRef>
              <c:f>'2022_Data'!$A$559</c:f>
            </c:strRef>
          </c:tx>
          <c:dLbls>
            <c:dLblPos val="ctr"/>
            <c:showLegendKey val="0"/>
            <c:showVal val="0"/>
            <c:showCatName val="0"/>
            <c:showSerName val="1"/>
            <c:showPercent val="0"/>
            <c:showBubbleSize val="0"/>
          </c:dLbls>
          <c:xVal>
            <c:strRef>
              <c:f>'2022_Data'!$F$559</c:f>
            </c:strRef>
          </c:xVal>
          <c:yVal>
            <c:numRef>
              <c:f>'2022_Data'!$E$559</c:f>
              <c:numCache/>
            </c:numRef>
          </c:yVal>
          <c:bubbleSize>
            <c:numRef>
              <c:f>'2022_Data'!$G$559</c:f>
            </c:numRef>
          </c:bubbleSize>
        </c:ser>
        <c:ser>
          <c:idx val="559"/>
          <c:order val="559"/>
          <c:tx>
            <c:strRef>
              <c:f>'2022_Data'!$A$560</c:f>
            </c:strRef>
          </c:tx>
          <c:dLbls>
            <c:dLblPos val="ctr"/>
            <c:showLegendKey val="0"/>
            <c:showVal val="0"/>
            <c:showCatName val="0"/>
            <c:showSerName val="1"/>
            <c:showPercent val="0"/>
            <c:showBubbleSize val="0"/>
          </c:dLbls>
          <c:xVal>
            <c:strRef>
              <c:f>'2022_Data'!$F$560</c:f>
            </c:strRef>
          </c:xVal>
          <c:yVal>
            <c:numRef>
              <c:f>'2022_Data'!$E$560</c:f>
              <c:numCache/>
            </c:numRef>
          </c:yVal>
          <c:bubbleSize>
            <c:numRef>
              <c:f>'2022_Data'!$G$560</c:f>
            </c:numRef>
          </c:bubbleSize>
        </c:ser>
        <c:ser>
          <c:idx val="560"/>
          <c:order val="560"/>
          <c:tx>
            <c:strRef>
              <c:f>'2022_Data'!$A$561</c:f>
            </c:strRef>
          </c:tx>
          <c:dLbls>
            <c:dLblPos val="ctr"/>
            <c:showLegendKey val="0"/>
            <c:showVal val="0"/>
            <c:showCatName val="0"/>
            <c:showSerName val="1"/>
            <c:showPercent val="0"/>
            <c:showBubbleSize val="0"/>
          </c:dLbls>
          <c:xVal>
            <c:strRef>
              <c:f>'2022_Data'!$F$561</c:f>
            </c:strRef>
          </c:xVal>
          <c:yVal>
            <c:numRef>
              <c:f>'2022_Data'!$E$561</c:f>
              <c:numCache/>
            </c:numRef>
          </c:yVal>
          <c:bubbleSize>
            <c:numRef>
              <c:f>'2022_Data'!$G$561</c:f>
            </c:numRef>
          </c:bubbleSize>
        </c:ser>
        <c:ser>
          <c:idx val="561"/>
          <c:order val="561"/>
          <c:tx>
            <c:strRef>
              <c:f>'2022_Data'!$A$562</c:f>
            </c:strRef>
          </c:tx>
          <c:dLbls>
            <c:dLblPos val="ctr"/>
            <c:showLegendKey val="0"/>
            <c:showVal val="0"/>
            <c:showCatName val="0"/>
            <c:showSerName val="1"/>
            <c:showPercent val="0"/>
            <c:showBubbleSize val="0"/>
          </c:dLbls>
          <c:xVal>
            <c:strRef>
              <c:f>'2022_Data'!$F$562</c:f>
            </c:strRef>
          </c:xVal>
          <c:yVal>
            <c:numRef>
              <c:f>'2022_Data'!$E$562</c:f>
              <c:numCache/>
            </c:numRef>
          </c:yVal>
          <c:bubbleSize>
            <c:numRef>
              <c:f>'2022_Data'!$G$562</c:f>
            </c:numRef>
          </c:bubbleSize>
        </c:ser>
        <c:ser>
          <c:idx val="562"/>
          <c:order val="562"/>
          <c:tx>
            <c:strRef>
              <c:f>'2022_Data'!$A$563</c:f>
            </c:strRef>
          </c:tx>
          <c:dLbls>
            <c:dLblPos val="ctr"/>
            <c:showLegendKey val="0"/>
            <c:showVal val="0"/>
            <c:showCatName val="0"/>
            <c:showSerName val="1"/>
            <c:showPercent val="0"/>
            <c:showBubbleSize val="0"/>
          </c:dLbls>
          <c:xVal>
            <c:strRef>
              <c:f>'2022_Data'!$F$563</c:f>
            </c:strRef>
          </c:xVal>
          <c:yVal>
            <c:numRef>
              <c:f>'2022_Data'!$E$563</c:f>
              <c:numCache/>
            </c:numRef>
          </c:yVal>
          <c:bubbleSize>
            <c:numRef>
              <c:f>'2022_Data'!$G$563</c:f>
            </c:numRef>
          </c:bubbleSize>
        </c:ser>
        <c:ser>
          <c:idx val="563"/>
          <c:order val="563"/>
          <c:tx>
            <c:strRef>
              <c:f>'2022_Data'!$A$564</c:f>
            </c:strRef>
          </c:tx>
          <c:dLbls>
            <c:dLblPos val="ctr"/>
            <c:showLegendKey val="0"/>
            <c:showVal val="0"/>
            <c:showCatName val="0"/>
            <c:showSerName val="1"/>
            <c:showPercent val="0"/>
            <c:showBubbleSize val="0"/>
          </c:dLbls>
          <c:xVal>
            <c:strRef>
              <c:f>'2022_Data'!$F$564</c:f>
            </c:strRef>
          </c:xVal>
          <c:yVal>
            <c:numRef>
              <c:f>'2022_Data'!$E$564</c:f>
              <c:numCache/>
            </c:numRef>
          </c:yVal>
          <c:bubbleSize>
            <c:numRef>
              <c:f>'2022_Data'!$G$564</c:f>
            </c:numRef>
          </c:bubbleSize>
        </c:ser>
        <c:ser>
          <c:idx val="564"/>
          <c:order val="564"/>
          <c:tx>
            <c:strRef>
              <c:f>'2022_Data'!$A$565</c:f>
            </c:strRef>
          </c:tx>
          <c:dLbls>
            <c:dLblPos val="ctr"/>
            <c:showLegendKey val="0"/>
            <c:showVal val="0"/>
            <c:showCatName val="0"/>
            <c:showSerName val="1"/>
            <c:showPercent val="0"/>
            <c:showBubbleSize val="0"/>
          </c:dLbls>
          <c:xVal>
            <c:strRef>
              <c:f>'2022_Data'!$F$565</c:f>
            </c:strRef>
          </c:xVal>
          <c:yVal>
            <c:numRef>
              <c:f>'2022_Data'!$E$565</c:f>
              <c:numCache/>
            </c:numRef>
          </c:yVal>
          <c:bubbleSize>
            <c:numRef>
              <c:f>'2022_Data'!$G$565</c:f>
            </c:numRef>
          </c:bubbleSize>
        </c:ser>
        <c:ser>
          <c:idx val="565"/>
          <c:order val="565"/>
          <c:tx>
            <c:strRef>
              <c:f>'2022_Data'!$A$566</c:f>
            </c:strRef>
          </c:tx>
          <c:dLbls>
            <c:dLblPos val="ctr"/>
            <c:showLegendKey val="0"/>
            <c:showVal val="0"/>
            <c:showCatName val="0"/>
            <c:showSerName val="1"/>
            <c:showPercent val="0"/>
            <c:showBubbleSize val="0"/>
          </c:dLbls>
          <c:xVal>
            <c:strRef>
              <c:f>'2022_Data'!$F$566</c:f>
            </c:strRef>
          </c:xVal>
          <c:yVal>
            <c:numRef>
              <c:f>'2022_Data'!$E$566</c:f>
              <c:numCache/>
            </c:numRef>
          </c:yVal>
          <c:bubbleSize>
            <c:numRef>
              <c:f>'2022_Data'!$G$566</c:f>
            </c:numRef>
          </c:bubbleSize>
        </c:ser>
        <c:ser>
          <c:idx val="566"/>
          <c:order val="566"/>
          <c:tx>
            <c:strRef>
              <c:f>'2022_Data'!$A$567</c:f>
            </c:strRef>
          </c:tx>
          <c:dLbls>
            <c:dLblPos val="ctr"/>
            <c:showLegendKey val="0"/>
            <c:showVal val="0"/>
            <c:showCatName val="0"/>
            <c:showSerName val="1"/>
            <c:showPercent val="0"/>
            <c:showBubbleSize val="0"/>
          </c:dLbls>
          <c:xVal>
            <c:strRef>
              <c:f>'2022_Data'!$F$567</c:f>
            </c:strRef>
          </c:xVal>
          <c:yVal>
            <c:numRef>
              <c:f>'2022_Data'!$E$567</c:f>
              <c:numCache/>
            </c:numRef>
          </c:yVal>
          <c:bubbleSize>
            <c:numRef>
              <c:f>'2022_Data'!$G$567</c:f>
            </c:numRef>
          </c:bubbleSize>
        </c:ser>
        <c:ser>
          <c:idx val="567"/>
          <c:order val="567"/>
          <c:tx>
            <c:strRef>
              <c:f>'2022_Data'!$A$568</c:f>
            </c:strRef>
          </c:tx>
          <c:dLbls>
            <c:dLblPos val="ctr"/>
            <c:showLegendKey val="0"/>
            <c:showVal val="0"/>
            <c:showCatName val="0"/>
            <c:showSerName val="1"/>
            <c:showPercent val="0"/>
            <c:showBubbleSize val="0"/>
          </c:dLbls>
          <c:xVal>
            <c:strRef>
              <c:f>'2022_Data'!$F$568</c:f>
            </c:strRef>
          </c:xVal>
          <c:yVal>
            <c:numRef>
              <c:f>'2022_Data'!$E$568</c:f>
              <c:numCache/>
            </c:numRef>
          </c:yVal>
          <c:bubbleSize>
            <c:numRef>
              <c:f>'2022_Data'!$G$568</c:f>
            </c:numRef>
          </c:bubbleSize>
        </c:ser>
        <c:ser>
          <c:idx val="568"/>
          <c:order val="568"/>
          <c:tx>
            <c:strRef>
              <c:f>'2022_Data'!$A$569</c:f>
            </c:strRef>
          </c:tx>
          <c:dLbls>
            <c:dLblPos val="ctr"/>
            <c:showLegendKey val="0"/>
            <c:showVal val="0"/>
            <c:showCatName val="0"/>
            <c:showSerName val="1"/>
            <c:showPercent val="0"/>
            <c:showBubbleSize val="0"/>
          </c:dLbls>
          <c:xVal>
            <c:strRef>
              <c:f>'2022_Data'!$F$569</c:f>
            </c:strRef>
          </c:xVal>
          <c:yVal>
            <c:numRef>
              <c:f>'2022_Data'!$E$569</c:f>
              <c:numCache/>
            </c:numRef>
          </c:yVal>
          <c:bubbleSize>
            <c:numRef>
              <c:f>'2022_Data'!$G$569</c:f>
            </c:numRef>
          </c:bubbleSize>
        </c:ser>
        <c:ser>
          <c:idx val="569"/>
          <c:order val="569"/>
          <c:tx>
            <c:strRef>
              <c:f>'2022_Data'!$A$570</c:f>
            </c:strRef>
          </c:tx>
          <c:dLbls>
            <c:dLblPos val="ctr"/>
            <c:showLegendKey val="0"/>
            <c:showVal val="0"/>
            <c:showCatName val="0"/>
            <c:showSerName val="1"/>
            <c:showPercent val="0"/>
            <c:showBubbleSize val="0"/>
          </c:dLbls>
          <c:xVal>
            <c:strRef>
              <c:f>'2022_Data'!$F$570</c:f>
            </c:strRef>
          </c:xVal>
          <c:yVal>
            <c:numRef>
              <c:f>'2022_Data'!$E$570</c:f>
              <c:numCache/>
            </c:numRef>
          </c:yVal>
          <c:bubbleSize>
            <c:numRef>
              <c:f>'2022_Data'!$G$570</c:f>
            </c:numRef>
          </c:bubbleSize>
        </c:ser>
        <c:ser>
          <c:idx val="570"/>
          <c:order val="570"/>
          <c:tx>
            <c:strRef>
              <c:f>'2022_Data'!$A$571</c:f>
            </c:strRef>
          </c:tx>
          <c:dLbls>
            <c:dLblPos val="ctr"/>
            <c:showLegendKey val="0"/>
            <c:showVal val="0"/>
            <c:showCatName val="0"/>
            <c:showSerName val="1"/>
            <c:showPercent val="0"/>
            <c:showBubbleSize val="0"/>
          </c:dLbls>
          <c:xVal>
            <c:strRef>
              <c:f>'2022_Data'!$F$571</c:f>
            </c:strRef>
          </c:xVal>
          <c:yVal>
            <c:numRef>
              <c:f>'2022_Data'!$E$571</c:f>
              <c:numCache/>
            </c:numRef>
          </c:yVal>
          <c:bubbleSize>
            <c:numRef>
              <c:f>'2022_Data'!$G$571</c:f>
            </c:numRef>
          </c:bubbleSize>
        </c:ser>
        <c:ser>
          <c:idx val="571"/>
          <c:order val="571"/>
          <c:tx>
            <c:strRef>
              <c:f>'2022_Data'!$A$572</c:f>
            </c:strRef>
          </c:tx>
          <c:dLbls>
            <c:dLblPos val="ctr"/>
            <c:showLegendKey val="0"/>
            <c:showVal val="0"/>
            <c:showCatName val="0"/>
            <c:showSerName val="1"/>
            <c:showPercent val="0"/>
            <c:showBubbleSize val="0"/>
          </c:dLbls>
          <c:xVal>
            <c:strRef>
              <c:f>'2022_Data'!$F$572</c:f>
            </c:strRef>
          </c:xVal>
          <c:yVal>
            <c:numRef>
              <c:f>'2022_Data'!$E$572</c:f>
              <c:numCache/>
            </c:numRef>
          </c:yVal>
          <c:bubbleSize>
            <c:numRef>
              <c:f>'2022_Data'!$G$572</c:f>
            </c:numRef>
          </c:bubbleSize>
        </c:ser>
        <c:ser>
          <c:idx val="572"/>
          <c:order val="572"/>
          <c:tx>
            <c:strRef>
              <c:f>'2022_Data'!$A$573</c:f>
            </c:strRef>
          </c:tx>
          <c:dLbls>
            <c:dLblPos val="ctr"/>
            <c:showLegendKey val="0"/>
            <c:showVal val="0"/>
            <c:showCatName val="0"/>
            <c:showSerName val="1"/>
            <c:showPercent val="0"/>
            <c:showBubbleSize val="0"/>
          </c:dLbls>
          <c:xVal>
            <c:strRef>
              <c:f>'2022_Data'!$F$573</c:f>
            </c:strRef>
          </c:xVal>
          <c:yVal>
            <c:numRef>
              <c:f>'2022_Data'!$E$573</c:f>
              <c:numCache/>
            </c:numRef>
          </c:yVal>
          <c:bubbleSize>
            <c:numRef>
              <c:f>'2022_Data'!$G$573</c:f>
            </c:numRef>
          </c:bubbleSize>
        </c:ser>
        <c:ser>
          <c:idx val="573"/>
          <c:order val="573"/>
          <c:tx>
            <c:strRef>
              <c:f>'2022_Data'!$A$574</c:f>
            </c:strRef>
          </c:tx>
          <c:dLbls>
            <c:dLblPos val="ctr"/>
            <c:showLegendKey val="0"/>
            <c:showVal val="0"/>
            <c:showCatName val="0"/>
            <c:showSerName val="1"/>
            <c:showPercent val="0"/>
            <c:showBubbleSize val="0"/>
          </c:dLbls>
          <c:xVal>
            <c:strRef>
              <c:f>'2022_Data'!$F$574</c:f>
            </c:strRef>
          </c:xVal>
          <c:yVal>
            <c:numRef>
              <c:f>'2022_Data'!$E$574</c:f>
              <c:numCache/>
            </c:numRef>
          </c:yVal>
          <c:bubbleSize>
            <c:numRef>
              <c:f>'2022_Data'!$G$574</c:f>
            </c:numRef>
          </c:bubbleSize>
        </c:ser>
        <c:ser>
          <c:idx val="574"/>
          <c:order val="574"/>
          <c:tx>
            <c:strRef>
              <c:f>'2022_Data'!$A$575</c:f>
            </c:strRef>
          </c:tx>
          <c:dLbls>
            <c:dLblPos val="ctr"/>
            <c:showLegendKey val="0"/>
            <c:showVal val="0"/>
            <c:showCatName val="0"/>
            <c:showSerName val="1"/>
            <c:showPercent val="0"/>
            <c:showBubbleSize val="0"/>
          </c:dLbls>
          <c:xVal>
            <c:strRef>
              <c:f>'2022_Data'!$F$575</c:f>
            </c:strRef>
          </c:xVal>
          <c:yVal>
            <c:numRef>
              <c:f>'2022_Data'!$E$575</c:f>
              <c:numCache/>
            </c:numRef>
          </c:yVal>
          <c:bubbleSize>
            <c:numRef>
              <c:f>'2022_Data'!$G$575</c:f>
            </c:numRef>
          </c:bubbleSize>
        </c:ser>
        <c:ser>
          <c:idx val="575"/>
          <c:order val="575"/>
          <c:tx>
            <c:strRef>
              <c:f>'2022_Data'!$A$576</c:f>
            </c:strRef>
          </c:tx>
          <c:dLbls>
            <c:dLblPos val="ctr"/>
            <c:showLegendKey val="0"/>
            <c:showVal val="0"/>
            <c:showCatName val="0"/>
            <c:showSerName val="1"/>
            <c:showPercent val="0"/>
            <c:showBubbleSize val="0"/>
          </c:dLbls>
          <c:xVal>
            <c:strRef>
              <c:f>'2022_Data'!$F$576</c:f>
            </c:strRef>
          </c:xVal>
          <c:yVal>
            <c:numRef>
              <c:f>'2022_Data'!$E$576</c:f>
              <c:numCache/>
            </c:numRef>
          </c:yVal>
          <c:bubbleSize>
            <c:numRef>
              <c:f>'2022_Data'!$G$576</c:f>
            </c:numRef>
          </c:bubbleSize>
        </c:ser>
        <c:ser>
          <c:idx val="576"/>
          <c:order val="576"/>
          <c:tx>
            <c:strRef>
              <c:f>'2022_Data'!$A$577</c:f>
            </c:strRef>
          </c:tx>
          <c:dLbls>
            <c:dLblPos val="ctr"/>
            <c:showLegendKey val="0"/>
            <c:showVal val="0"/>
            <c:showCatName val="0"/>
            <c:showSerName val="1"/>
            <c:showPercent val="0"/>
            <c:showBubbleSize val="0"/>
          </c:dLbls>
          <c:xVal>
            <c:strRef>
              <c:f>'2022_Data'!$F$577</c:f>
            </c:strRef>
          </c:xVal>
          <c:yVal>
            <c:numRef>
              <c:f>'2022_Data'!$E$577</c:f>
              <c:numCache/>
            </c:numRef>
          </c:yVal>
          <c:bubbleSize>
            <c:numRef>
              <c:f>'2022_Data'!$G$577</c:f>
            </c:numRef>
          </c:bubbleSize>
        </c:ser>
        <c:ser>
          <c:idx val="577"/>
          <c:order val="577"/>
          <c:tx>
            <c:strRef>
              <c:f>'2022_Data'!$A$578</c:f>
            </c:strRef>
          </c:tx>
          <c:dLbls>
            <c:dLblPos val="ctr"/>
            <c:showLegendKey val="0"/>
            <c:showVal val="0"/>
            <c:showCatName val="0"/>
            <c:showSerName val="1"/>
            <c:showPercent val="0"/>
            <c:showBubbleSize val="0"/>
          </c:dLbls>
          <c:xVal>
            <c:strRef>
              <c:f>'2022_Data'!$F$578</c:f>
            </c:strRef>
          </c:xVal>
          <c:yVal>
            <c:numRef>
              <c:f>'2022_Data'!$E$578</c:f>
              <c:numCache/>
            </c:numRef>
          </c:yVal>
          <c:bubbleSize>
            <c:numRef>
              <c:f>'2022_Data'!$G$578</c:f>
            </c:numRef>
          </c:bubbleSize>
        </c:ser>
        <c:ser>
          <c:idx val="578"/>
          <c:order val="578"/>
          <c:tx>
            <c:strRef>
              <c:f>'2022_Data'!$A$579</c:f>
            </c:strRef>
          </c:tx>
          <c:dLbls>
            <c:dLblPos val="ctr"/>
            <c:showLegendKey val="0"/>
            <c:showVal val="0"/>
            <c:showCatName val="0"/>
            <c:showSerName val="1"/>
            <c:showPercent val="0"/>
            <c:showBubbleSize val="0"/>
          </c:dLbls>
          <c:xVal>
            <c:strRef>
              <c:f>'2022_Data'!$F$579</c:f>
            </c:strRef>
          </c:xVal>
          <c:yVal>
            <c:numRef>
              <c:f>'2022_Data'!$E$579</c:f>
              <c:numCache/>
            </c:numRef>
          </c:yVal>
          <c:bubbleSize>
            <c:numRef>
              <c:f>'2022_Data'!$G$579</c:f>
            </c:numRef>
          </c:bubbleSize>
        </c:ser>
        <c:ser>
          <c:idx val="579"/>
          <c:order val="579"/>
          <c:tx>
            <c:strRef>
              <c:f>'2022_Data'!$A$580</c:f>
            </c:strRef>
          </c:tx>
          <c:dLbls>
            <c:dLblPos val="ctr"/>
            <c:showLegendKey val="0"/>
            <c:showVal val="0"/>
            <c:showCatName val="0"/>
            <c:showSerName val="1"/>
            <c:showPercent val="0"/>
            <c:showBubbleSize val="0"/>
          </c:dLbls>
          <c:xVal>
            <c:strRef>
              <c:f>'2022_Data'!$F$580</c:f>
            </c:strRef>
          </c:xVal>
          <c:yVal>
            <c:numRef>
              <c:f>'2022_Data'!$E$580</c:f>
              <c:numCache/>
            </c:numRef>
          </c:yVal>
          <c:bubbleSize>
            <c:numRef>
              <c:f>'2022_Data'!$G$580</c:f>
            </c:numRef>
          </c:bubbleSize>
        </c:ser>
        <c:ser>
          <c:idx val="580"/>
          <c:order val="580"/>
          <c:tx>
            <c:strRef>
              <c:f>'2022_Data'!$A$581</c:f>
            </c:strRef>
          </c:tx>
          <c:dLbls>
            <c:dLblPos val="ctr"/>
            <c:showLegendKey val="0"/>
            <c:showVal val="0"/>
            <c:showCatName val="0"/>
            <c:showSerName val="1"/>
            <c:showPercent val="0"/>
            <c:showBubbleSize val="0"/>
          </c:dLbls>
          <c:xVal>
            <c:strRef>
              <c:f>'2022_Data'!$F$581</c:f>
            </c:strRef>
          </c:xVal>
          <c:yVal>
            <c:numRef>
              <c:f>'2022_Data'!$E$581</c:f>
              <c:numCache/>
            </c:numRef>
          </c:yVal>
          <c:bubbleSize>
            <c:numRef>
              <c:f>'2022_Data'!$G$581</c:f>
            </c:numRef>
          </c:bubbleSize>
        </c:ser>
        <c:ser>
          <c:idx val="581"/>
          <c:order val="581"/>
          <c:tx>
            <c:strRef>
              <c:f>'2022_Data'!$A$582</c:f>
            </c:strRef>
          </c:tx>
          <c:dLbls>
            <c:dLblPos val="ctr"/>
            <c:showLegendKey val="0"/>
            <c:showVal val="0"/>
            <c:showCatName val="0"/>
            <c:showSerName val="1"/>
            <c:showPercent val="0"/>
            <c:showBubbleSize val="0"/>
          </c:dLbls>
          <c:xVal>
            <c:strRef>
              <c:f>'2022_Data'!$F$582</c:f>
            </c:strRef>
          </c:xVal>
          <c:yVal>
            <c:numRef>
              <c:f>'2022_Data'!$E$582</c:f>
              <c:numCache/>
            </c:numRef>
          </c:yVal>
          <c:bubbleSize>
            <c:numRef>
              <c:f>'2022_Data'!$G$582</c:f>
            </c:numRef>
          </c:bubbleSize>
        </c:ser>
        <c:ser>
          <c:idx val="582"/>
          <c:order val="582"/>
          <c:tx>
            <c:strRef>
              <c:f>'2022_Data'!$A$583</c:f>
            </c:strRef>
          </c:tx>
          <c:dLbls>
            <c:dLblPos val="ctr"/>
            <c:showLegendKey val="0"/>
            <c:showVal val="0"/>
            <c:showCatName val="0"/>
            <c:showSerName val="1"/>
            <c:showPercent val="0"/>
            <c:showBubbleSize val="0"/>
          </c:dLbls>
          <c:xVal>
            <c:strRef>
              <c:f>'2022_Data'!$F$583</c:f>
            </c:strRef>
          </c:xVal>
          <c:yVal>
            <c:numRef>
              <c:f>'2022_Data'!$E$583</c:f>
              <c:numCache/>
            </c:numRef>
          </c:yVal>
          <c:bubbleSize>
            <c:numRef>
              <c:f>'2022_Data'!$G$583</c:f>
            </c:numRef>
          </c:bubbleSize>
        </c:ser>
        <c:ser>
          <c:idx val="583"/>
          <c:order val="583"/>
          <c:tx>
            <c:strRef>
              <c:f>'2022_Data'!$A$584</c:f>
            </c:strRef>
          </c:tx>
          <c:dLbls>
            <c:dLblPos val="ctr"/>
            <c:showLegendKey val="0"/>
            <c:showVal val="0"/>
            <c:showCatName val="0"/>
            <c:showSerName val="1"/>
            <c:showPercent val="0"/>
            <c:showBubbleSize val="0"/>
          </c:dLbls>
          <c:xVal>
            <c:strRef>
              <c:f>'2022_Data'!$F$584</c:f>
            </c:strRef>
          </c:xVal>
          <c:yVal>
            <c:numRef>
              <c:f>'2022_Data'!$E$584</c:f>
              <c:numCache/>
            </c:numRef>
          </c:yVal>
          <c:bubbleSize>
            <c:numRef>
              <c:f>'2022_Data'!$G$584</c:f>
            </c:numRef>
          </c:bubbleSize>
        </c:ser>
        <c:ser>
          <c:idx val="584"/>
          <c:order val="584"/>
          <c:tx>
            <c:strRef>
              <c:f>'2022_Data'!$A$585</c:f>
            </c:strRef>
          </c:tx>
          <c:dLbls>
            <c:dLblPos val="ctr"/>
            <c:showLegendKey val="0"/>
            <c:showVal val="0"/>
            <c:showCatName val="0"/>
            <c:showSerName val="1"/>
            <c:showPercent val="0"/>
            <c:showBubbleSize val="0"/>
          </c:dLbls>
          <c:xVal>
            <c:strRef>
              <c:f>'2022_Data'!$F$585</c:f>
            </c:strRef>
          </c:xVal>
          <c:yVal>
            <c:numRef>
              <c:f>'2022_Data'!$E$585</c:f>
              <c:numCache/>
            </c:numRef>
          </c:yVal>
          <c:bubbleSize>
            <c:numRef>
              <c:f>'2022_Data'!$G$585</c:f>
            </c:numRef>
          </c:bubbleSize>
        </c:ser>
        <c:ser>
          <c:idx val="585"/>
          <c:order val="585"/>
          <c:tx>
            <c:strRef>
              <c:f>'2022_Data'!$A$586</c:f>
            </c:strRef>
          </c:tx>
          <c:dLbls>
            <c:dLblPos val="ctr"/>
            <c:showLegendKey val="0"/>
            <c:showVal val="0"/>
            <c:showCatName val="0"/>
            <c:showSerName val="1"/>
            <c:showPercent val="0"/>
            <c:showBubbleSize val="0"/>
          </c:dLbls>
          <c:xVal>
            <c:strRef>
              <c:f>'2022_Data'!$F$586</c:f>
            </c:strRef>
          </c:xVal>
          <c:yVal>
            <c:numRef>
              <c:f>'2022_Data'!$E$586</c:f>
              <c:numCache/>
            </c:numRef>
          </c:yVal>
          <c:bubbleSize>
            <c:numRef>
              <c:f>'2022_Data'!$G$586</c:f>
            </c:numRef>
          </c:bubbleSize>
        </c:ser>
        <c:ser>
          <c:idx val="586"/>
          <c:order val="586"/>
          <c:tx>
            <c:strRef>
              <c:f>'2022_Data'!$A$587</c:f>
            </c:strRef>
          </c:tx>
          <c:dLbls>
            <c:dLblPos val="ctr"/>
            <c:showLegendKey val="0"/>
            <c:showVal val="0"/>
            <c:showCatName val="0"/>
            <c:showSerName val="1"/>
            <c:showPercent val="0"/>
            <c:showBubbleSize val="0"/>
          </c:dLbls>
          <c:xVal>
            <c:strRef>
              <c:f>'2022_Data'!$F$587</c:f>
            </c:strRef>
          </c:xVal>
          <c:yVal>
            <c:numRef>
              <c:f>'2022_Data'!$E$587</c:f>
              <c:numCache/>
            </c:numRef>
          </c:yVal>
          <c:bubbleSize>
            <c:numRef>
              <c:f>'2022_Data'!$G$587</c:f>
            </c:numRef>
          </c:bubbleSize>
        </c:ser>
        <c:ser>
          <c:idx val="587"/>
          <c:order val="587"/>
          <c:tx>
            <c:strRef>
              <c:f>'2022_Data'!$A$588</c:f>
            </c:strRef>
          </c:tx>
          <c:dLbls>
            <c:dLblPos val="ctr"/>
            <c:showLegendKey val="0"/>
            <c:showVal val="0"/>
            <c:showCatName val="0"/>
            <c:showSerName val="1"/>
            <c:showPercent val="0"/>
            <c:showBubbleSize val="0"/>
          </c:dLbls>
          <c:xVal>
            <c:strRef>
              <c:f>'2022_Data'!$F$588</c:f>
            </c:strRef>
          </c:xVal>
          <c:yVal>
            <c:numRef>
              <c:f>'2022_Data'!$E$588</c:f>
              <c:numCache/>
            </c:numRef>
          </c:yVal>
          <c:bubbleSize>
            <c:numRef>
              <c:f>'2022_Data'!$G$588</c:f>
            </c:numRef>
          </c:bubbleSize>
        </c:ser>
        <c:ser>
          <c:idx val="588"/>
          <c:order val="588"/>
          <c:tx>
            <c:strRef>
              <c:f>'2022_Data'!$A$589</c:f>
            </c:strRef>
          </c:tx>
          <c:dLbls>
            <c:dLblPos val="ctr"/>
            <c:showLegendKey val="0"/>
            <c:showVal val="0"/>
            <c:showCatName val="0"/>
            <c:showSerName val="1"/>
            <c:showPercent val="0"/>
            <c:showBubbleSize val="0"/>
          </c:dLbls>
          <c:xVal>
            <c:strRef>
              <c:f>'2022_Data'!$F$589</c:f>
            </c:strRef>
          </c:xVal>
          <c:yVal>
            <c:numRef>
              <c:f>'2022_Data'!$E$589</c:f>
              <c:numCache/>
            </c:numRef>
          </c:yVal>
          <c:bubbleSize>
            <c:numRef>
              <c:f>'2022_Data'!$G$589</c:f>
            </c:numRef>
          </c:bubbleSize>
        </c:ser>
        <c:ser>
          <c:idx val="589"/>
          <c:order val="589"/>
          <c:tx>
            <c:strRef>
              <c:f>'2022_Data'!$A$590</c:f>
            </c:strRef>
          </c:tx>
          <c:dLbls>
            <c:dLblPos val="ctr"/>
            <c:showLegendKey val="0"/>
            <c:showVal val="0"/>
            <c:showCatName val="0"/>
            <c:showSerName val="1"/>
            <c:showPercent val="0"/>
            <c:showBubbleSize val="0"/>
          </c:dLbls>
          <c:xVal>
            <c:strRef>
              <c:f>'2022_Data'!$F$590</c:f>
            </c:strRef>
          </c:xVal>
          <c:yVal>
            <c:numRef>
              <c:f>'2022_Data'!$E$590</c:f>
              <c:numCache/>
            </c:numRef>
          </c:yVal>
          <c:bubbleSize>
            <c:numRef>
              <c:f>'2022_Data'!$G$590</c:f>
            </c:numRef>
          </c:bubbleSize>
        </c:ser>
        <c:ser>
          <c:idx val="590"/>
          <c:order val="590"/>
          <c:tx>
            <c:strRef>
              <c:f>'2022_Data'!$A$591</c:f>
            </c:strRef>
          </c:tx>
          <c:dLbls>
            <c:dLblPos val="ctr"/>
            <c:showLegendKey val="0"/>
            <c:showVal val="0"/>
            <c:showCatName val="0"/>
            <c:showSerName val="1"/>
            <c:showPercent val="0"/>
            <c:showBubbleSize val="0"/>
          </c:dLbls>
          <c:xVal>
            <c:strRef>
              <c:f>'2022_Data'!$F$591</c:f>
            </c:strRef>
          </c:xVal>
          <c:yVal>
            <c:numRef>
              <c:f>'2022_Data'!$E$591</c:f>
              <c:numCache/>
            </c:numRef>
          </c:yVal>
          <c:bubbleSize>
            <c:numRef>
              <c:f>'2022_Data'!$G$591</c:f>
            </c:numRef>
          </c:bubbleSize>
        </c:ser>
        <c:ser>
          <c:idx val="591"/>
          <c:order val="591"/>
          <c:tx>
            <c:strRef>
              <c:f>'2022_Data'!$A$592</c:f>
            </c:strRef>
          </c:tx>
          <c:dLbls>
            <c:dLblPos val="ctr"/>
            <c:showLegendKey val="0"/>
            <c:showVal val="0"/>
            <c:showCatName val="0"/>
            <c:showSerName val="1"/>
            <c:showPercent val="0"/>
            <c:showBubbleSize val="0"/>
          </c:dLbls>
          <c:xVal>
            <c:strRef>
              <c:f>'2022_Data'!$F$592</c:f>
            </c:strRef>
          </c:xVal>
          <c:yVal>
            <c:numRef>
              <c:f>'2022_Data'!$E$592</c:f>
              <c:numCache/>
            </c:numRef>
          </c:yVal>
          <c:bubbleSize>
            <c:numRef>
              <c:f>'2022_Data'!$G$592</c:f>
            </c:numRef>
          </c:bubbleSize>
        </c:ser>
        <c:ser>
          <c:idx val="592"/>
          <c:order val="592"/>
          <c:tx>
            <c:strRef>
              <c:f>'2022_Data'!$A$593</c:f>
            </c:strRef>
          </c:tx>
          <c:dLbls>
            <c:dLblPos val="ctr"/>
            <c:showLegendKey val="0"/>
            <c:showVal val="0"/>
            <c:showCatName val="0"/>
            <c:showSerName val="1"/>
            <c:showPercent val="0"/>
            <c:showBubbleSize val="0"/>
          </c:dLbls>
          <c:xVal>
            <c:strRef>
              <c:f>'2022_Data'!$F$593</c:f>
            </c:strRef>
          </c:xVal>
          <c:yVal>
            <c:numRef>
              <c:f>'2022_Data'!$E$593</c:f>
              <c:numCache/>
            </c:numRef>
          </c:yVal>
          <c:bubbleSize>
            <c:numRef>
              <c:f>'2022_Data'!$G$593</c:f>
            </c:numRef>
          </c:bubbleSize>
        </c:ser>
        <c:ser>
          <c:idx val="593"/>
          <c:order val="593"/>
          <c:tx>
            <c:strRef>
              <c:f>'2022_Data'!$A$594</c:f>
            </c:strRef>
          </c:tx>
          <c:dLbls>
            <c:dLblPos val="ctr"/>
            <c:showLegendKey val="0"/>
            <c:showVal val="0"/>
            <c:showCatName val="0"/>
            <c:showSerName val="1"/>
            <c:showPercent val="0"/>
            <c:showBubbleSize val="0"/>
          </c:dLbls>
          <c:xVal>
            <c:strRef>
              <c:f>'2022_Data'!$F$594</c:f>
            </c:strRef>
          </c:xVal>
          <c:yVal>
            <c:numRef>
              <c:f>'2022_Data'!$E$594</c:f>
              <c:numCache/>
            </c:numRef>
          </c:yVal>
          <c:bubbleSize>
            <c:numRef>
              <c:f>'2022_Data'!$G$594</c:f>
            </c:numRef>
          </c:bubbleSize>
        </c:ser>
        <c:ser>
          <c:idx val="594"/>
          <c:order val="594"/>
          <c:tx>
            <c:strRef>
              <c:f>'2022_Data'!$A$595</c:f>
            </c:strRef>
          </c:tx>
          <c:dLbls>
            <c:dLblPos val="ctr"/>
            <c:showLegendKey val="0"/>
            <c:showVal val="0"/>
            <c:showCatName val="0"/>
            <c:showSerName val="1"/>
            <c:showPercent val="0"/>
            <c:showBubbleSize val="0"/>
          </c:dLbls>
          <c:xVal>
            <c:strRef>
              <c:f>'2022_Data'!$F$595</c:f>
            </c:strRef>
          </c:xVal>
          <c:yVal>
            <c:numRef>
              <c:f>'2022_Data'!$E$595</c:f>
              <c:numCache/>
            </c:numRef>
          </c:yVal>
          <c:bubbleSize>
            <c:numRef>
              <c:f>'2022_Data'!$G$595</c:f>
            </c:numRef>
          </c:bubbleSize>
        </c:ser>
        <c:ser>
          <c:idx val="595"/>
          <c:order val="595"/>
          <c:tx>
            <c:strRef>
              <c:f>'2022_Data'!$A$596</c:f>
            </c:strRef>
          </c:tx>
          <c:dLbls>
            <c:dLblPos val="ctr"/>
            <c:showLegendKey val="0"/>
            <c:showVal val="0"/>
            <c:showCatName val="0"/>
            <c:showSerName val="1"/>
            <c:showPercent val="0"/>
            <c:showBubbleSize val="0"/>
          </c:dLbls>
          <c:xVal>
            <c:strRef>
              <c:f>'2022_Data'!$F$596</c:f>
            </c:strRef>
          </c:xVal>
          <c:yVal>
            <c:numRef>
              <c:f>'2022_Data'!$E$596</c:f>
              <c:numCache/>
            </c:numRef>
          </c:yVal>
          <c:bubbleSize>
            <c:numRef>
              <c:f>'2022_Data'!$G$596</c:f>
            </c:numRef>
          </c:bubbleSize>
        </c:ser>
        <c:ser>
          <c:idx val="596"/>
          <c:order val="596"/>
          <c:tx>
            <c:strRef>
              <c:f>'2022_Data'!$A$597</c:f>
            </c:strRef>
          </c:tx>
          <c:dLbls>
            <c:dLblPos val="ctr"/>
            <c:showLegendKey val="0"/>
            <c:showVal val="0"/>
            <c:showCatName val="0"/>
            <c:showSerName val="1"/>
            <c:showPercent val="0"/>
            <c:showBubbleSize val="0"/>
          </c:dLbls>
          <c:xVal>
            <c:strRef>
              <c:f>'2022_Data'!$F$597</c:f>
            </c:strRef>
          </c:xVal>
          <c:yVal>
            <c:numRef>
              <c:f>'2022_Data'!$E$597</c:f>
              <c:numCache/>
            </c:numRef>
          </c:yVal>
          <c:bubbleSize>
            <c:numRef>
              <c:f>'2022_Data'!$G$597</c:f>
            </c:numRef>
          </c:bubbleSize>
        </c:ser>
        <c:ser>
          <c:idx val="597"/>
          <c:order val="597"/>
          <c:tx>
            <c:strRef>
              <c:f>'2022_Data'!$A$598</c:f>
            </c:strRef>
          </c:tx>
          <c:dLbls>
            <c:dLblPos val="ctr"/>
            <c:showLegendKey val="0"/>
            <c:showVal val="0"/>
            <c:showCatName val="0"/>
            <c:showSerName val="1"/>
            <c:showPercent val="0"/>
            <c:showBubbleSize val="0"/>
          </c:dLbls>
          <c:xVal>
            <c:strRef>
              <c:f>'2022_Data'!$F$598</c:f>
            </c:strRef>
          </c:xVal>
          <c:yVal>
            <c:numRef>
              <c:f>'2022_Data'!$E$598</c:f>
              <c:numCache/>
            </c:numRef>
          </c:yVal>
          <c:bubbleSize>
            <c:numRef>
              <c:f>'2022_Data'!$G$598</c:f>
            </c:numRef>
          </c:bubbleSize>
        </c:ser>
        <c:ser>
          <c:idx val="598"/>
          <c:order val="598"/>
          <c:tx>
            <c:strRef>
              <c:f>'2022_Data'!$A$599</c:f>
            </c:strRef>
          </c:tx>
          <c:dLbls>
            <c:dLblPos val="ctr"/>
            <c:showLegendKey val="0"/>
            <c:showVal val="0"/>
            <c:showCatName val="0"/>
            <c:showSerName val="1"/>
            <c:showPercent val="0"/>
            <c:showBubbleSize val="0"/>
          </c:dLbls>
          <c:xVal>
            <c:strRef>
              <c:f>'2022_Data'!$F$599</c:f>
            </c:strRef>
          </c:xVal>
          <c:yVal>
            <c:numRef>
              <c:f>'2022_Data'!$E$599</c:f>
              <c:numCache/>
            </c:numRef>
          </c:yVal>
          <c:bubbleSize>
            <c:numRef>
              <c:f>'2022_Data'!$G$599</c:f>
            </c:numRef>
          </c:bubbleSize>
        </c:ser>
        <c:ser>
          <c:idx val="599"/>
          <c:order val="599"/>
          <c:tx>
            <c:strRef>
              <c:f>'2022_Data'!$A$600</c:f>
            </c:strRef>
          </c:tx>
          <c:dLbls>
            <c:dLblPos val="ctr"/>
            <c:showLegendKey val="0"/>
            <c:showVal val="0"/>
            <c:showCatName val="0"/>
            <c:showSerName val="1"/>
            <c:showPercent val="0"/>
            <c:showBubbleSize val="0"/>
          </c:dLbls>
          <c:xVal>
            <c:strRef>
              <c:f>'2022_Data'!$F$600</c:f>
            </c:strRef>
          </c:xVal>
          <c:yVal>
            <c:numRef>
              <c:f>'2022_Data'!$E$600</c:f>
              <c:numCache/>
            </c:numRef>
          </c:yVal>
          <c:bubbleSize>
            <c:numRef>
              <c:f>'2022_Data'!$G$600</c:f>
            </c:numRef>
          </c:bubbleSize>
        </c:ser>
        <c:ser>
          <c:idx val="600"/>
          <c:order val="600"/>
          <c:tx>
            <c:strRef>
              <c:f>'2022_Data'!$A$601</c:f>
            </c:strRef>
          </c:tx>
          <c:dLbls>
            <c:dLblPos val="ctr"/>
            <c:showLegendKey val="0"/>
            <c:showVal val="0"/>
            <c:showCatName val="0"/>
            <c:showSerName val="1"/>
            <c:showPercent val="0"/>
            <c:showBubbleSize val="0"/>
          </c:dLbls>
          <c:xVal>
            <c:strRef>
              <c:f>'2022_Data'!$F$601</c:f>
            </c:strRef>
          </c:xVal>
          <c:yVal>
            <c:numRef>
              <c:f>'2022_Data'!$E$601</c:f>
              <c:numCache/>
            </c:numRef>
          </c:yVal>
          <c:bubbleSize>
            <c:numRef>
              <c:f>'2022_Data'!$G$601</c:f>
            </c:numRef>
          </c:bubbleSize>
        </c:ser>
        <c:ser>
          <c:idx val="601"/>
          <c:order val="601"/>
          <c:tx>
            <c:strRef>
              <c:f>'2022_Data'!$A$602</c:f>
            </c:strRef>
          </c:tx>
          <c:dLbls>
            <c:dLblPos val="ctr"/>
            <c:showLegendKey val="0"/>
            <c:showVal val="0"/>
            <c:showCatName val="0"/>
            <c:showSerName val="1"/>
            <c:showPercent val="0"/>
            <c:showBubbleSize val="0"/>
          </c:dLbls>
          <c:xVal>
            <c:strRef>
              <c:f>'2022_Data'!$F$602</c:f>
            </c:strRef>
          </c:xVal>
          <c:yVal>
            <c:numRef>
              <c:f>'2022_Data'!$E$602</c:f>
              <c:numCache/>
            </c:numRef>
          </c:yVal>
          <c:bubbleSize>
            <c:numRef>
              <c:f>'2022_Data'!$G$602</c:f>
            </c:numRef>
          </c:bubbleSize>
        </c:ser>
        <c:ser>
          <c:idx val="602"/>
          <c:order val="602"/>
          <c:tx>
            <c:strRef>
              <c:f>'2022_Data'!$A$603</c:f>
            </c:strRef>
          </c:tx>
          <c:dLbls>
            <c:dLblPos val="ctr"/>
            <c:showLegendKey val="0"/>
            <c:showVal val="0"/>
            <c:showCatName val="0"/>
            <c:showSerName val="1"/>
            <c:showPercent val="0"/>
            <c:showBubbleSize val="0"/>
          </c:dLbls>
          <c:xVal>
            <c:strRef>
              <c:f>'2022_Data'!$F$603</c:f>
            </c:strRef>
          </c:xVal>
          <c:yVal>
            <c:numRef>
              <c:f>'2022_Data'!$E$603</c:f>
              <c:numCache/>
            </c:numRef>
          </c:yVal>
          <c:bubbleSize>
            <c:numRef>
              <c:f>'2022_Data'!$G$603</c:f>
            </c:numRef>
          </c:bubbleSize>
        </c:ser>
        <c:ser>
          <c:idx val="603"/>
          <c:order val="603"/>
          <c:tx>
            <c:strRef>
              <c:f>'2022_Data'!$A$604</c:f>
            </c:strRef>
          </c:tx>
          <c:dLbls>
            <c:dLblPos val="ctr"/>
            <c:showLegendKey val="0"/>
            <c:showVal val="0"/>
            <c:showCatName val="0"/>
            <c:showSerName val="1"/>
            <c:showPercent val="0"/>
            <c:showBubbleSize val="0"/>
          </c:dLbls>
          <c:xVal>
            <c:strRef>
              <c:f>'2022_Data'!$F$604</c:f>
            </c:strRef>
          </c:xVal>
          <c:yVal>
            <c:numRef>
              <c:f>'2022_Data'!$E$604</c:f>
              <c:numCache/>
            </c:numRef>
          </c:yVal>
          <c:bubbleSize>
            <c:numRef>
              <c:f>'2022_Data'!$G$604</c:f>
            </c:numRef>
          </c:bubbleSize>
        </c:ser>
        <c:ser>
          <c:idx val="604"/>
          <c:order val="604"/>
          <c:tx>
            <c:strRef>
              <c:f>'2022_Data'!$A$605</c:f>
            </c:strRef>
          </c:tx>
          <c:dLbls>
            <c:dLblPos val="ctr"/>
            <c:showLegendKey val="0"/>
            <c:showVal val="0"/>
            <c:showCatName val="0"/>
            <c:showSerName val="1"/>
            <c:showPercent val="0"/>
            <c:showBubbleSize val="0"/>
          </c:dLbls>
          <c:xVal>
            <c:strRef>
              <c:f>'2022_Data'!$F$605</c:f>
            </c:strRef>
          </c:xVal>
          <c:yVal>
            <c:numRef>
              <c:f>'2022_Data'!$E$605</c:f>
              <c:numCache/>
            </c:numRef>
          </c:yVal>
          <c:bubbleSize>
            <c:numRef>
              <c:f>'2022_Data'!$G$605</c:f>
            </c:numRef>
          </c:bubbleSize>
        </c:ser>
        <c:ser>
          <c:idx val="605"/>
          <c:order val="605"/>
          <c:tx>
            <c:strRef>
              <c:f>'2022_Data'!$A$606</c:f>
            </c:strRef>
          </c:tx>
          <c:dLbls>
            <c:dLblPos val="ctr"/>
            <c:showLegendKey val="0"/>
            <c:showVal val="0"/>
            <c:showCatName val="0"/>
            <c:showSerName val="1"/>
            <c:showPercent val="0"/>
            <c:showBubbleSize val="0"/>
          </c:dLbls>
          <c:xVal>
            <c:strRef>
              <c:f>'2022_Data'!$F$606</c:f>
            </c:strRef>
          </c:xVal>
          <c:yVal>
            <c:numRef>
              <c:f>'2022_Data'!$E$606</c:f>
              <c:numCache/>
            </c:numRef>
          </c:yVal>
          <c:bubbleSize>
            <c:numRef>
              <c:f>'2022_Data'!$G$606</c:f>
            </c:numRef>
          </c:bubbleSize>
        </c:ser>
        <c:ser>
          <c:idx val="606"/>
          <c:order val="606"/>
          <c:tx>
            <c:strRef>
              <c:f>'2022_Data'!$A$607</c:f>
            </c:strRef>
          </c:tx>
          <c:dLbls>
            <c:dLblPos val="ctr"/>
            <c:showLegendKey val="0"/>
            <c:showVal val="0"/>
            <c:showCatName val="0"/>
            <c:showSerName val="1"/>
            <c:showPercent val="0"/>
            <c:showBubbleSize val="0"/>
          </c:dLbls>
          <c:xVal>
            <c:strRef>
              <c:f>'2022_Data'!$F$607</c:f>
            </c:strRef>
          </c:xVal>
          <c:yVal>
            <c:numRef>
              <c:f>'2022_Data'!$E$607</c:f>
              <c:numCache/>
            </c:numRef>
          </c:yVal>
          <c:bubbleSize>
            <c:numRef>
              <c:f>'2022_Data'!$G$607</c:f>
            </c:numRef>
          </c:bubbleSize>
        </c:ser>
        <c:ser>
          <c:idx val="607"/>
          <c:order val="607"/>
          <c:tx>
            <c:strRef>
              <c:f>'2022_Data'!$A$608</c:f>
            </c:strRef>
          </c:tx>
          <c:dLbls>
            <c:dLblPos val="ctr"/>
            <c:showLegendKey val="0"/>
            <c:showVal val="0"/>
            <c:showCatName val="0"/>
            <c:showSerName val="1"/>
            <c:showPercent val="0"/>
            <c:showBubbleSize val="0"/>
          </c:dLbls>
          <c:xVal>
            <c:strRef>
              <c:f>'2022_Data'!$F$608</c:f>
            </c:strRef>
          </c:xVal>
          <c:yVal>
            <c:numRef>
              <c:f>'2022_Data'!$E$608</c:f>
              <c:numCache/>
            </c:numRef>
          </c:yVal>
          <c:bubbleSize>
            <c:numRef>
              <c:f>'2022_Data'!$G$608</c:f>
            </c:numRef>
          </c:bubbleSize>
        </c:ser>
        <c:ser>
          <c:idx val="608"/>
          <c:order val="608"/>
          <c:tx>
            <c:strRef>
              <c:f>'2022_Data'!$A$609</c:f>
            </c:strRef>
          </c:tx>
          <c:dLbls>
            <c:dLblPos val="ctr"/>
            <c:showLegendKey val="0"/>
            <c:showVal val="0"/>
            <c:showCatName val="0"/>
            <c:showSerName val="1"/>
            <c:showPercent val="0"/>
            <c:showBubbleSize val="0"/>
          </c:dLbls>
          <c:xVal>
            <c:strRef>
              <c:f>'2022_Data'!$F$609</c:f>
            </c:strRef>
          </c:xVal>
          <c:yVal>
            <c:numRef>
              <c:f>'2022_Data'!$E$609</c:f>
              <c:numCache/>
            </c:numRef>
          </c:yVal>
          <c:bubbleSize>
            <c:numRef>
              <c:f>'2022_Data'!$G$609</c:f>
            </c:numRef>
          </c:bubbleSize>
        </c:ser>
        <c:ser>
          <c:idx val="609"/>
          <c:order val="609"/>
          <c:tx>
            <c:strRef>
              <c:f>'2022_Data'!$A$610</c:f>
            </c:strRef>
          </c:tx>
          <c:dLbls>
            <c:dLblPos val="ctr"/>
            <c:showLegendKey val="0"/>
            <c:showVal val="0"/>
            <c:showCatName val="0"/>
            <c:showSerName val="1"/>
            <c:showPercent val="0"/>
            <c:showBubbleSize val="0"/>
          </c:dLbls>
          <c:xVal>
            <c:strRef>
              <c:f>'2022_Data'!$F$610</c:f>
            </c:strRef>
          </c:xVal>
          <c:yVal>
            <c:numRef>
              <c:f>'2022_Data'!$E$610</c:f>
              <c:numCache/>
            </c:numRef>
          </c:yVal>
          <c:bubbleSize>
            <c:numRef>
              <c:f>'2022_Data'!$G$610</c:f>
            </c:numRef>
          </c:bubbleSize>
        </c:ser>
        <c:ser>
          <c:idx val="610"/>
          <c:order val="610"/>
          <c:tx>
            <c:strRef>
              <c:f>'2022_Data'!$A$611</c:f>
            </c:strRef>
          </c:tx>
          <c:dLbls>
            <c:dLblPos val="ctr"/>
            <c:showLegendKey val="0"/>
            <c:showVal val="0"/>
            <c:showCatName val="0"/>
            <c:showSerName val="1"/>
            <c:showPercent val="0"/>
            <c:showBubbleSize val="0"/>
          </c:dLbls>
          <c:xVal>
            <c:strRef>
              <c:f>'2022_Data'!$F$611</c:f>
            </c:strRef>
          </c:xVal>
          <c:yVal>
            <c:numRef>
              <c:f>'2022_Data'!$E$611</c:f>
              <c:numCache/>
            </c:numRef>
          </c:yVal>
          <c:bubbleSize>
            <c:numRef>
              <c:f>'2022_Data'!$G$611</c:f>
            </c:numRef>
          </c:bubbleSize>
        </c:ser>
        <c:ser>
          <c:idx val="611"/>
          <c:order val="611"/>
          <c:tx>
            <c:strRef>
              <c:f>'2022_Data'!$A$612</c:f>
            </c:strRef>
          </c:tx>
          <c:dLbls>
            <c:dLblPos val="ctr"/>
            <c:showLegendKey val="0"/>
            <c:showVal val="0"/>
            <c:showCatName val="0"/>
            <c:showSerName val="1"/>
            <c:showPercent val="0"/>
            <c:showBubbleSize val="0"/>
          </c:dLbls>
          <c:xVal>
            <c:strRef>
              <c:f>'2022_Data'!$F$612</c:f>
            </c:strRef>
          </c:xVal>
          <c:yVal>
            <c:numRef>
              <c:f>'2022_Data'!$E$612</c:f>
              <c:numCache/>
            </c:numRef>
          </c:yVal>
          <c:bubbleSize>
            <c:numRef>
              <c:f>'2022_Data'!$G$612</c:f>
            </c:numRef>
          </c:bubbleSize>
        </c:ser>
        <c:ser>
          <c:idx val="612"/>
          <c:order val="612"/>
          <c:tx>
            <c:strRef>
              <c:f>'2022_Data'!$A$613</c:f>
            </c:strRef>
          </c:tx>
          <c:dLbls>
            <c:dLblPos val="ctr"/>
            <c:showLegendKey val="0"/>
            <c:showVal val="0"/>
            <c:showCatName val="0"/>
            <c:showSerName val="1"/>
            <c:showPercent val="0"/>
            <c:showBubbleSize val="0"/>
          </c:dLbls>
          <c:xVal>
            <c:strRef>
              <c:f>'2022_Data'!$F$613</c:f>
            </c:strRef>
          </c:xVal>
          <c:yVal>
            <c:numRef>
              <c:f>'2022_Data'!$E$613</c:f>
              <c:numCache/>
            </c:numRef>
          </c:yVal>
          <c:bubbleSize>
            <c:numRef>
              <c:f>'2022_Data'!$G$613</c:f>
            </c:numRef>
          </c:bubbleSize>
        </c:ser>
        <c:ser>
          <c:idx val="613"/>
          <c:order val="613"/>
          <c:tx>
            <c:strRef>
              <c:f>'2022_Data'!$A$614</c:f>
            </c:strRef>
          </c:tx>
          <c:dLbls>
            <c:dLblPos val="ctr"/>
            <c:showLegendKey val="0"/>
            <c:showVal val="0"/>
            <c:showCatName val="0"/>
            <c:showSerName val="1"/>
            <c:showPercent val="0"/>
            <c:showBubbleSize val="0"/>
          </c:dLbls>
          <c:xVal>
            <c:strRef>
              <c:f>'2022_Data'!$F$614</c:f>
            </c:strRef>
          </c:xVal>
          <c:yVal>
            <c:numRef>
              <c:f>'2022_Data'!$E$614</c:f>
              <c:numCache/>
            </c:numRef>
          </c:yVal>
          <c:bubbleSize>
            <c:numRef>
              <c:f>'2022_Data'!$G$614</c:f>
            </c:numRef>
          </c:bubbleSize>
        </c:ser>
        <c:ser>
          <c:idx val="614"/>
          <c:order val="614"/>
          <c:tx>
            <c:strRef>
              <c:f>'2022_Data'!$A$615</c:f>
            </c:strRef>
          </c:tx>
          <c:dLbls>
            <c:dLblPos val="ctr"/>
            <c:showLegendKey val="0"/>
            <c:showVal val="0"/>
            <c:showCatName val="0"/>
            <c:showSerName val="1"/>
            <c:showPercent val="0"/>
            <c:showBubbleSize val="0"/>
          </c:dLbls>
          <c:xVal>
            <c:strRef>
              <c:f>'2022_Data'!$F$615</c:f>
            </c:strRef>
          </c:xVal>
          <c:yVal>
            <c:numRef>
              <c:f>'2022_Data'!$E$615</c:f>
              <c:numCache/>
            </c:numRef>
          </c:yVal>
          <c:bubbleSize>
            <c:numRef>
              <c:f>'2022_Data'!$G$615</c:f>
            </c:numRef>
          </c:bubbleSize>
        </c:ser>
        <c:ser>
          <c:idx val="615"/>
          <c:order val="615"/>
          <c:tx>
            <c:strRef>
              <c:f>'2022_Data'!$A$616</c:f>
            </c:strRef>
          </c:tx>
          <c:dLbls>
            <c:dLblPos val="ctr"/>
            <c:showLegendKey val="0"/>
            <c:showVal val="0"/>
            <c:showCatName val="0"/>
            <c:showSerName val="1"/>
            <c:showPercent val="0"/>
            <c:showBubbleSize val="0"/>
          </c:dLbls>
          <c:xVal>
            <c:strRef>
              <c:f>'2022_Data'!$F$616</c:f>
            </c:strRef>
          </c:xVal>
          <c:yVal>
            <c:numRef>
              <c:f>'2022_Data'!$E$616</c:f>
              <c:numCache/>
            </c:numRef>
          </c:yVal>
          <c:bubbleSize>
            <c:numRef>
              <c:f>'2022_Data'!$G$616</c:f>
            </c:numRef>
          </c:bubbleSize>
        </c:ser>
        <c:ser>
          <c:idx val="616"/>
          <c:order val="616"/>
          <c:tx>
            <c:strRef>
              <c:f>'2022_Data'!$A$617</c:f>
            </c:strRef>
          </c:tx>
          <c:dLbls>
            <c:dLblPos val="ctr"/>
            <c:showLegendKey val="0"/>
            <c:showVal val="0"/>
            <c:showCatName val="0"/>
            <c:showSerName val="1"/>
            <c:showPercent val="0"/>
            <c:showBubbleSize val="0"/>
          </c:dLbls>
          <c:xVal>
            <c:strRef>
              <c:f>'2022_Data'!$F$617</c:f>
            </c:strRef>
          </c:xVal>
          <c:yVal>
            <c:numRef>
              <c:f>'2022_Data'!$E$617</c:f>
              <c:numCache/>
            </c:numRef>
          </c:yVal>
          <c:bubbleSize>
            <c:numRef>
              <c:f>'2022_Data'!$G$617</c:f>
            </c:numRef>
          </c:bubbleSize>
        </c:ser>
        <c:ser>
          <c:idx val="617"/>
          <c:order val="617"/>
          <c:tx>
            <c:strRef>
              <c:f>'2022_Data'!$A$618</c:f>
            </c:strRef>
          </c:tx>
          <c:dLbls>
            <c:dLblPos val="ctr"/>
            <c:showLegendKey val="0"/>
            <c:showVal val="0"/>
            <c:showCatName val="0"/>
            <c:showSerName val="1"/>
            <c:showPercent val="0"/>
            <c:showBubbleSize val="0"/>
          </c:dLbls>
          <c:xVal>
            <c:strRef>
              <c:f>'2022_Data'!$F$618</c:f>
            </c:strRef>
          </c:xVal>
          <c:yVal>
            <c:numRef>
              <c:f>'2022_Data'!$E$618</c:f>
              <c:numCache/>
            </c:numRef>
          </c:yVal>
          <c:bubbleSize>
            <c:numRef>
              <c:f>'2022_Data'!$G$618</c:f>
            </c:numRef>
          </c:bubbleSize>
        </c:ser>
        <c:ser>
          <c:idx val="618"/>
          <c:order val="618"/>
          <c:tx>
            <c:strRef>
              <c:f>'2022_Data'!$A$619</c:f>
            </c:strRef>
          </c:tx>
          <c:dLbls>
            <c:dLblPos val="ctr"/>
            <c:showLegendKey val="0"/>
            <c:showVal val="0"/>
            <c:showCatName val="0"/>
            <c:showSerName val="1"/>
            <c:showPercent val="0"/>
            <c:showBubbleSize val="0"/>
          </c:dLbls>
          <c:xVal>
            <c:strRef>
              <c:f>'2022_Data'!$F$619</c:f>
            </c:strRef>
          </c:xVal>
          <c:yVal>
            <c:numRef>
              <c:f>'2022_Data'!$E$619</c:f>
              <c:numCache/>
            </c:numRef>
          </c:yVal>
          <c:bubbleSize>
            <c:numRef>
              <c:f>'2022_Data'!$G$619</c:f>
            </c:numRef>
          </c:bubbleSize>
        </c:ser>
        <c:ser>
          <c:idx val="619"/>
          <c:order val="619"/>
          <c:tx>
            <c:strRef>
              <c:f>'2022_Data'!$A$620</c:f>
            </c:strRef>
          </c:tx>
          <c:dLbls>
            <c:dLblPos val="ctr"/>
            <c:showLegendKey val="0"/>
            <c:showVal val="0"/>
            <c:showCatName val="0"/>
            <c:showSerName val="1"/>
            <c:showPercent val="0"/>
            <c:showBubbleSize val="0"/>
          </c:dLbls>
          <c:xVal>
            <c:strRef>
              <c:f>'2022_Data'!$F$620</c:f>
            </c:strRef>
          </c:xVal>
          <c:yVal>
            <c:numRef>
              <c:f>'2022_Data'!$E$620</c:f>
              <c:numCache/>
            </c:numRef>
          </c:yVal>
          <c:bubbleSize>
            <c:numRef>
              <c:f>'2022_Data'!$G$620</c:f>
            </c:numRef>
          </c:bubbleSize>
        </c:ser>
        <c:ser>
          <c:idx val="620"/>
          <c:order val="620"/>
          <c:tx>
            <c:strRef>
              <c:f>'2022_Data'!$A$621</c:f>
            </c:strRef>
          </c:tx>
          <c:dLbls>
            <c:dLblPos val="ctr"/>
            <c:showLegendKey val="0"/>
            <c:showVal val="0"/>
            <c:showCatName val="0"/>
            <c:showSerName val="1"/>
            <c:showPercent val="0"/>
            <c:showBubbleSize val="0"/>
          </c:dLbls>
          <c:xVal>
            <c:strRef>
              <c:f>'2022_Data'!$F$621</c:f>
            </c:strRef>
          </c:xVal>
          <c:yVal>
            <c:numRef>
              <c:f>'2022_Data'!$E$621</c:f>
              <c:numCache/>
            </c:numRef>
          </c:yVal>
          <c:bubbleSize>
            <c:numRef>
              <c:f>'2022_Data'!$G$621</c:f>
            </c:numRef>
          </c:bubbleSize>
        </c:ser>
        <c:ser>
          <c:idx val="621"/>
          <c:order val="621"/>
          <c:tx>
            <c:strRef>
              <c:f>'2022_Data'!$A$622</c:f>
            </c:strRef>
          </c:tx>
          <c:dLbls>
            <c:dLblPos val="ctr"/>
            <c:showLegendKey val="0"/>
            <c:showVal val="0"/>
            <c:showCatName val="0"/>
            <c:showSerName val="1"/>
            <c:showPercent val="0"/>
            <c:showBubbleSize val="0"/>
          </c:dLbls>
          <c:xVal>
            <c:strRef>
              <c:f>'2022_Data'!$F$622</c:f>
            </c:strRef>
          </c:xVal>
          <c:yVal>
            <c:numRef>
              <c:f>'2022_Data'!$E$622</c:f>
              <c:numCache/>
            </c:numRef>
          </c:yVal>
          <c:bubbleSize>
            <c:numRef>
              <c:f>'2022_Data'!$G$622</c:f>
            </c:numRef>
          </c:bubbleSize>
        </c:ser>
        <c:ser>
          <c:idx val="622"/>
          <c:order val="622"/>
          <c:tx>
            <c:strRef>
              <c:f>'2022_Data'!$A$623</c:f>
            </c:strRef>
          </c:tx>
          <c:dLbls>
            <c:dLblPos val="ctr"/>
            <c:showLegendKey val="0"/>
            <c:showVal val="0"/>
            <c:showCatName val="0"/>
            <c:showSerName val="1"/>
            <c:showPercent val="0"/>
            <c:showBubbleSize val="0"/>
          </c:dLbls>
          <c:xVal>
            <c:strRef>
              <c:f>'2022_Data'!$F$623</c:f>
            </c:strRef>
          </c:xVal>
          <c:yVal>
            <c:numRef>
              <c:f>'2022_Data'!$E$623</c:f>
              <c:numCache/>
            </c:numRef>
          </c:yVal>
          <c:bubbleSize>
            <c:numRef>
              <c:f>'2022_Data'!$G$623</c:f>
            </c:numRef>
          </c:bubbleSize>
        </c:ser>
        <c:ser>
          <c:idx val="623"/>
          <c:order val="623"/>
          <c:tx>
            <c:strRef>
              <c:f>'2022_Data'!$A$624</c:f>
            </c:strRef>
          </c:tx>
          <c:dLbls>
            <c:dLblPos val="ctr"/>
            <c:showLegendKey val="0"/>
            <c:showVal val="0"/>
            <c:showCatName val="0"/>
            <c:showSerName val="1"/>
            <c:showPercent val="0"/>
            <c:showBubbleSize val="0"/>
          </c:dLbls>
          <c:xVal>
            <c:strRef>
              <c:f>'2022_Data'!$F$624</c:f>
            </c:strRef>
          </c:xVal>
          <c:yVal>
            <c:numRef>
              <c:f>'2022_Data'!$E$624</c:f>
              <c:numCache/>
            </c:numRef>
          </c:yVal>
          <c:bubbleSize>
            <c:numRef>
              <c:f>'2022_Data'!$G$624</c:f>
            </c:numRef>
          </c:bubbleSize>
        </c:ser>
        <c:ser>
          <c:idx val="624"/>
          <c:order val="624"/>
          <c:tx>
            <c:strRef>
              <c:f>'2022_Data'!$A$625</c:f>
            </c:strRef>
          </c:tx>
          <c:dLbls>
            <c:dLblPos val="ctr"/>
            <c:showLegendKey val="0"/>
            <c:showVal val="0"/>
            <c:showCatName val="0"/>
            <c:showSerName val="1"/>
            <c:showPercent val="0"/>
            <c:showBubbleSize val="0"/>
          </c:dLbls>
          <c:xVal>
            <c:strRef>
              <c:f>'2022_Data'!$F$625</c:f>
            </c:strRef>
          </c:xVal>
          <c:yVal>
            <c:numRef>
              <c:f>'2022_Data'!$E$625</c:f>
              <c:numCache/>
            </c:numRef>
          </c:yVal>
          <c:bubbleSize>
            <c:numRef>
              <c:f>'2022_Data'!$G$625</c:f>
            </c:numRef>
          </c:bubbleSize>
        </c:ser>
        <c:ser>
          <c:idx val="625"/>
          <c:order val="625"/>
          <c:tx>
            <c:strRef>
              <c:f>'2022_Data'!$A$626</c:f>
            </c:strRef>
          </c:tx>
          <c:dLbls>
            <c:dLblPos val="ctr"/>
            <c:showLegendKey val="0"/>
            <c:showVal val="0"/>
            <c:showCatName val="0"/>
            <c:showSerName val="1"/>
            <c:showPercent val="0"/>
            <c:showBubbleSize val="0"/>
          </c:dLbls>
          <c:xVal>
            <c:strRef>
              <c:f>'2022_Data'!$F$626</c:f>
            </c:strRef>
          </c:xVal>
          <c:yVal>
            <c:numRef>
              <c:f>'2022_Data'!$E$626</c:f>
              <c:numCache/>
            </c:numRef>
          </c:yVal>
          <c:bubbleSize>
            <c:numRef>
              <c:f>'2022_Data'!$G$626</c:f>
            </c:numRef>
          </c:bubbleSize>
        </c:ser>
        <c:ser>
          <c:idx val="626"/>
          <c:order val="626"/>
          <c:tx>
            <c:strRef>
              <c:f>'2022_Data'!$A$627</c:f>
            </c:strRef>
          </c:tx>
          <c:dLbls>
            <c:dLblPos val="ctr"/>
            <c:showLegendKey val="0"/>
            <c:showVal val="0"/>
            <c:showCatName val="0"/>
            <c:showSerName val="1"/>
            <c:showPercent val="0"/>
            <c:showBubbleSize val="0"/>
          </c:dLbls>
          <c:xVal>
            <c:strRef>
              <c:f>'2022_Data'!$F$627</c:f>
            </c:strRef>
          </c:xVal>
          <c:yVal>
            <c:numRef>
              <c:f>'2022_Data'!$E$627</c:f>
              <c:numCache/>
            </c:numRef>
          </c:yVal>
          <c:bubbleSize>
            <c:numRef>
              <c:f>'2022_Data'!$G$627</c:f>
            </c:numRef>
          </c:bubbleSize>
        </c:ser>
        <c:ser>
          <c:idx val="627"/>
          <c:order val="627"/>
          <c:tx>
            <c:strRef>
              <c:f>'2022_Data'!$A$628</c:f>
            </c:strRef>
          </c:tx>
          <c:dLbls>
            <c:dLblPos val="ctr"/>
            <c:showLegendKey val="0"/>
            <c:showVal val="0"/>
            <c:showCatName val="0"/>
            <c:showSerName val="1"/>
            <c:showPercent val="0"/>
            <c:showBubbleSize val="0"/>
          </c:dLbls>
          <c:xVal>
            <c:strRef>
              <c:f>'2022_Data'!$F$628</c:f>
            </c:strRef>
          </c:xVal>
          <c:yVal>
            <c:numRef>
              <c:f>'2022_Data'!$E$628</c:f>
              <c:numCache/>
            </c:numRef>
          </c:yVal>
          <c:bubbleSize>
            <c:numRef>
              <c:f>'2022_Data'!$G$628</c:f>
            </c:numRef>
          </c:bubbleSize>
        </c:ser>
        <c:ser>
          <c:idx val="628"/>
          <c:order val="628"/>
          <c:tx>
            <c:strRef>
              <c:f>'2022_Data'!$A$629</c:f>
            </c:strRef>
          </c:tx>
          <c:dLbls>
            <c:dLblPos val="ctr"/>
            <c:showLegendKey val="0"/>
            <c:showVal val="0"/>
            <c:showCatName val="0"/>
            <c:showSerName val="1"/>
            <c:showPercent val="0"/>
            <c:showBubbleSize val="0"/>
          </c:dLbls>
          <c:xVal>
            <c:strRef>
              <c:f>'2022_Data'!$F$629</c:f>
            </c:strRef>
          </c:xVal>
          <c:yVal>
            <c:numRef>
              <c:f>'2022_Data'!$E$629</c:f>
              <c:numCache/>
            </c:numRef>
          </c:yVal>
          <c:bubbleSize>
            <c:numRef>
              <c:f>'2022_Data'!$G$629</c:f>
            </c:numRef>
          </c:bubbleSize>
        </c:ser>
        <c:ser>
          <c:idx val="629"/>
          <c:order val="629"/>
          <c:tx>
            <c:strRef>
              <c:f>'2022_Data'!$A$630</c:f>
            </c:strRef>
          </c:tx>
          <c:dLbls>
            <c:dLblPos val="ctr"/>
            <c:showLegendKey val="0"/>
            <c:showVal val="0"/>
            <c:showCatName val="0"/>
            <c:showSerName val="1"/>
            <c:showPercent val="0"/>
            <c:showBubbleSize val="0"/>
          </c:dLbls>
          <c:xVal>
            <c:strRef>
              <c:f>'2022_Data'!$F$630</c:f>
            </c:strRef>
          </c:xVal>
          <c:yVal>
            <c:numRef>
              <c:f>'2022_Data'!$E$630</c:f>
              <c:numCache/>
            </c:numRef>
          </c:yVal>
          <c:bubbleSize>
            <c:numRef>
              <c:f>'2022_Data'!$G$630</c:f>
            </c:numRef>
          </c:bubbleSize>
        </c:ser>
        <c:ser>
          <c:idx val="630"/>
          <c:order val="630"/>
          <c:tx>
            <c:strRef>
              <c:f>'2022_Data'!$A$631</c:f>
            </c:strRef>
          </c:tx>
          <c:dLbls>
            <c:dLblPos val="ctr"/>
            <c:showLegendKey val="0"/>
            <c:showVal val="0"/>
            <c:showCatName val="0"/>
            <c:showSerName val="1"/>
            <c:showPercent val="0"/>
            <c:showBubbleSize val="0"/>
          </c:dLbls>
          <c:xVal>
            <c:strRef>
              <c:f>'2022_Data'!$F$631</c:f>
            </c:strRef>
          </c:xVal>
          <c:yVal>
            <c:numRef>
              <c:f>'2022_Data'!$E$631</c:f>
              <c:numCache/>
            </c:numRef>
          </c:yVal>
          <c:bubbleSize>
            <c:numRef>
              <c:f>'2022_Data'!$G$631</c:f>
            </c:numRef>
          </c:bubbleSize>
        </c:ser>
        <c:ser>
          <c:idx val="631"/>
          <c:order val="631"/>
          <c:tx>
            <c:strRef>
              <c:f>'2022_Data'!$A$632</c:f>
            </c:strRef>
          </c:tx>
          <c:dLbls>
            <c:dLblPos val="ctr"/>
            <c:showLegendKey val="0"/>
            <c:showVal val="0"/>
            <c:showCatName val="0"/>
            <c:showSerName val="1"/>
            <c:showPercent val="0"/>
            <c:showBubbleSize val="0"/>
          </c:dLbls>
          <c:xVal>
            <c:strRef>
              <c:f>'2022_Data'!$F$632</c:f>
            </c:strRef>
          </c:xVal>
          <c:yVal>
            <c:numRef>
              <c:f>'2022_Data'!$E$632</c:f>
              <c:numCache/>
            </c:numRef>
          </c:yVal>
          <c:bubbleSize>
            <c:numRef>
              <c:f>'2022_Data'!$G$632</c:f>
            </c:numRef>
          </c:bubbleSize>
        </c:ser>
        <c:ser>
          <c:idx val="632"/>
          <c:order val="632"/>
          <c:tx>
            <c:strRef>
              <c:f>'2022_Data'!$A$633</c:f>
            </c:strRef>
          </c:tx>
          <c:dLbls>
            <c:dLblPos val="ctr"/>
            <c:showLegendKey val="0"/>
            <c:showVal val="0"/>
            <c:showCatName val="0"/>
            <c:showSerName val="1"/>
            <c:showPercent val="0"/>
            <c:showBubbleSize val="0"/>
          </c:dLbls>
          <c:xVal>
            <c:strRef>
              <c:f>'2022_Data'!$F$633</c:f>
            </c:strRef>
          </c:xVal>
          <c:yVal>
            <c:numRef>
              <c:f>'2022_Data'!$E$633</c:f>
              <c:numCache/>
            </c:numRef>
          </c:yVal>
          <c:bubbleSize>
            <c:numRef>
              <c:f>'2022_Data'!$G$633</c:f>
            </c:numRef>
          </c:bubbleSize>
        </c:ser>
        <c:ser>
          <c:idx val="633"/>
          <c:order val="633"/>
          <c:tx>
            <c:strRef>
              <c:f>'2022_Data'!$A$634</c:f>
            </c:strRef>
          </c:tx>
          <c:dLbls>
            <c:dLblPos val="ctr"/>
            <c:showLegendKey val="0"/>
            <c:showVal val="0"/>
            <c:showCatName val="0"/>
            <c:showSerName val="1"/>
            <c:showPercent val="0"/>
            <c:showBubbleSize val="0"/>
          </c:dLbls>
          <c:xVal>
            <c:strRef>
              <c:f>'2022_Data'!$F$634</c:f>
            </c:strRef>
          </c:xVal>
          <c:yVal>
            <c:numRef>
              <c:f>'2022_Data'!$E$634</c:f>
              <c:numCache/>
            </c:numRef>
          </c:yVal>
          <c:bubbleSize>
            <c:numRef>
              <c:f>'2022_Data'!$G$634</c:f>
            </c:numRef>
          </c:bubbleSize>
        </c:ser>
        <c:ser>
          <c:idx val="634"/>
          <c:order val="634"/>
          <c:tx>
            <c:strRef>
              <c:f>'2022_Data'!$A$635</c:f>
            </c:strRef>
          </c:tx>
          <c:dLbls>
            <c:dLblPos val="ctr"/>
            <c:showLegendKey val="0"/>
            <c:showVal val="0"/>
            <c:showCatName val="0"/>
            <c:showSerName val="1"/>
            <c:showPercent val="0"/>
            <c:showBubbleSize val="0"/>
          </c:dLbls>
          <c:xVal>
            <c:strRef>
              <c:f>'2022_Data'!$F$635</c:f>
            </c:strRef>
          </c:xVal>
          <c:yVal>
            <c:numRef>
              <c:f>'2022_Data'!$E$635</c:f>
              <c:numCache/>
            </c:numRef>
          </c:yVal>
          <c:bubbleSize>
            <c:numRef>
              <c:f>'2022_Data'!$G$635</c:f>
            </c:numRef>
          </c:bubbleSize>
        </c:ser>
        <c:ser>
          <c:idx val="635"/>
          <c:order val="635"/>
          <c:tx>
            <c:strRef>
              <c:f>'2022_Data'!$A$636</c:f>
            </c:strRef>
          </c:tx>
          <c:dLbls>
            <c:dLblPos val="ctr"/>
            <c:showLegendKey val="0"/>
            <c:showVal val="0"/>
            <c:showCatName val="0"/>
            <c:showSerName val="1"/>
            <c:showPercent val="0"/>
            <c:showBubbleSize val="0"/>
          </c:dLbls>
          <c:xVal>
            <c:strRef>
              <c:f>'2022_Data'!$F$636</c:f>
            </c:strRef>
          </c:xVal>
          <c:yVal>
            <c:numRef>
              <c:f>'2022_Data'!$E$636</c:f>
              <c:numCache/>
            </c:numRef>
          </c:yVal>
          <c:bubbleSize>
            <c:numRef>
              <c:f>'2022_Data'!$G$636</c:f>
            </c:numRef>
          </c:bubbleSize>
        </c:ser>
        <c:ser>
          <c:idx val="636"/>
          <c:order val="636"/>
          <c:tx>
            <c:strRef>
              <c:f>'2022_Data'!$A$637</c:f>
            </c:strRef>
          </c:tx>
          <c:dLbls>
            <c:dLblPos val="ctr"/>
            <c:showLegendKey val="0"/>
            <c:showVal val="0"/>
            <c:showCatName val="0"/>
            <c:showSerName val="1"/>
            <c:showPercent val="0"/>
            <c:showBubbleSize val="0"/>
          </c:dLbls>
          <c:xVal>
            <c:strRef>
              <c:f>'2022_Data'!$F$637</c:f>
            </c:strRef>
          </c:xVal>
          <c:yVal>
            <c:numRef>
              <c:f>'2022_Data'!$E$637</c:f>
              <c:numCache/>
            </c:numRef>
          </c:yVal>
          <c:bubbleSize>
            <c:numRef>
              <c:f>'2022_Data'!$G$637</c:f>
            </c:numRef>
          </c:bubbleSize>
        </c:ser>
        <c:ser>
          <c:idx val="637"/>
          <c:order val="637"/>
          <c:tx>
            <c:strRef>
              <c:f>'2022_Data'!$A$638</c:f>
            </c:strRef>
          </c:tx>
          <c:dLbls>
            <c:dLblPos val="ctr"/>
            <c:showLegendKey val="0"/>
            <c:showVal val="0"/>
            <c:showCatName val="0"/>
            <c:showSerName val="1"/>
            <c:showPercent val="0"/>
            <c:showBubbleSize val="0"/>
          </c:dLbls>
          <c:xVal>
            <c:strRef>
              <c:f>'2022_Data'!$F$638</c:f>
            </c:strRef>
          </c:xVal>
          <c:yVal>
            <c:numRef>
              <c:f>'2022_Data'!$E$638</c:f>
              <c:numCache/>
            </c:numRef>
          </c:yVal>
          <c:bubbleSize>
            <c:numRef>
              <c:f>'2022_Data'!$G$638</c:f>
            </c:numRef>
          </c:bubbleSize>
        </c:ser>
        <c:ser>
          <c:idx val="638"/>
          <c:order val="638"/>
          <c:tx>
            <c:strRef>
              <c:f>'2022_Data'!$A$639</c:f>
            </c:strRef>
          </c:tx>
          <c:dLbls>
            <c:dLblPos val="ctr"/>
            <c:showLegendKey val="0"/>
            <c:showVal val="0"/>
            <c:showCatName val="0"/>
            <c:showSerName val="1"/>
            <c:showPercent val="0"/>
            <c:showBubbleSize val="0"/>
          </c:dLbls>
          <c:xVal>
            <c:strRef>
              <c:f>'2022_Data'!$F$639</c:f>
            </c:strRef>
          </c:xVal>
          <c:yVal>
            <c:numRef>
              <c:f>'2022_Data'!$E$639</c:f>
              <c:numCache/>
            </c:numRef>
          </c:yVal>
          <c:bubbleSize>
            <c:numRef>
              <c:f>'2022_Data'!$G$639</c:f>
            </c:numRef>
          </c:bubbleSize>
        </c:ser>
        <c:ser>
          <c:idx val="639"/>
          <c:order val="639"/>
          <c:tx>
            <c:strRef>
              <c:f>'2022_Data'!$A$640</c:f>
            </c:strRef>
          </c:tx>
          <c:dLbls>
            <c:dLblPos val="ctr"/>
            <c:showLegendKey val="0"/>
            <c:showVal val="0"/>
            <c:showCatName val="0"/>
            <c:showSerName val="1"/>
            <c:showPercent val="0"/>
            <c:showBubbleSize val="0"/>
          </c:dLbls>
          <c:xVal>
            <c:strRef>
              <c:f>'2022_Data'!$F$640</c:f>
            </c:strRef>
          </c:xVal>
          <c:yVal>
            <c:numRef>
              <c:f>'2022_Data'!$E$640</c:f>
              <c:numCache/>
            </c:numRef>
          </c:yVal>
          <c:bubbleSize>
            <c:numRef>
              <c:f>'2022_Data'!$G$640</c:f>
            </c:numRef>
          </c:bubbleSize>
        </c:ser>
        <c:ser>
          <c:idx val="640"/>
          <c:order val="640"/>
          <c:tx>
            <c:strRef>
              <c:f>'2022_Data'!$A$641</c:f>
            </c:strRef>
          </c:tx>
          <c:dLbls>
            <c:dLblPos val="ctr"/>
            <c:showLegendKey val="0"/>
            <c:showVal val="0"/>
            <c:showCatName val="0"/>
            <c:showSerName val="1"/>
            <c:showPercent val="0"/>
            <c:showBubbleSize val="0"/>
          </c:dLbls>
          <c:xVal>
            <c:strRef>
              <c:f>'2022_Data'!$F$641</c:f>
            </c:strRef>
          </c:xVal>
          <c:yVal>
            <c:numRef>
              <c:f>'2022_Data'!$E$641</c:f>
              <c:numCache/>
            </c:numRef>
          </c:yVal>
          <c:bubbleSize>
            <c:numRef>
              <c:f>'2022_Data'!$G$641</c:f>
            </c:numRef>
          </c:bubbleSize>
        </c:ser>
        <c:ser>
          <c:idx val="641"/>
          <c:order val="641"/>
          <c:tx>
            <c:strRef>
              <c:f>'2022_Data'!$A$642</c:f>
            </c:strRef>
          </c:tx>
          <c:dLbls>
            <c:dLblPos val="ctr"/>
            <c:showLegendKey val="0"/>
            <c:showVal val="0"/>
            <c:showCatName val="0"/>
            <c:showSerName val="1"/>
            <c:showPercent val="0"/>
            <c:showBubbleSize val="0"/>
          </c:dLbls>
          <c:xVal>
            <c:strRef>
              <c:f>'2022_Data'!$F$642</c:f>
            </c:strRef>
          </c:xVal>
          <c:yVal>
            <c:numRef>
              <c:f>'2022_Data'!$E$642</c:f>
              <c:numCache/>
            </c:numRef>
          </c:yVal>
          <c:bubbleSize>
            <c:numRef>
              <c:f>'2022_Data'!$G$642</c:f>
            </c:numRef>
          </c:bubbleSize>
        </c:ser>
        <c:ser>
          <c:idx val="642"/>
          <c:order val="642"/>
          <c:tx>
            <c:strRef>
              <c:f>'2022_Data'!$A$643</c:f>
            </c:strRef>
          </c:tx>
          <c:dLbls>
            <c:dLblPos val="ctr"/>
            <c:showLegendKey val="0"/>
            <c:showVal val="0"/>
            <c:showCatName val="0"/>
            <c:showSerName val="1"/>
            <c:showPercent val="0"/>
            <c:showBubbleSize val="0"/>
          </c:dLbls>
          <c:xVal>
            <c:strRef>
              <c:f>'2022_Data'!$F$643</c:f>
            </c:strRef>
          </c:xVal>
          <c:yVal>
            <c:numRef>
              <c:f>'2022_Data'!$E$643</c:f>
              <c:numCache/>
            </c:numRef>
          </c:yVal>
          <c:bubbleSize>
            <c:numRef>
              <c:f>'2022_Data'!$G$643</c:f>
            </c:numRef>
          </c:bubbleSize>
        </c:ser>
        <c:ser>
          <c:idx val="643"/>
          <c:order val="643"/>
          <c:tx>
            <c:strRef>
              <c:f>'2022_Data'!$A$644</c:f>
            </c:strRef>
          </c:tx>
          <c:dLbls>
            <c:dLblPos val="ctr"/>
            <c:showLegendKey val="0"/>
            <c:showVal val="0"/>
            <c:showCatName val="0"/>
            <c:showSerName val="1"/>
            <c:showPercent val="0"/>
            <c:showBubbleSize val="0"/>
          </c:dLbls>
          <c:xVal>
            <c:strRef>
              <c:f>'2022_Data'!$F$644</c:f>
            </c:strRef>
          </c:xVal>
          <c:yVal>
            <c:numRef>
              <c:f>'2022_Data'!$E$644</c:f>
              <c:numCache/>
            </c:numRef>
          </c:yVal>
          <c:bubbleSize>
            <c:numRef>
              <c:f>'2022_Data'!$G$644</c:f>
            </c:numRef>
          </c:bubbleSize>
        </c:ser>
        <c:ser>
          <c:idx val="644"/>
          <c:order val="644"/>
          <c:tx>
            <c:strRef>
              <c:f>'2022_Data'!$A$645</c:f>
            </c:strRef>
          </c:tx>
          <c:dLbls>
            <c:dLblPos val="ctr"/>
            <c:showLegendKey val="0"/>
            <c:showVal val="0"/>
            <c:showCatName val="0"/>
            <c:showSerName val="1"/>
            <c:showPercent val="0"/>
            <c:showBubbleSize val="0"/>
          </c:dLbls>
          <c:xVal>
            <c:strRef>
              <c:f>'2022_Data'!$F$645</c:f>
            </c:strRef>
          </c:xVal>
          <c:yVal>
            <c:numRef>
              <c:f>'2022_Data'!$E$645</c:f>
              <c:numCache/>
            </c:numRef>
          </c:yVal>
          <c:bubbleSize>
            <c:numRef>
              <c:f>'2022_Data'!$G$645</c:f>
            </c:numRef>
          </c:bubbleSize>
        </c:ser>
        <c:ser>
          <c:idx val="645"/>
          <c:order val="645"/>
          <c:tx>
            <c:strRef>
              <c:f>'2022_Data'!$A$646</c:f>
            </c:strRef>
          </c:tx>
          <c:dLbls>
            <c:dLblPos val="ctr"/>
            <c:showLegendKey val="0"/>
            <c:showVal val="0"/>
            <c:showCatName val="0"/>
            <c:showSerName val="1"/>
            <c:showPercent val="0"/>
            <c:showBubbleSize val="0"/>
          </c:dLbls>
          <c:xVal>
            <c:strRef>
              <c:f>'2022_Data'!$F$646</c:f>
            </c:strRef>
          </c:xVal>
          <c:yVal>
            <c:numRef>
              <c:f>'2022_Data'!$E$646</c:f>
              <c:numCache/>
            </c:numRef>
          </c:yVal>
          <c:bubbleSize>
            <c:numRef>
              <c:f>'2022_Data'!$G$646</c:f>
            </c:numRef>
          </c:bubbleSize>
        </c:ser>
        <c:ser>
          <c:idx val="646"/>
          <c:order val="646"/>
          <c:tx>
            <c:strRef>
              <c:f>'2022_Data'!$A$647</c:f>
            </c:strRef>
          </c:tx>
          <c:dLbls>
            <c:dLblPos val="ctr"/>
            <c:showLegendKey val="0"/>
            <c:showVal val="0"/>
            <c:showCatName val="0"/>
            <c:showSerName val="1"/>
            <c:showPercent val="0"/>
            <c:showBubbleSize val="0"/>
          </c:dLbls>
          <c:xVal>
            <c:strRef>
              <c:f>'2022_Data'!$F$647</c:f>
            </c:strRef>
          </c:xVal>
          <c:yVal>
            <c:numRef>
              <c:f>'2022_Data'!$E$647</c:f>
              <c:numCache/>
            </c:numRef>
          </c:yVal>
          <c:bubbleSize>
            <c:numRef>
              <c:f>'2022_Data'!$G$647</c:f>
            </c:numRef>
          </c:bubbleSize>
        </c:ser>
        <c:ser>
          <c:idx val="647"/>
          <c:order val="647"/>
          <c:tx>
            <c:strRef>
              <c:f>'2022_Data'!$A$648</c:f>
            </c:strRef>
          </c:tx>
          <c:dLbls>
            <c:dLblPos val="ctr"/>
            <c:showLegendKey val="0"/>
            <c:showVal val="0"/>
            <c:showCatName val="0"/>
            <c:showSerName val="1"/>
            <c:showPercent val="0"/>
            <c:showBubbleSize val="0"/>
          </c:dLbls>
          <c:xVal>
            <c:strRef>
              <c:f>'2022_Data'!$F$648</c:f>
            </c:strRef>
          </c:xVal>
          <c:yVal>
            <c:numRef>
              <c:f>'2022_Data'!$E$648</c:f>
              <c:numCache/>
            </c:numRef>
          </c:yVal>
          <c:bubbleSize>
            <c:numRef>
              <c:f>'2022_Data'!$G$648</c:f>
            </c:numRef>
          </c:bubbleSize>
        </c:ser>
        <c:ser>
          <c:idx val="648"/>
          <c:order val="648"/>
          <c:tx>
            <c:strRef>
              <c:f>'2022_Data'!$A$649</c:f>
            </c:strRef>
          </c:tx>
          <c:dLbls>
            <c:dLblPos val="ctr"/>
            <c:showLegendKey val="0"/>
            <c:showVal val="0"/>
            <c:showCatName val="0"/>
            <c:showSerName val="1"/>
            <c:showPercent val="0"/>
            <c:showBubbleSize val="0"/>
          </c:dLbls>
          <c:xVal>
            <c:strRef>
              <c:f>'2022_Data'!$F$649</c:f>
            </c:strRef>
          </c:xVal>
          <c:yVal>
            <c:numRef>
              <c:f>'2022_Data'!$E$649</c:f>
              <c:numCache/>
            </c:numRef>
          </c:yVal>
          <c:bubbleSize>
            <c:numRef>
              <c:f>'2022_Data'!$G$649</c:f>
            </c:numRef>
          </c:bubbleSize>
        </c:ser>
        <c:ser>
          <c:idx val="649"/>
          <c:order val="649"/>
          <c:tx>
            <c:strRef>
              <c:f>'2022_Data'!$A$650</c:f>
            </c:strRef>
          </c:tx>
          <c:dLbls>
            <c:dLblPos val="ctr"/>
            <c:showLegendKey val="0"/>
            <c:showVal val="0"/>
            <c:showCatName val="0"/>
            <c:showSerName val="1"/>
            <c:showPercent val="0"/>
            <c:showBubbleSize val="0"/>
          </c:dLbls>
          <c:xVal>
            <c:strRef>
              <c:f>'2022_Data'!$F$650</c:f>
            </c:strRef>
          </c:xVal>
          <c:yVal>
            <c:numRef>
              <c:f>'2022_Data'!$E$650</c:f>
              <c:numCache/>
            </c:numRef>
          </c:yVal>
          <c:bubbleSize>
            <c:numRef>
              <c:f>'2022_Data'!$G$650</c:f>
            </c:numRef>
          </c:bubbleSize>
        </c:ser>
        <c:ser>
          <c:idx val="650"/>
          <c:order val="650"/>
          <c:tx>
            <c:strRef>
              <c:f>'2022_Data'!$A$651</c:f>
            </c:strRef>
          </c:tx>
          <c:dLbls>
            <c:dLblPos val="ctr"/>
            <c:showLegendKey val="0"/>
            <c:showVal val="0"/>
            <c:showCatName val="0"/>
            <c:showSerName val="1"/>
            <c:showPercent val="0"/>
            <c:showBubbleSize val="0"/>
          </c:dLbls>
          <c:xVal>
            <c:strRef>
              <c:f>'2022_Data'!$F$651</c:f>
            </c:strRef>
          </c:xVal>
          <c:yVal>
            <c:numRef>
              <c:f>'2022_Data'!$E$651</c:f>
              <c:numCache/>
            </c:numRef>
          </c:yVal>
          <c:bubbleSize>
            <c:numRef>
              <c:f>'2022_Data'!$G$651</c:f>
            </c:numRef>
          </c:bubbleSize>
        </c:ser>
        <c:ser>
          <c:idx val="651"/>
          <c:order val="651"/>
          <c:tx>
            <c:strRef>
              <c:f>'2022_Data'!$A$652</c:f>
            </c:strRef>
          </c:tx>
          <c:dLbls>
            <c:dLblPos val="ctr"/>
            <c:showLegendKey val="0"/>
            <c:showVal val="0"/>
            <c:showCatName val="0"/>
            <c:showSerName val="1"/>
            <c:showPercent val="0"/>
            <c:showBubbleSize val="0"/>
          </c:dLbls>
          <c:xVal>
            <c:strRef>
              <c:f>'2022_Data'!$F$652</c:f>
            </c:strRef>
          </c:xVal>
          <c:yVal>
            <c:numRef>
              <c:f>'2022_Data'!$E$652</c:f>
              <c:numCache/>
            </c:numRef>
          </c:yVal>
          <c:bubbleSize>
            <c:numRef>
              <c:f>'2022_Data'!$G$652</c:f>
            </c:numRef>
          </c:bubbleSize>
        </c:ser>
        <c:ser>
          <c:idx val="652"/>
          <c:order val="652"/>
          <c:tx>
            <c:strRef>
              <c:f>'2022_Data'!$A$653</c:f>
            </c:strRef>
          </c:tx>
          <c:dLbls>
            <c:dLblPos val="ctr"/>
            <c:showLegendKey val="0"/>
            <c:showVal val="0"/>
            <c:showCatName val="0"/>
            <c:showSerName val="1"/>
            <c:showPercent val="0"/>
            <c:showBubbleSize val="0"/>
          </c:dLbls>
          <c:xVal>
            <c:strRef>
              <c:f>'2022_Data'!$F$653</c:f>
            </c:strRef>
          </c:xVal>
          <c:yVal>
            <c:numRef>
              <c:f>'2022_Data'!$E$653</c:f>
              <c:numCache/>
            </c:numRef>
          </c:yVal>
          <c:bubbleSize>
            <c:numRef>
              <c:f>'2022_Data'!$G$653</c:f>
            </c:numRef>
          </c:bubbleSize>
        </c:ser>
        <c:ser>
          <c:idx val="653"/>
          <c:order val="653"/>
          <c:tx>
            <c:strRef>
              <c:f>'2022_Data'!$A$654</c:f>
            </c:strRef>
          </c:tx>
          <c:dLbls>
            <c:dLblPos val="ctr"/>
            <c:showLegendKey val="0"/>
            <c:showVal val="0"/>
            <c:showCatName val="0"/>
            <c:showSerName val="1"/>
            <c:showPercent val="0"/>
            <c:showBubbleSize val="0"/>
          </c:dLbls>
          <c:xVal>
            <c:strRef>
              <c:f>'2022_Data'!$F$654</c:f>
            </c:strRef>
          </c:xVal>
          <c:yVal>
            <c:numRef>
              <c:f>'2022_Data'!$E$654</c:f>
              <c:numCache/>
            </c:numRef>
          </c:yVal>
          <c:bubbleSize>
            <c:numRef>
              <c:f>'2022_Data'!$G$654</c:f>
            </c:numRef>
          </c:bubbleSize>
        </c:ser>
        <c:ser>
          <c:idx val="654"/>
          <c:order val="654"/>
          <c:tx>
            <c:strRef>
              <c:f>'2022_Data'!$A$655</c:f>
            </c:strRef>
          </c:tx>
          <c:dLbls>
            <c:dLblPos val="ctr"/>
            <c:showLegendKey val="0"/>
            <c:showVal val="0"/>
            <c:showCatName val="0"/>
            <c:showSerName val="1"/>
            <c:showPercent val="0"/>
            <c:showBubbleSize val="0"/>
          </c:dLbls>
          <c:xVal>
            <c:strRef>
              <c:f>'2022_Data'!$F$655</c:f>
            </c:strRef>
          </c:xVal>
          <c:yVal>
            <c:numRef>
              <c:f>'2022_Data'!$E$655</c:f>
              <c:numCache/>
            </c:numRef>
          </c:yVal>
          <c:bubbleSize>
            <c:numRef>
              <c:f>'2022_Data'!$G$655</c:f>
            </c:numRef>
          </c:bubbleSize>
        </c:ser>
        <c:ser>
          <c:idx val="655"/>
          <c:order val="655"/>
          <c:tx>
            <c:strRef>
              <c:f>'2022_Data'!$A$656</c:f>
            </c:strRef>
          </c:tx>
          <c:dLbls>
            <c:dLblPos val="ctr"/>
            <c:showLegendKey val="0"/>
            <c:showVal val="0"/>
            <c:showCatName val="0"/>
            <c:showSerName val="1"/>
            <c:showPercent val="0"/>
            <c:showBubbleSize val="0"/>
          </c:dLbls>
          <c:xVal>
            <c:strRef>
              <c:f>'2022_Data'!$F$656</c:f>
            </c:strRef>
          </c:xVal>
          <c:yVal>
            <c:numRef>
              <c:f>'2022_Data'!$E$656</c:f>
              <c:numCache/>
            </c:numRef>
          </c:yVal>
          <c:bubbleSize>
            <c:numRef>
              <c:f>'2022_Data'!$G$656</c:f>
            </c:numRef>
          </c:bubbleSize>
        </c:ser>
        <c:ser>
          <c:idx val="656"/>
          <c:order val="656"/>
          <c:tx>
            <c:strRef>
              <c:f>'2022_Data'!$A$657</c:f>
            </c:strRef>
          </c:tx>
          <c:dLbls>
            <c:dLblPos val="ctr"/>
            <c:showLegendKey val="0"/>
            <c:showVal val="0"/>
            <c:showCatName val="0"/>
            <c:showSerName val="1"/>
            <c:showPercent val="0"/>
            <c:showBubbleSize val="0"/>
          </c:dLbls>
          <c:xVal>
            <c:strRef>
              <c:f>'2022_Data'!$F$657</c:f>
            </c:strRef>
          </c:xVal>
          <c:yVal>
            <c:numRef>
              <c:f>'2022_Data'!$E$657</c:f>
              <c:numCache/>
            </c:numRef>
          </c:yVal>
          <c:bubbleSize>
            <c:numRef>
              <c:f>'2022_Data'!$G$657</c:f>
            </c:numRef>
          </c:bubbleSize>
        </c:ser>
        <c:ser>
          <c:idx val="657"/>
          <c:order val="657"/>
          <c:tx>
            <c:strRef>
              <c:f>'2022_Data'!$A$658</c:f>
            </c:strRef>
          </c:tx>
          <c:dLbls>
            <c:dLblPos val="ctr"/>
            <c:showLegendKey val="0"/>
            <c:showVal val="0"/>
            <c:showCatName val="0"/>
            <c:showSerName val="1"/>
            <c:showPercent val="0"/>
            <c:showBubbleSize val="0"/>
          </c:dLbls>
          <c:xVal>
            <c:strRef>
              <c:f>'2022_Data'!$F$658</c:f>
            </c:strRef>
          </c:xVal>
          <c:yVal>
            <c:numRef>
              <c:f>'2022_Data'!$E$658</c:f>
              <c:numCache/>
            </c:numRef>
          </c:yVal>
          <c:bubbleSize>
            <c:numRef>
              <c:f>'2022_Data'!$G$658</c:f>
            </c:numRef>
          </c:bubbleSize>
        </c:ser>
        <c:ser>
          <c:idx val="658"/>
          <c:order val="658"/>
          <c:tx>
            <c:strRef>
              <c:f>'2022_Data'!$A$659</c:f>
            </c:strRef>
          </c:tx>
          <c:dLbls>
            <c:dLblPos val="ctr"/>
            <c:showLegendKey val="0"/>
            <c:showVal val="0"/>
            <c:showCatName val="0"/>
            <c:showSerName val="1"/>
            <c:showPercent val="0"/>
            <c:showBubbleSize val="0"/>
          </c:dLbls>
          <c:xVal>
            <c:strRef>
              <c:f>'2022_Data'!$F$659</c:f>
            </c:strRef>
          </c:xVal>
          <c:yVal>
            <c:numRef>
              <c:f>'2022_Data'!$E$659</c:f>
              <c:numCache/>
            </c:numRef>
          </c:yVal>
          <c:bubbleSize>
            <c:numRef>
              <c:f>'2022_Data'!$G$659</c:f>
            </c:numRef>
          </c:bubbleSize>
        </c:ser>
        <c:ser>
          <c:idx val="659"/>
          <c:order val="659"/>
          <c:tx>
            <c:strRef>
              <c:f>'2022_Data'!$A$660</c:f>
            </c:strRef>
          </c:tx>
          <c:dLbls>
            <c:dLblPos val="ctr"/>
            <c:showLegendKey val="0"/>
            <c:showVal val="0"/>
            <c:showCatName val="0"/>
            <c:showSerName val="1"/>
            <c:showPercent val="0"/>
            <c:showBubbleSize val="0"/>
          </c:dLbls>
          <c:xVal>
            <c:strRef>
              <c:f>'2022_Data'!$F$660</c:f>
            </c:strRef>
          </c:xVal>
          <c:yVal>
            <c:numRef>
              <c:f>'2022_Data'!$E$660</c:f>
              <c:numCache/>
            </c:numRef>
          </c:yVal>
          <c:bubbleSize>
            <c:numRef>
              <c:f>'2022_Data'!$G$660</c:f>
            </c:numRef>
          </c:bubbleSize>
        </c:ser>
        <c:ser>
          <c:idx val="660"/>
          <c:order val="660"/>
          <c:tx>
            <c:strRef>
              <c:f>'2022_Data'!$A$661</c:f>
            </c:strRef>
          </c:tx>
          <c:dLbls>
            <c:dLblPos val="ctr"/>
            <c:showLegendKey val="0"/>
            <c:showVal val="0"/>
            <c:showCatName val="0"/>
            <c:showSerName val="1"/>
            <c:showPercent val="0"/>
            <c:showBubbleSize val="0"/>
          </c:dLbls>
          <c:xVal>
            <c:strRef>
              <c:f>'2022_Data'!$F$661</c:f>
            </c:strRef>
          </c:xVal>
          <c:yVal>
            <c:numRef>
              <c:f>'2022_Data'!$E$661</c:f>
              <c:numCache/>
            </c:numRef>
          </c:yVal>
          <c:bubbleSize>
            <c:numRef>
              <c:f>'2022_Data'!$G$661</c:f>
            </c:numRef>
          </c:bubbleSize>
        </c:ser>
        <c:ser>
          <c:idx val="661"/>
          <c:order val="661"/>
          <c:tx>
            <c:strRef>
              <c:f>'2022_Data'!$A$662</c:f>
            </c:strRef>
          </c:tx>
          <c:dLbls>
            <c:dLblPos val="ctr"/>
            <c:showLegendKey val="0"/>
            <c:showVal val="0"/>
            <c:showCatName val="0"/>
            <c:showSerName val="1"/>
            <c:showPercent val="0"/>
            <c:showBubbleSize val="0"/>
          </c:dLbls>
          <c:xVal>
            <c:strRef>
              <c:f>'2022_Data'!$F$662</c:f>
            </c:strRef>
          </c:xVal>
          <c:yVal>
            <c:numRef>
              <c:f>'2022_Data'!$E$662</c:f>
              <c:numCache/>
            </c:numRef>
          </c:yVal>
          <c:bubbleSize>
            <c:numRef>
              <c:f>'2022_Data'!$G$662</c:f>
            </c:numRef>
          </c:bubbleSize>
        </c:ser>
        <c:ser>
          <c:idx val="662"/>
          <c:order val="662"/>
          <c:tx>
            <c:strRef>
              <c:f>'2022_Data'!$A$663</c:f>
            </c:strRef>
          </c:tx>
          <c:dLbls>
            <c:dLblPos val="ctr"/>
            <c:showLegendKey val="0"/>
            <c:showVal val="0"/>
            <c:showCatName val="0"/>
            <c:showSerName val="1"/>
            <c:showPercent val="0"/>
            <c:showBubbleSize val="0"/>
          </c:dLbls>
          <c:xVal>
            <c:strRef>
              <c:f>'2022_Data'!$F$663</c:f>
            </c:strRef>
          </c:xVal>
          <c:yVal>
            <c:numRef>
              <c:f>'2022_Data'!$E$663</c:f>
              <c:numCache/>
            </c:numRef>
          </c:yVal>
          <c:bubbleSize>
            <c:numRef>
              <c:f>'2022_Data'!$G$663</c:f>
            </c:numRef>
          </c:bubbleSize>
        </c:ser>
        <c:ser>
          <c:idx val="663"/>
          <c:order val="663"/>
          <c:tx>
            <c:strRef>
              <c:f>'2022_Data'!$A$664</c:f>
            </c:strRef>
          </c:tx>
          <c:dLbls>
            <c:dLblPos val="ctr"/>
            <c:showLegendKey val="0"/>
            <c:showVal val="0"/>
            <c:showCatName val="0"/>
            <c:showSerName val="1"/>
            <c:showPercent val="0"/>
            <c:showBubbleSize val="0"/>
          </c:dLbls>
          <c:xVal>
            <c:strRef>
              <c:f>'2022_Data'!$F$664</c:f>
            </c:strRef>
          </c:xVal>
          <c:yVal>
            <c:numRef>
              <c:f>'2022_Data'!$E$664</c:f>
              <c:numCache/>
            </c:numRef>
          </c:yVal>
          <c:bubbleSize>
            <c:numRef>
              <c:f>'2022_Data'!$G$664</c:f>
            </c:numRef>
          </c:bubbleSize>
        </c:ser>
        <c:ser>
          <c:idx val="664"/>
          <c:order val="664"/>
          <c:tx>
            <c:strRef>
              <c:f>'2022_Data'!$A$665</c:f>
            </c:strRef>
          </c:tx>
          <c:dLbls>
            <c:dLblPos val="ctr"/>
            <c:showLegendKey val="0"/>
            <c:showVal val="0"/>
            <c:showCatName val="0"/>
            <c:showSerName val="1"/>
            <c:showPercent val="0"/>
            <c:showBubbleSize val="0"/>
          </c:dLbls>
          <c:xVal>
            <c:strRef>
              <c:f>'2022_Data'!$F$665</c:f>
            </c:strRef>
          </c:xVal>
          <c:yVal>
            <c:numRef>
              <c:f>'2022_Data'!$E$665</c:f>
              <c:numCache/>
            </c:numRef>
          </c:yVal>
          <c:bubbleSize>
            <c:numRef>
              <c:f>'2022_Data'!$G$665</c:f>
            </c:numRef>
          </c:bubbleSize>
        </c:ser>
        <c:ser>
          <c:idx val="665"/>
          <c:order val="665"/>
          <c:tx>
            <c:strRef>
              <c:f>'2022_Data'!$A$666</c:f>
            </c:strRef>
          </c:tx>
          <c:dLbls>
            <c:dLblPos val="ctr"/>
            <c:showLegendKey val="0"/>
            <c:showVal val="0"/>
            <c:showCatName val="0"/>
            <c:showSerName val="1"/>
            <c:showPercent val="0"/>
            <c:showBubbleSize val="0"/>
          </c:dLbls>
          <c:xVal>
            <c:strRef>
              <c:f>'2022_Data'!$F$666</c:f>
            </c:strRef>
          </c:xVal>
          <c:yVal>
            <c:numRef>
              <c:f>'2022_Data'!$E$666</c:f>
              <c:numCache/>
            </c:numRef>
          </c:yVal>
          <c:bubbleSize>
            <c:numRef>
              <c:f>'2022_Data'!$G$666</c:f>
            </c:numRef>
          </c:bubbleSize>
        </c:ser>
        <c:ser>
          <c:idx val="666"/>
          <c:order val="666"/>
          <c:tx>
            <c:strRef>
              <c:f>'2022_Data'!$A$667</c:f>
            </c:strRef>
          </c:tx>
          <c:dLbls>
            <c:dLblPos val="ctr"/>
            <c:showLegendKey val="0"/>
            <c:showVal val="0"/>
            <c:showCatName val="0"/>
            <c:showSerName val="1"/>
            <c:showPercent val="0"/>
            <c:showBubbleSize val="0"/>
          </c:dLbls>
          <c:xVal>
            <c:strRef>
              <c:f>'2022_Data'!$F$667</c:f>
            </c:strRef>
          </c:xVal>
          <c:yVal>
            <c:numRef>
              <c:f>'2022_Data'!$E$667</c:f>
              <c:numCache/>
            </c:numRef>
          </c:yVal>
          <c:bubbleSize>
            <c:numRef>
              <c:f>'2022_Data'!$G$667</c:f>
            </c:numRef>
          </c:bubbleSize>
        </c:ser>
        <c:ser>
          <c:idx val="667"/>
          <c:order val="667"/>
          <c:tx>
            <c:strRef>
              <c:f>'2022_Data'!$A$668</c:f>
            </c:strRef>
          </c:tx>
          <c:dLbls>
            <c:dLblPos val="ctr"/>
            <c:showLegendKey val="0"/>
            <c:showVal val="0"/>
            <c:showCatName val="0"/>
            <c:showSerName val="1"/>
            <c:showPercent val="0"/>
            <c:showBubbleSize val="0"/>
          </c:dLbls>
          <c:xVal>
            <c:strRef>
              <c:f>'2022_Data'!$F$668</c:f>
            </c:strRef>
          </c:xVal>
          <c:yVal>
            <c:numRef>
              <c:f>'2022_Data'!$E$668</c:f>
              <c:numCache/>
            </c:numRef>
          </c:yVal>
          <c:bubbleSize>
            <c:numRef>
              <c:f>'2022_Data'!$G$668</c:f>
            </c:numRef>
          </c:bubbleSize>
        </c:ser>
        <c:ser>
          <c:idx val="668"/>
          <c:order val="668"/>
          <c:tx>
            <c:strRef>
              <c:f>'2022_Data'!$A$669</c:f>
            </c:strRef>
          </c:tx>
          <c:dLbls>
            <c:dLblPos val="ctr"/>
            <c:showLegendKey val="0"/>
            <c:showVal val="0"/>
            <c:showCatName val="0"/>
            <c:showSerName val="1"/>
            <c:showPercent val="0"/>
            <c:showBubbleSize val="0"/>
          </c:dLbls>
          <c:xVal>
            <c:strRef>
              <c:f>'2022_Data'!$F$669</c:f>
            </c:strRef>
          </c:xVal>
          <c:yVal>
            <c:numRef>
              <c:f>'2022_Data'!$E$669</c:f>
              <c:numCache/>
            </c:numRef>
          </c:yVal>
          <c:bubbleSize>
            <c:numRef>
              <c:f>'2022_Data'!$G$669</c:f>
            </c:numRef>
          </c:bubbleSize>
        </c:ser>
        <c:ser>
          <c:idx val="669"/>
          <c:order val="669"/>
          <c:tx>
            <c:strRef>
              <c:f>'2022_Data'!$A$670</c:f>
            </c:strRef>
          </c:tx>
          <c:dLbls>
            <c:dLblPos val="ctr"/>
            <c:showLegendKey val="0"/>
            <c:showVal val="0"/>
            <c:showCatName val="0"/>
            <c:showSerName val="1"/>
            <c:showPercent val="0"/>
            <c:showBubbleSize val="0"/>
          </c:dLbls>
          <c:xVal>
            <c:strRef>
              <c:f>'2022_Data'!$F$670</c:f>
            </c:strRef>
          </c:xVal>
          <c:yVal>
            <c:numRef>
              <c:f>'2022_Data'!$E$670</c:f>
              <c:numCache/>
            </c:numRef>
          </c:yVal>
          <c:bubbleSize>
            <c:numRef>
              <c:f>'2022_Data'!$G$670</c:f>
            </c:numRef>
          </c:bubbleSize>
        </c:ser>
        <c:ser>
          <c:idx val="670"/>
          <c:order val="670"/>
          <c:tx>
            <c:strRef>
              <c:f>'2022_Data'!$A$671</c:f>
            </c:strRef>
          </c:tx>
          <c:dLbls>
            <c:dLblPos val="ctr"/>
            <c:showLegendKey val="0"/>
            <c:showVal val="0"/>
            <c:showCatName val="0"/>
            <c:showSerName val="1"/>
            <c:showPercent val="0"/>
            <c:showBubbleSize val="0"/>
          </c:dLbls>
          <c:xVal>
            <c:strRef>
              <c:f>'2022_Data'!$F$671</c:f>
            </c:strRef>
          </c:xVal>
          <c:yVal>
            <c:numRef>
              <c:f>'2022_Data'!$E$671</c:f>
              <c:numCache/>
            </c:numRef>
          </c:yVal>
          <c:bubbleSize>
            <c:numRef>
              <c:f>'2022_Data'!$G$671</c:f>
            </c:numRef>
          </c:bubbleSize>
        </c:ser>
        <c:ser>
          <c:idx val="671"/>
          <c:order val="671"/>
          <c:tx>
            <c:strRef>
              <c:f>'2022_Data'!$A$672</c:f>
            </c:strRef>
          </c:tx>
          <c:dLbls>
            <c:dLblPos val="ctr"/>
            <c:showLegendKey val="0"/>
            <c:showVal val="0"/>
            <c:showCatName val="0"/>
            <c:showSerName val="1"/>
            <c:showPercent val="0"/>
            <c:showBubbleSize val="0"/>
          </c:dLbls>
          <c:xVal>
            <c:strRef>
              <c:f>'2022_Data'!$F$672</c:f>
            </c:strRef>
          </c:xVal>
          <c:yVal>
            <c:numRef>
              <c:f>'2022_Data'!$E$672</c:f>
              <c:numCache/>
            </c:numRef>
          </c:yVal>
          <c:bubbleSize>
            <c:numRef>
              <c:f>'2022_Data'!$G$672</c:f>
            </c:numRef>
          </c:bubbleSize>
        </c:ser>
        <c:ser>
          <c:idx val="672"/>
          <c:order val="672"/>
          <c:tx>
            <c:strRef>
              <c:f>'2022_Data'!$A$673</c:f>
            </c:strRef>
          </c:tx>
          <c:dLbls>
            <c:dLblPos val="ctr"/>
            <c:showLegendKey val="0"/>
            <c:showVal val="0"/>
            <c:showCatName val="0"/>
            <c:showSerName val="1"/>
            <c:showPercent val="0"/>
            <c:showBubbleSize val="0"/>
          </c:dLbls>
          <c:xVal>
            <c:strRef>
              <c:f>'2022_Data'!$F$673</c:f>
            </c:strRef>
          </c:xVal>
          <c:yVal>
            <c:numRef>
              <c:f>'2022_Data'!$E$673</c:f>
              <c:numCache/>
            </c:numRef>
          </c:yVal>
          <c:bubbleSize>
            <c:numRef>
              <c:f>'2022_Data'!$G$673</c:f>
            </c:numRef>
          </c:bubbleSize>
        </c:ser>
        <c:ser>
          <c:idx val="673"/>
          <c:order val="673"/>
          <c:tx>
            <c:strRef>
              <c:f>'2022_Data'!$A$674</c:f>
            </c:strRef>
          </c:tx>
          <c:dLbls>
            <c:dLblPos val="ctr"/>
            <c:showLegendKey val="0"/>
            <c:showVal val="0"/>
            <c:showCatName val="0"/>
            <c:showSerName val="1"/>
            <c:showPercent val="0"/>
            <c:showBubbleSize val="0"/>
          </c:dLbls>
          <c:xVal>
            <c:strRef>
              <c:f>'2022_Data'!$F$674</c:f>
            </c:strRef>
          </c:xVal>
          <c:yVal>
            <c:numRef>
              <c:f>'2022_Data'!$E$674</c:f>
              <c:numCache/>
            </c:numRef>
          </c:yVal>
          <c:bubbleSize>
            <c:numRef>
              <c:f>'2022_Data'!$G$674</c:f>
            </c:numRef>
          </c:bubbleSize>
        </c:ser>
        <c:ser>
          <c:idx val="674"/>
          <c:order val="674"/>
          <c:tx>
            <c:strRef>
              <c:f>'2022_Data'!$A$675</c:f>
            </c:strRef>
          </c:tx>
          <c:dLbls>
            <c:dLblPos val="ctr"/>
            <c:showLegendKey val="0"/>
            <c:showVal val="0"/>
            <c:showCatName val="0"/>
            <c:showSerName val="1"/>
            <c:showPercent val="0"/>
            <c:showBubbleSize val="0"/>
          </c:dLbls>
          <c:xVal>
            <c:strRef>
              <c:f>'2022_Data'!$F$675</c:f>
            </c:strRef>
          </c:xVal>
          <c:yVal>
            <c:numRef>
              <c:f>'2022_Data'!$E$675</c:f>
              <c:numCache/>
            </c:numRef>
          </c:yVal>
          <c:bubbleSize>
            <c:numRef>
              <c:f>'2022_Data'!$G$675</c:f>
            </c:numRef>
          </c:bubbleSize>
        </c:ser>
        <c:ser>
          <c:idx val="675"/>
          <c:order val="675"/>
          <c:tx>
            <c:strRef>
              <c:f>'2022_Data'!$A$676</c:f>
            </c:strRef>
          </c:tx>
          <c:dLbls>
            <c:dLblPos val="ctr"/>
            <c:showLegendKey val="0"/>
            <c:showVal val="0"/>
            <c:showCatName val="0"/>
            <c:showSerName val="1"/>
            <c:showPercent val="0"/>
            <c:showBubbleSize val="0"/>
          </c:dLbls>
          <c:xVal>
            <c:strRef>
              <c:f>'2022_Data'!$F$676</c:f>
            </c:strRef>
          </c:xVal>
          <c:yVal>
            <c:numRef>
              <c:f>'2022_Data'!$E$676</c:f>
              <c:numCache/>
            </c:numRef>
          </c:yVal>
          <c:bubbleSize>
            <c:numRef>
              <c:f>'2022_Data'!$G$676</c:f>
            </c:numRef>
          </c:bubbleSize>
        </c:ser>
        <c:ser>
          <c:idx val="676"/>
          <c:order val="676"/>
          <c:tx>
            <c:strRef>
              <c:f>'2022_Data'!$A$677</c:f>
            </c:strRef>
          </c:tx>
          <c:dLbls>
            <c:dLblPos val="ctr"/>
            <c:showLegendKey val="0"/>
            <c:showVal val="0"/>
            <c:showCatName val="0"/>
            <c:showSerName val="1"/>
            <c:showPercent val="0"/>
            <c:showBubbleSize val="0"/>
          </c:dLbls>
          <c:xVal>
            <c:strRef>
              <c:f>'2022_Data'!$F$677</c:f>
            </c:strRef>
          </c:xVal>
          <c:yVal>
            <c:numRef>
              <c:f>'2022_Data'!$E$677</c:f>
              <c:numCache/>
            </c:numRef>
          </c:yVal>
          <c:bubbleSize>
            <c:numRef>
              <c:f>'2022_Data'!$G$677</c:f>
            </c:numRef>
          </c:bubbleSize>
        </c:ser>
        <c:ser>
          <c:idx val="677"/>
          <c:order val="677"/>
          <c:tx>
            <c:strRef>
              <c:f>'2022_Data'!$A$678</c:f>
            </c:strRef>
          </c:tx>
          <c:dLbls>
            <c:dLblPos val="ctr"/>
            <c:showLegendKey val="0"/>
            <c:showVal val="0"/>
            <c:showCatName val="0"/>
            <c:showSerName val="1"/>
            <c:showPercent val="0"/>
            <c:showBubbleSize val="0"/>
          </c:dLbls>
          <c:xVal>
            <c:strRef>
              <c:f>'2022_Data'!$F$678</c:f>
            </c:strRef>
          </c:xVal>
          <c:yVal>
            <c:numRef>
              <c:f>'2022_Data'!$E$678</c:f>
              <c:numCache/>
            </c:numRef>
          </c:yVal>
          <c:bubbleSize>
            <c:numRef>
              <c:f>'2022_Data'!$G$678</c:f>
            </c:numRef>
          </c:bubbleSize>
        </c:ser>
        <c:ser>
          <c:idx val="678"/>
          <c:order val="678"/>
          <c:tx>
            <c:strRef>
              <c:f>'2022_Data'!$A$679</c:f>
            </c:strRef>
          </c:tx>
          <c:dLbls>
            <c:dLblPos val="ctr"/>
            <c:showLegendKey val="0"/>
            <c:showVal val="0"/>
            <c:showCatName val="0"/>
            <c:showSerName val="1"/>
            <c:showPercent val="0"/>
            <c:showBubbleSize val="0"/>
          </c:dLbls>
          <c:xVal>
            <c:strRef>
              <c:f>'2022_Data'!$F$679</c:f>
            </c:strRef>
          </c:xVal>
          <c:yVal>
            <c:numRef>
              <c:f>'2022_Data'!$E$679</c:f>
              <c:numCache/>
            </c:numRef>
          </c:yVal>
          <c:bubbleSize>
            <c:numRef>
              <c:f>'2022_Data'!$G$679</c:f>
            </c:numRef>
          </c:bubbleSize>
        </c:ser>
        <c:ser>
          <c:idx val="679"/>
          <c:order val="679"/>
          <c:tx>
            <c:strRef>
              <c:f>'2022_Data'!$A$680</c:f>
            </c:strRef>
          </c:tx>
          <c:dLbls>
            <c:dLblPos val="ctr"/>
            <c:showLegendKey val="0"/>
            <c:showVal val="0"/>
            <c:showCatName val="0"/>
            <c:showSerName val="1"/>
            <c:showPercent val="0"/>
            <c:showBubbleSize val="0"/>
          </c:dLbls>
          <c:xVal>
            <c:strRef>
              <c:f>'2022_Data'!$F$680</c:f>
            </c:strRef>
          </c:xVal>
          <c:yVal>
            <c:numRef>
              <c:f>'2022_Data'!$E$680</c:f>
              <c:numCache/>
            </c:numRef>
          </c:yVal>
          <c:bubbleSize>
            <c:numRef>
              <c:f>'2022_Data'!$G$680</c:f>
            </c:numRef>
          </c:bubbleSize>
        </c:ser>
        <c:ser>
          <c:idx val="680"/>
          <c:order val="680"/>
          <c:tx>
            <c:strRef>
              <c:f>'2022_Data'!$A$681</c:f>
            </c:strRef>
          </c:tx>
          <c:dLbls>
            <c:dLblPos val="ctr"/>
            <c:showLegendKey val="0"/>
            <c:showVal val="0"/>
            <c:showCatName val="0"/>
            <c:showSerName val="1"/>
            <c:showPercent val="0"/>
            <c:showBubbleSize val="0"/>
          </c:dLbls>
          <c:xVal>
            <c:strRef>
              <c:f>'2022_Data'!$F$681</c:f>
            </c:strRef>
          </c:xVal>
          <c:yVal>
            <c:numRef>
              <c:f>'2022_Data'!$E$681</c:f>
              <c:numCache/>
            </c:numRef>
          </c:yVal>
          <c:bubbleSize>
            <c:numRef>
              <c:f>'2022_Data'!$G$681</c:f>
            </c:numRef>
          </c:bubbleSize>
        </c:ser>
        <c:ser>
          <c:idx val="681"/>
          <c:order val="681"/>
          <c:tx>
            <c:strRef>
              <c:f>'2022_Data'!$A$682</c:f>
            </c:strRef>
          </c:tx>
          <c:dLbls>
            <c:dLblPos val="ctr"/>
            <c:showLegendKey val="0"/>
            <c:showVal val="0"/>
            <c:showCatName val="0"/>
            <c:showSerName val="1"/>
            <c:showPercent val="0"/>
            <c:showBubbleSize val="0"/>
          </c:dLbls>
          <c:xVal>
            <c:strRef>
              <c:f>'2022_Data'!$F$682</c:f>
            </c:strRef>
          </c:xVal>
          <c:yVal>
            <c:numRef>
              <c:f>'2022_Data'!$E$682</c:f>
              <c:numCache/>
            </c:numRef>
          </c:yVal>
          <c:bubbleSize>
            <c:numRef>
              <c:f>'2022_Data'!$G$682</c:f>
            </c:numRef>
          </c:bubbleSize>
        </c:ser>
        <c:ser>
          <c:idx val="682"/>
          <c:order val="682"/>
          <c:tx>
            <c:strRef>
              <c:f>'2022_Data'!$A$683</c:f>
            </c:strRef>
          </c:tx>
          <c:dLbls>
            <c:dLblPos val="ctr"/>
            <c:showLegendKey val="0"/>
            <c:showVal val="0"/>
            <c:showCatName val="0"/>
            <c:showSerName val="1"/>
            <c:showPercent val="0"/>
            <c:showBubbleSize val="0"/>
          </c:dLbls>
          <c:xVal>
            <c:strRef>
              <c:f>'2022_Data'!$F$683</c:f>
            </c:strRef>
          </c:xVal>
          <c:yVal>
            <c:numRef>
              <c:f>'2022_Data'!$E$683</c:f>
              <c:numCache/>
            </c:numRef>
          </c:yVal>
          <c:bubbleSize>
            <c:numRef>
              <c:f>'2022_Data'!$G$683</c:f>
            </c:numRef>
          </c:bubbleSize>
        </c:ser>
        <c:ser>
          <c:idx val="683"/>
          <c:order val="683"/>
          <c:tx>
            <c:strRef>
              <c:f>'2022_Data'!$A$684</c:f>
            </c:strRef>
          </c:tx>
          <c:dLbls>
            <c:dLblPos val="ctr"/>
            <c:showLegendKey val="0"/>
            <c:showVal val="0"/>
            <c:showCatName val="0"/>
            <c:showSerName val="1"/>
            <c:showPercent val="0"/>
            <c:showBubbleSize val="0"/>
          </c:dLbls>
          <c:xVal>
            <c:strRef>
              <c:f>'2022_Data'!$F$684</c:f>
            </c:strRef>
          </c:xVal>
          <c:yVal>
            <c:numRef>
              <c:f>'2022_Data'!$E$684</c:f>
              <c:numCache/>
            </c:numRef>
          </c:yVal>
          <c:bubbleSize>
            <c:numRef>
              <c:f>'2022_Data'!$G$684</c:f>
            </c:numRef>
          </c:bubbleSize>
        </c:ser>
        <c:ser>
          <c:idx val="684"/>
          <c:order val="684"/>
          <c:tx>
            <c:strRef>
              <c:f>'2022_Data'!$A$685</c:f>
            </c:strRef>
          </c:tx>
          <c:dLbls>
            <c:dLblPos val="ctr"/>
            <c:showLegendKey val="0"/>
            <c:showVal val="0"/>
            <c:showCatName val="0"/>
            <c:showSerName val="1"/>
            <c:showPercent val="0"/>
            <c:showBubbleSize val="0"/>
          </c:dLbls>
          <c:xVal>
            <c:strRef>
              <c:f>'2022_Data'!$F$685</c:f>
            </c:strRef>
          </c:xVal>
          <c:yVal>
            <c:numRef>
              <c:f>'2022_Data'!$E$685</c:f>
              <c:numCache/>
            </c:numRef>
          </c:yVal>
          <c:bubbleSize>
            <c:numRef>
              <c:f>'2022_Data'!$G$685</c:f>
            </c:numRef>
          </c:bubbleSize>
        </c:ser>
        <c:ser>
          <c:idx val="685"/>
          <c:order val="685"/>
          <c:tx>
            <c:strRef>
              <c:f>'2022_Data'!$A$686</c:f>
            </c:strRef>
          </c:tx>
          <c:dLbls>
            <c:dLblPos val="ctr"/>
            <c:showLegendKey val="0"/>
            <c:showVal val="0"/>
            <c:showCatName val="0"/>
            <c:showSerName val="1"/>
            <c:showPercent val="0"/>
            <c:showBubbleSize val="0"/>
          </c:dLbls>
          <c:xVal>
            <c:strRef>
              <c:f>'2022_Data'!$F$686</c:f>
            </c:strRef>
          </c:xVal>
          <c:yVal>
            <c:numRef>
              <c:f>'2022_Data'!$E$686</c:f>
              <c:numCache/>
            </c:numRef>
          </c:yVal>
          <c:bubbleSize>
            <c:numRef>
              <c:f>'2022_Data'!$G$686</c:f>
            </c:numRef>
          </c:bubbleSize>
        </c:ser>
        <c:ser>
          <c:idx val="686"/>
          <c:order val="686"/>
          <c:tx>
            <c:strRef>
              <c:f>'2022_Data'!$A$687</c:f>
            </c:strRef>
          </c:tx>
          <c:dLbls>
            <c:dLblPos val="ctr"/>
            <c:showLegendKey val="0"/>
            <c:showVal val="0"/>
            <c:showCatName val="0"/>
            <c:showSerName val="1"/>
            <c:showPercent val="0"/>
            <c:showBubbleSize val="0"/>
          </c:dLbls>
          <c:xVal>
            <c:strRef>
              <c:f>'2022_Data'!$F$687</c:f>
            </c:strRef>
          </c:xVal>
          <c:yVal>
            <c:numRef>
              <c:f>'2022_Data'!$E$687</c:f>
              <c:numCache/>
            </c:numRef>
          </c:yVal>
          <c:bubbleSize>
            <c:numRef>
              <c:f>'2022_Data'!$G$687</c:f>
            </c:numRef>
          </c:bubbleSize>
        </c:ser>
        <c:ser>
          <c:idx val="687"/>
          <c:order val="687"/>
          <c:tx>
            <c:strRef>
              <c:f>'2022_Data'!$A$688</c:f>
            </c:strRef>
          </c:tx>
          <c:dLbls>
            <c:dLblPos val="ctr"/>
            <c:showLegendKey val="0"/>
            <c:showVal val="0"/>
            <c:showCatName val="0"/>
            <c:showSerName val="1"/>
            <c:showPercent val="0"/>
            <c:showBubbleSize val="0"/>
          </c:dLbls>
          <c:xVal>
            <c:strRef>
              <c:f>'2022_Data'!$F$688</c:f>
            </c:strRef>
          </c:xVal>
          <c:yVal>
            <c:numRef>
              <c:f>'2022_Data'!$E$688</c:f>
              <c:numCache/>
            </c:numRef>
          </c:yVal>
          <c:bubbleSize>
            <c:numRef>
              <c:f>'2022_Data'!$G$688</c:f>
            </c:numRef>
          </c:bubbleSize>
        </c:ser>
        <c:ser>
          <c:idx val="688"/>
          <c:order val="688"/>
          <c:tx>
            <c:strRef>
              <c:f>'2022_Data'!$A$689</c:f>
            </c:strRef>
          </c:tx>
          <c:dLbls>
            <c:dLblPos val="ctr"/>
            <c:showLegendKey val="0"/>
            <c:showVal val="0"/>
            <c:showCatName val="0"/>
            <c:showSerName val="1"/>
            <c:showPercent val="0"/>
            <c:showBubbleSize val="0"/>
          </c:dLbls>
          <c:xVal>
            <c:strRef>
              <c:f>'2022_Data'!$F$689</c:f>
            </c:strRef>
          </c:xVal>
          <c:yVal>
            <c:numRef>
              <c:f>'2022_Data'!$E$689</c:f>
              <c:numCache/>
            </c:numRef>
          </c:yVal>
          <c:bubbleSize>
            <c:numRef>
              <c:f>'2022_Data'!$G$689</c:f>
            </c:numRef>
          </c:bubbleSize>
        </c:ser>
        <c:ser>
          <c:idx val="689"/>
          <c:order val="689"/>
          <c:tx>
            <c:strRef>
              <c:f>'2022_Data'!$A$690</c:f>
            </c:strRef>
          </c:tx>
          <c:dLbls>
            <c:dLblPos val="ctr"/>
            <c:showLegendKey val="0"/>
            <c:showVal val="0"/>
            <c:showCatName val="0"/>
            <c:showSerName val="1"/>
            <c:showPercent val="0"/>
            <c:showBubbleSize val="0"/>
          </c:dLbls>
          <c:xVal>
            <c:strRef>
              <c:f>'2022_Data'!$F$690</c:f>
            </c:strRef>
          </c:xVal>
          <c:yVal>
            <c:numRef>
              <c:f>'2022_Data'!$E$690</c:f>
              <c:numCache/>
            </c:numRef>
          </c:yVal>
          <c:bubbleSize>
            <c:numRef>
              <c:f>'2022_Data'!$G$690</c:f>
            </c:numRef>
          </c:bubbleSize>
        </c:ser>
        <c:ser>
          <c:idx val="690"/>
          <c:order val="690"/>
          <c:tx>
            <c:strRef>
              <c:f>'2022_Data'!$A$691</c:f>
            </c:strRef>
          </c:tx>
          <c:dLbls>
            <c:dLblPos val="ctr"/>
            <c:showLegendKey val="0"/>
            <c:showVal val="0"/>
            <c:showCatName val="0"/>
            <c:showSerName val="1"/>
            <c:showPercent val="0"/>
            <c:showBubbleSize val="0"/>
          </c:dLbls>
          <c:xVal>
            <c:strRef>
              <c:f>'2022_Data'!$F$691</c:f>
            </c:strRef>
          </c:xVal>
          <c:yVal>
            <c:numRef>
              <c:f>'2022_Data'!$E$691</c:f>
              <c:numCache/>
            </c:numRef>
          </c:yVal>
          <c:bubbleSize>
            <c:numRef>
              <c:f>'2022_Data'!$G$691</c:f>
            </c:numRef>
          </c:bubbleSize>
        </c:ser>
        <c:ser>
          <c:idx val="691"/>
          <c:order val="691"/>
          <c:tx>
            <c:strRef>
              <c:f>'2022_Data'!$A$692</c:f>
            </c:strRef>
          </c:tx>
          <c:dLbls>
            <c:dLblPos val="ctr"/>
            <c:showLegendKey val="0"/>
            <c:showVal val="0"/>
            <c:showCatName val="0"/>
            <c:showSerName val="1"/>
            <c:showPercent val="0"/>
            <c:showBubbleSize val="0"/>
          </c:dLbls>
          <c:xVal>
            <c:strRef>
              <c:f>'2022_Data'!$F$692</c:f>
            </c:strRef>
          </c:xVal>
          <c:yVal>
            <c:numRef>
              <c:f>'2022_Data'!$E$692</c:f>
              <c:numCache/>
            </c:numRef>
          </c:yVal>
          <c:bubbleSize>
            <c:numRef>
              <c:f>'2022_Data'!$G$692</c:f>
            </c:numRef>
          </c:bubbleSize>
        </c:ser>
        <c:ser>
          <c:idx val="692"/>
          <c:order val="692"/>
          <c:tx>
            <c:strRef>
              <c:f>'2022_Data'!$A$693</c:f>
            </c:strRef>
          </c:tx>
          <c:dLbls>
            <c:dLblPos val="ctr"/>
            <c:showLegendKey val="0"/>
            <c:showVal val="0"/>
            <c:showCatName val="0"/>
            <c:showSerName val="1"/>
            <c:showPercent val="0"/>
            <c:showBubbleSize val="0"/>
          </c:dLbls>
          <c:xVal>
            <c:strRef>
              <c:f>'2022_Data'!$F$693</c:f>
            </c:strRef>
          </c:xVal>
          <c:yVal>
            <c:numRef>
              <c:f>'2022_Data'!$E$693</c:f>
              <c:numCache/>
            </c:numRef>
          </c:yVal>
          <c:bubbleSize>
            <c:numRef>
              <c:f>'2022_Data'!$G$693</c:f>
            </c:numRef>
          </c:bubbleSize>
        </c:ser>
        <c:ser>
          <c:idx val="693"/>
          <c:order val="693"/>
          <c:tx>
            <c:strRef>
              <c:f>'2022_Data'!$A$694</c:f>
            </c:strRef>
          </c:tx>
          <c:dLbls>
            <c:dLblPos val="ctr"/>
            <c:showLegendKey val="0"/>
            <c:showVal val="0"/>
            <c:showCatName val="0"/>
            <c:showSerName val="1"/>
            <c:showPercent val="0"/>
            <c:showBubbleSize val="0"/>
          </c:dLbls>
          <c:xVal>
            <c:strRef>
              <c:f>'2022_Data'!$F$694</c:f>
            </c:strRef>
          </c:xVal>
          <c:yVal>
            <c:numRef>
              <c:f>'2022_Data'!$E$694</c:f>
              <c:numCache/>
            </c:numRef>
          </c:yVal>
          <c:bubbleSize>
            <c:numRef>
              <c:f>'2022_Data'!$G$694</c:f>
            </c:numRef>
          </c:bubbleSize>
        </c:ser>
        <c:ser>
          <c:idx val="694"/>
          <c:order val="694"/>
          <c:tx>
            <c:strRef>
              <c:f>'2022_Data'!$A$695</c:f>
            </c:strRef>
          </c:tx>
          <c:dLbls>
            <c:dLblPos val="ctr"/>
            <c:showLegendKey val="0"/>
            <c:showVal val="0"/>
            <c:showCatName val="0"/>
            <c:showSerName val="1"/>
            <c:showPercent val="0"/>
            <c:showBubbleSize val="0"/>
          </c:dLbls>
          <c:xVal>
            <c:strRef>
              <c:f>'2022_Data'!$F$695</c:f>
            </c:strRef>
          </c:xVal>
          <c:yVal>
            <c:numRef>
              <c:f>'2022_Data'!$E$695</c:f>
              <c:numCache/>
            </c:numRef>
          </c:yVal>
          <c:bubbleSize>
            <c:numRef>
              <c:f>'2022_Data'!$G$695</c:f>
            </c:numRef>
          </c:bubbleSize>
        </c:ser>
        <c:ser>
          <c:idx val="695"/>
          <c:order val="695"/>
          <c:tx>
            <c:strRef>
              <c:f>'2022_Data'!$A$696</c:f>
            </c:strRef>
          </c:tx>
          <c:dLbls>
            <c:dLblPos val="ctr"/>
            <c:showLegendKey val="0"/>
            <c:showVal val="0"/>
            <c:showCatName val="0"/>
            <c:showSerName val="1"/>
            <c:showPercent val="0"/>
            <c:showBubbleSize val="0"/>
          </c:dLbls>
          <c:xVal>
            <c:strRef>
              <c:f>'2022_Data'!$F$696</c:f>
            </c:strRef>
          </c:xVal>
          <c:yVal>
            <c:numRef>
              <c:f>'2022_Data'!$E$696</c:f>
              <c:numCache/>
            </c:numRef>
          </c:yVal>
          <c:bubbleSize>
            <c:numRef>
              <c:f>'2022_Data'!$G$696</c:f>
            </c:numRef>
          </c:bubbleSize>
        </c:ser>
        <c:ser>
          <c:idx val="696"/>
          <c:order val="696"/>
          <c:tx>
            <c:strRef>
              <c:f>'2022_Data'!$A$697</c:f>
            </c:strRef>
          </c:tx>
          <c:dLbls>
            <c:dLblPos val="ctr"/>
            <c:showLegendKey val="0"/>
            <c:showVal val="0"/>
            <c:showCatName val="0"/>
            <c:showSerName val="1"/>
            <c:showPercent val="0"/>
            <c:showBubbleSize val="0"/>
          </c:dLbls>
          <c:xVal>
            <c:strRef>
              <c:f>'2022_Data'!$F$697</c:f>
            </c:strRef>
          </c:xVal>
          <c:yVal>
            <c:numRef>
              <c:f>'2022_Data'!$E$697</c:f>
              <c:numCache/>
            </c:numRef>
          </c:yVal>
          <c:bubbleSize>
            <c:numRef>
              <c:f>'2022_Data'!$G$697</c:f>
            </c:numRef>
          </c:bubbleSize>
        </c:ser>
        <c:ser>
          <c:idx val="697"/>
          <c:order val="697"/>
          <c:tx>
            <c:strRef>
              <c:f>'2022_Data'!$A$698</c:f>
            </c:strRef>
          </c:tx>
          <c:dLbls>
            <c:dLblPos val="ctr"/>
            <c:showLegendKey val="0"/>
            <c:showVal val="0"/>
            <c:showCatName val="0"/>
            <c:showSerName val="1"/>
            <c:showPercent val="0"/>
            <c:showBubbleSize val="0"/>
          </c:dLbls>
          <c:xVal>
            <c:strRef>
              <c:f>'2022_Data'!$F$698</c:f>
            </c:strRef>
          </c:xVal>
          <c:yVal>
            <c:numRef>
              <c:f>'2022_Data'!$E$698</c:f>
              <c:numCache/>
            </c:numRef>
          </c:yVal>
          <c:bubbleSize>
            <c:numRef>
              <c:f>'2022_Data'!$G$698</c:f>
            </c:numRef>
          </c:bubbleSize>
        </c:ser>
        <c:ser>
          <c:idx val="698"/>
          <c:order val="698"/>
          <c:tx>
            <c:strRef>
              <c:f>'2022_Data'!$A$699</c:f>
            </c:strRef>
          </c:tx>
          <c:dLbls>
            <c:dLblPos val="ctr"/>
            <c:showLegendKey val="0"/>
            <c:showVal val="0"/>
            <c:showCatName val="0"/>
            <c:showSerName val="1"/>
            <c:showPercent val="0"/>
            <c:showBubbleSize val="0"/>
          </c:dLbls>
          <c:xVal>
            <c:strRef>
              <c:f>'2022_Data'!$F$699</c:f>
            </c:strRef>
          </c:xVal>
          <c:yVal>
            <c:numRef>
              <c:f>'2022_Data'!$E$699</c:f>
              <c:numCache/>
            </c:numRef>
          </c:yVal>
          <c:bubbleSize>
            <c:numRef>
              <c:f>'2022_Data'!$G$699</c:f>
            </c:numRef>
          </c:bubbleSize>
        </c:ser>
        <c:ser>
          <c:idx val="699"/>
          <c:order val="699"/>
          <c:tx>
            <c:strRef>
              <c:f>'2022_Data'!$A$700</c:f>
            </c:strRef>
          </c:tx>
          <c:dLbls>
            <c:dLblPos val="ctr"/>
            <c:showLegendKey val="0"/>
            <c:showVal val="0"/>
            <c:showCatName val="0"/>
            <c:showSerName val="1"/>
            <c:showPercent val="0"/>
            <c:showBubbleSize val="0"/>
          </c:dLbls>
          <c:xVal>
            <c:strRef>
              <c:f>'2022_Data'!$F$700</c:f>
            </c:strRef>
          </c:xVal>
          <c:yVal>
            <c:numRef>
              <c:f>'2022_Data'!$E$700</c:f>
              <c:numCache/>
            </c:numRef>
          </c:yVal>
          <c:bubbleSize>
            <c:numRef>
              <c:f>'2022_Data'!$G$700</c:f>
            </c:numRef>
          </c:bubbleSize>
        </c:ser>
        <c:ser>
          <c:idx val="700"/>
          <c:order val="700"/>
          <c:tx>
            <c:strRef>
              <c:f>'2022_Data'!$A$701</c:f>
            </c:strRef>
          </c:tx>
          <c:dLbls>
            <c:dLblPos val="ctr"/>
            <c:showLegendKey val="0"/>
            <c:showVal val="0"/>
            <c:showCatName val="0"/>
            <c:showSerName val="1"/>
            <c:showPercent val="0"/>
            <c:showBubbleSize val="0"/>
          </c:dLbls>
          <c:xVal>
            <c:strRef>
              <c:f>'2022_Data'!$F$701</c:f>
            </c:strRef>
          </c:xVal>
          <c:yVal>
            <c:numRef>
              <c:f>'2022_Data'!$E$701</c:f>
              <c:numCache/>
            </c:numRef>
          </c:yVal>
          <c:bubbleSize>
            <c:numRef>
              <c:f>'2022_Data'!$G$701</c:f>
            </c:numRef>
          </c:bubbleSize>
        </c:ser>
        <c:ser>
          <c:idx val="701"/>
          <c:order val="701"/>
          <c:tx>
            <c:strRef>
              <c:f>'2022_Data'!$A$702</c:f>
            </c:strRef>
          </c:tx>
          <c:dLbls>
            <c:dLblPos val="ctr"/>
            <c:showLegendKey val="0"/>
            <c:showVal val="0"/>
            <c:showCatName val="0"/>
            <c:showSerName val="1"/>
            <c:showPercent val="0"/>
            <c:showBubbleSize val="0"/>
          </c:dLbls>
          <c:xVal>
            <c:strRef>
              <c:f>'2022_Data'!$F$702</c:f>
            </c:strRef>
          </c:xVal>
          <c:yVal>
            <c:numRef>
              <c:f>'2022_Data'!$E$702</c:f>
              <c:numCache/>
            </c:numRef>
          </c:yVal>
          <c:bubbleSize>
            <c:numRef>
              <c:f>'2022_Data'!$G$702</c:f>
            </c:numRef>
          </c:bubbleSize>
        </c:ser>
        <c:ser>
          <c:idx val="702"/>
          <c:order val="702"/>
          <c:tx>
            <c:strRef>
              <c:f>'2022_Data'!$A$703</c:f>
            </c:strRef>
          </c:tx>
          <c:dLbls>
            <c:dLblPos val="ctr"/>
            <c:showLegendKey val="0"/>
            <c:showVal val="0"/>
            <c:showCatName val="0"/>
            <c:showSerName val="1"/>
            <c:showPercent val="0"/>
            <c:showBubbleSize val="0"/>
          </c:dLbls>
          <c:xVal>
            <c:strRef>
              <c:f>'2022_Data'!$F$703</c:f>
            </c:strRef>
          </c:xVal>
          <c:yVal>
            <c:numRef>
              <c:f>'2022_Data'!$E$703</c:f>
              <c:numCache/>
            </c:numRef>
          </c:yVal>
          <c:bubbleSize>
            <c:numRef>
              <c:f>'2022_Data'!$G$703</c:f>
            </c:numRef>
          </c:bubbleSize>
        </c:ser>
        <c:ser>
          <c:idx val="703"/>
          <c:order val="703"/>
          <c:tx>
            <c:strRef>
              <c:f>'2022_Data'!$A$704</c:f>
            </c:strRef>
          </c:tx>
          <c:dLbls>
            <c:dLblPos val="ctr"/>
            <c:showLegendKey val="0"/>
            <c:showVal val="0"/>
            <c:showCatName val="0"/>
            <c:showSerName val="1"/>
            <c:showPercent val="0"/>
            <c:showBubbleSize val="0"/>
          </c:dLbls>
          <c:xVal>
            <c:strRef>
              <c:f>'2022_Data'!$F$704</c:f>
            </c:strRef>
          </c:xVal>
          <c:yVal>
            <c:numRef>
              <c:f>'2022_Data'!$E$704</c:f>
              <c:numCache/>
            </c:numRef>
          </c:yVal>
          <c:bubbleSize>
            <c:numRef>
              <c:f>'2022_Data'!$G$704</c:f>
            </c:numRef>
          </c:bubbleSize>
        </c:ser>
        <c:ser>
          <c:idx val="704"/>
          <c:order val="704"/>
          <c:tx>
            <c:strRef>
              <c:f>'2022_Data'!$A$705</c:f>
            </c:strRef>
          </c:tx>
          <c:dLbls>
            <c:dLblPos val="ctr"/>
            <c:showLegendKey val="0"/>
            <c:showVal val="0"/>
            <c:showCatName val="0"/>
            <c:showSerName val="1"/>
            <c:showPercent val="0"/>
            <c:showBubbleSize val="0"/>
          </c:dLbls>
          <c:xVal>
            <c:strRef>
              <c:f>'2022_Data'!$F$705</c:f>
            </c:strRef>
          </c:xVal>
          <c:yVal>
            <c:numRef>
              <c:f>'2022_Data'!$E$705</c:f>
              <c:numCache/>
            </c:numRef>
          </c:yVal>
          <c:bubbleSize>
            <c:numRef>
              <c:f>'2022_Data'!$G$705</c:f>
            </c:numRef>
          </c:bubbleSize>
        </c:ser>
        <c:ser>
          <c:idx val="705"/>
          <c:order val="705"/>
          <c:tx>
            <c:strRef>
              <c:f>'2022_Data'!$A$706</c:f>
            </c:strRef>
          </c:tx>
          <c:dLbls>
            <c:dLblPos val="ctr"/>
            <c:showLegendKey val="0"/>
            <c:showVal val="0"/>
            <c:showCatName val="0"/>
            <c:showSerName val="1"/>
            <c:showPercent val="0"/>
            <c:showBubbleSize val="0"/>
          </c:dLbls>
          <c:xVal>
            <c:strRef>
              <c:f>'2022_Data'!$F$706</c:f>
            </c:strRef>
          </c:xVal>
          <c:yVal>
            <c:numRef>
              <c:f>'2022_Data'!$E$706</c:f>
              <c:numCache/>
            </c:numRef>
          </c:yVal>
          <c:bubbleSize>
            <c:numRef>
              <c:f>'2022_Data'!$G$706</c:f>
            </c:numRef>
          </c:bubbleSize>
        </c:ser>
        <c:ser>
          <c:idx val="706"/>
          <c:order val="706"/>
          <c:tx>
            <c:strRef>
              <c:f>'2022_Data'!$A$707</c:f>
            </c:strRef>
          </c:tx>
          <c:dLbls>
            <c:dLblPos val="ctr"/>
            <c:showLegendKey val="0"/>
            <c:showVal val="0"/>
            <c:showCatName val="0"/>
            <c:showSerName val="1"/>
            <c:showPercent val="0"/>
            <c:showBubbleSize val="0"/>
          </c:dLbls>
          <c:xVal>
            <c:strRef>
              <c:f>'2022_Data'!$F$707</c:f>
            </c:strRef>
          </c:xVal>
          <c:yVal>
            <c:numRef>
              <c:f>'2022_Data'!$E$707</c:f>
              <c:numCache/>
            </c:numRef>
          </c:yVal>
          <c:bubbleSize>
            <c:numRef>
              <c:f>'2022_Data'!$G$707</c:f>
            </c:numRef>
          </c:bubbleSize>
        </c:ser>
        <c:ser>
          <c:idx val="707"/>
          <c:order val="707"/>
          <c:tx>
            <c:strRef>
              <c:f>'2022_Data'!$A$708</c:f>
            </c:strRef>
          </c:tx>
          <c:dLbls>
            <c:dLblPos val="ctr"/>
            <c:showLegendKey val="0"/>
            <c:showVal val="0"/>
            <c:showCatName val="0"/>
            <c:showSerName val="1"/>
            <c:showPercent val="0"/>
            <c:showBubbleSize val="0"/>
          </c:dLbls>
          <c:xVal>
            <c:strRef>
              <c:f>'2022_Data'!$F$708</c:f>
            </c:strRef>
          </c:xVal>
          <c:yVal>
            <c:numRef>
              <c:f>'2022_Data'!$E$708</c:f>
              <c:numCache/>
            </c:numRef>
          </c:yVal>
          <c:bubbleSize>
            <c:numRef>
              <c:f>'2022_Data'!$G$708</c:f>
            </c:numRef>
          </c:bubbleSize>
        </c:ser>
        <c:ser>
          <c:idx val="708"/>
          <c:order val="708"/>
          <c:tx>
            <c:strRef>
              <c:f>'2022_Data'!$A$709</c:f>
            </c:strRef>
          </c:tx>
          <c:dLbls>
            <c:dLblPos val="ctr"/>
            <c:showLegendKey val="0"/>
            <c:showVal val="0"/>
            <c:showCatName val="0"/>
            <c:showSerName val="1"/>
            <c:showPercent val="0"/>
            <c:showBubbleSize val="0"/>
          </c:dLbls>
          <c:xVal>
            <c:strRef>
              <c:f>'2022_Data'!$F$709</c:f>
            </c:strRef>
          </c:xVal>
          <c:yVal>
            <c:numRef>
              <c:f>'2022_Data'!$E$709</c:f>
              <c:numCache/>
            </c:numRef>
          </c:yVal>
          <c:bubbleSize>
            <c:numRef>
              <c:f>'2022_Data'!$G$709</c:f>
            </c:numRef>
          </c:bubbleSize>
        </c:ser>
        <c:ser>
          <c:idx val="709"/>
          <c:order val="709"/>
          <c:tx>
            <c:strRef>
              <c:f>'2022_Data'!$A$710</c:f>
            </c:strRef>
          </c:tx>
          <c:dLbls>
            <c:dLblPos val="ctr"/>
            <c:showLegendKey val="0"/>
            <c:showVal val="0"/>
            <c:showCatName val="0"/>
            <c:showSerName val="1"/>
            <c:showPercent val="0"/>
            <c:showBubbleSize val="0"/>
          </c:dLbls>
          <c:xVal>
            <c:strRef>
              <c:f>'2022_Data'!$F$710</c:f>
            </c:strRef>
          </c:xVal>
          <c:yVal>
            <c:numRef>
              <c:f>'2022_Data'!$E$710</c:f>
              <c:numCache/>
            </c:numRef>
          </c:yVal>
          <c:bubbleSize>
            <c:numRef>
              <c:f>'2022_Data'!$G$710</c:f>
            </c:numRef>
          </c:bubbleSize>
        </c:ser>
        <c:ser>
          <c:idx val="710"/>
          <c:order val="710"/>
          <c:tx>
            <c:strRef>
              <c:f>'2022_Data'!$A$711</c:f>
            </c:strRef>
          </c:tx>
          <c:dLbls>
            <c:dLblPos val="ctr"/>
            <c:showLegendKey val="0"/>
            <c:showVal val="0"/>
            <c:showCatName val="0"/>
            <c:showSerName val="1"/>
            <c:showPercent val="0"/>
            <c:showBubbleSize val="0"/>
          </c:dLbls>
          <c:xVal>
            <c:strRef>
              <c:f>'2022_Data'!$F$711</c:f>
            </c:strRef>
          </c:xVal>
          <c:yVal>
            <c:numRef>
              <c:f>'2022_Data'!$E$711</c:f>
              <c:numCache/>
            </c:numRef>
          </c:yVal>
          <c:bubbleSize>
            <c:numRef>
              <c:f>'2022_Data'!$G$711</c:f>
            </c:numRef>
          </c:bubbleSize>
        </c:ser>
        <c:ser>
          <c:idx val="711"/>
          <c:order val="711"/>
          <c:tx>
            <c:strRef>
              <c:f>'2022_Data'!$A$712</c:f>
            </c:strRef>
          </c:tx>
          <c:dLbls>
            <c:dLblPos val="ctr"/>
            <c:showLegendKey val="0"/>
            <c:showVal val="0"/>
            <c:showCatName val="0"/>
            <c:showSerName val="1"/>
            <c:showPercent val="0"/>
            <c:showBubbleSize val="0"/>
          </c:dLbls>
          <c:xVal>
            <c:strRef>
              <c:f>'2022_Data'!$F$712</c:f>
            </c:strRef>
          </c:xVal>
          <c:yVal>
            <c:numRef>
              <c:f>'2022_Data'!$E$712</c:f>
              <c:numCache/>
            </c:numRef>
          </c:yVal>
          <c:bubbleSize>
            <c:numRef>
              <c:f>'2022_Data'!$G$712</c:f>
            </c:numRef>
          </c:bubbleSize>
        </c:ser>
        <c:ser>
          <c:idx val="712"/>
          <c:order val="712"/>
          <c:tx>
            <c:strRef>
              <c:f>'2022_Data'!$A$713</c:f>
            </c:strRef>
          </c:tx>
          <c:dLbls>
            <c:dLblPos val="ctr"/>
            <c:showLegendKey val="0"/>
            <c:showVal val="0"/>
            <c:showCatName val="0"/>
            <c:showSerName val="1"/>
            <c:showPercent val="0"/>
            <c:showBubbleSize val="0"/>
          </c:dLbls>
          <c:xVal>
            <c:strRef>
              <c:f>'2022_Data'!$F$713</c:f>
            </c:strRef>
          </c:xVal>
          <c:yVal>
            <c:numRef>
              <c:f>'2022_Data'!$E$713</c:f>
              <c:numCache/>
            </c:numRef>
          </c:yVal>
          <c:bubbleSize>
            <c:numRef>
              <c:f>'2022_Data'!$G$713</c:f>
            </c:numRef>
          </c:bubbleSize>
        </c:ser>
        <c:ser>
          <c:idx val="713"/>
          <c:order val="713"/>
          <c:tx>
            <c:strRef>
              <c:f>'2022_Data'!$A$714</c:f>
            </c:strRef>
          </c:tx>
          <c:dLbls>
            <c:dLblPos val="ctr"/>
            <c:showLegendKey val="0"/>
            <c:showVal val="0"/>
            <c:showCatName val="0"/>
            <c:showSerName val="1"/>
            <c:showPercent val="0"/>
            <c:showBubbleSize val="0"/>
          </c:dLbls>
          <c:xVal>
            <c:strRef>
              <c:f>'2022_Data'!$F$714</c:f>
            </c:strRef>
          </c:xVal>
          <c:yVal>
            <c:numRef>
              <c:f>'2022_Data'!$E$714</c:f>
              <c:numCache/>
            </c:numRef>
          </c:yVal>
          <c:bubbleSize>
            <c:numRef>
              <c:f>'2022_Data'!$G$714</c:f>
            </c:numRef>
          </c:bubbleSize>
        </c:ser>
        <c:ser>
          <c:idx val="714"/>
          <c:order val="714"/>
          <c:tx>
            <c:strRef>
              <c:f>'2022_Data'!$A$715</c:f>
            </c:strRef>
          </c:tx>
          <c:dLbls>
            <c:dLblPos val="ctr"/>
            <c:showLegendKey val="0"/>
            <c:showVal val="0"/>
            <c:showCatName val="0"/>
            <c:showSerName val="1"/>
            <c:showPercent val="0"/>
            <c:showBubbleSize val="0"/>
          </c:dLbls>
          <c:xVal>
            <c:strRef>
              <c:f>'2022_Data'!$F$715</c:f>
            </c:strRef>
          </c:xVal>
          <c:yVal>
            <c:numRef>
              <c:f>'2022_Data'!$E$715</c:f>
              <c:numCache/>
            </c:numRef>
          </c:yVal>
          <c:bubbleSize>
            <c:numRef>
              <c:f>'2022_Data'!$G$715</c:f>
            </c:numRef>
          </c:bubbleSize>
        </c:ser>
        <c:ser>
          <c:idx val="715"/>
          <c:order val="715"/>
          <c:tx>
            <c:strRef>
              <c:f>'2022_Data'!$A$716</c:f>
            </c:strRef>
          </c:tx>
          <c:dLbls>
            <c:dLblPos val="ctr"/>
            <c:showLegendKey val="0"/>
            <c:showVal val="0"/>
            <c:showCatName val="0"/>
            <c:showSerName val="1"/>
            <c:showPercent val="0"/>
            <c:showBubbleSize val="0"/>
          </c:dLbls>
          <c:xVal>
            <c:strRef>
              <c:f>'2022_Data'!$F$716</c:f>
            </c:strRef>
          </c:xVal>
          <c:yVal>
            <c:numRef>
              <c:f>'2022_Data'!$E$716</c:f>
              <c:numCache/>
            </c:numRef>
          </c:yVal>
          <c:bubbleSize>
            <c:numRef>
              <c:f>'2022_Data'!$G$716</c:f>
            </c:numRef>
          </c:bubbleSize>
        </c:ser>
        <c:ser>
          <c:idx val="716"/>
          <c:order val="716"/>
          <c:tx>
            <c:strRef>
              <c:f>'2022_Data'!$A$717</c:f>
            </c:strRef>
          </c:tx>
          <c:dLbls>
            <c:dLblPos val="ctr"/>
            <c:showLegendKey val="0"/>
            <c:showVal val="0"/>
            <c:showCatName val="0"/>
            <c:showSerName val="1"/>
            <c:showPercent val="0"/>
            <c:showBubbleSize val="0"/>
          </c:dLbls>
          <c:xVal>
            <c:strRef>
              <c:f>'2022_Data'!$F$717</c:f>
            </c:strRef>
          </c:xVal>
          <c:yVal>
            <c:numRef>
              <c:f>'2022_Data'!$E$717</c:f>
              <c:numCache/>
            </c:numRef>
          </c:yVal>
          <c:bubbleSize>
            <c:numRef>
              <c:f>'2022_Data'!$G$717</c:f>
            </c:numRef>
          </c:bubbleSize>
        </c:ser>
        <c:ser>
          <c:idx val="717"/>
          <c:order val="717"/>
          <c:tx>
            <c:strRef>
              <c:f>'2022_Data'!$A$718</c:f>
            </c:strRef>
          </c:tx>
          <c:dLbls>
            <c:dLblPos val="ctr"/>
            <c:showLegendKey val="0"/>
            <c:showVal val="0"/>
            <c:showCatName val="0"/>
            <c:showSerName val="1"/>
            <c:showPercent val="0"/>
            <c:showBubbleSize val="0"/>
          </c:dLbls>
          <c:xVal>
            <c:strRef>
              <c:f>'2022_Data'!$F$718</c:f>
            </c:strRef>
          </c:xVal>
          <c:yVal>
            <c:numRef>
              <c:f>'2022_Data'!$E$718</c:f>
              <c:numCache/>
            </c:numRef>
          </c:yVal>
          <c:bubbleSize>
            <c:numRef>
              <c:f>'2022_Data'!$G$718</c:f>
            </c:numRef>
          </c:bubbleSize>
        </c:ser>
        <c:ser>
          <c:idx val="718"/>
          <c:order val="718"/>
          <c:tx>
            <c:strRef>
              <c:f>'2022_Data'!$A$719</c:f>
            </c:strRef>
          </c:tx>
          <c:dLbls>
            <c:dLblPos val="ctr"/>
            <c:showLegendKey val="0"/>
            <c:showVal val="0"/>
            <c:showCatName val="0"/>
            <c:showSerName val="1"/>
            <c:showPercent val="0"/>
            <c:showBubbleSize val="0"/>
          </c:dLbls>
          <c:xVal>
            <c:strRef>
              <c:f>'2022_Data'!$F$719</c:f>
            </c:strRef>
          </c:xVal>
          <c:yVal>
            <c:numRef>
              <c:f>'2022_Data'!$E$719</c:f>
              <c:numCache/>
            </c:numRef>
          </c:yVal>
          <c:bubbleSize>
            <c:numRef>
              <c:f>'2022_Data'!$G$719</c:f>
            </c:numRef>
          </c:bubbleSize>
        </c:ser>
        <c:ser>
          <c:idx val="719"/>
          <c:order val="719"/>
          <c:tx>
            <c:strRef>
              <c:f>'2022_Data'!$A$720</c:f>
            </c:strRef>
          </c:tx>
          <c:dLbls>
            <c:dLblPos val="ctr"/>
            <c:showLegendKey val="0"/>
            <c:showVal val="0"/>
            <c:showCatName val="0"/>
            <c:showSerName val="1"/>
            <c:showPercent val="0"/>
            <c:showBubbleSize val="0"/>
          </c:dLbls>
          <c:xVal>
            <c:strRef>
              <c:f>'2022_Data'!$F$720</c:f>
            </c:strRef>
          </c:xVal>
          <c:yVal>
            <c:numRef>
              <c:f>'2022_Data'!$E$720</c:f>
              <c:numCache/>
            </c:numRef>
          </c:yVal>
          <c:bubbleSize>
            <c:numRef>
              <c:f>'2022_Data'!$G$720</c:f>
            </c:numRef>
          </c:bubbleSize>
        </c:ser>
        <c:ser>
          <c:idx val="720"/>
          <c:order val="720"/>
          <c:tx>
            <c:strRef>
              <c:f>'2022_Data'!$A$721</c:f>
            </c:strRef>
          </c:tx>
          <c:dLbls>
            <c:dLblPos val="ctr"/>
            <c:showLegendKey val="0"/>
            <c:showVal val="0"/>
            <c:showCatName val="0"/>
            <c:showSerName val="1"/>
            <c:showPercent val="0"/>
            <c:showBubbleSize val="0"/>
          </c:dLbls>
          <c:xVal>
            <c:strRef>
              <c:f>'2022_Data'!$F$721</c:f>
            </c:strRef>
          </c:xVal>
          <c:yVal>
            <c:numRef>
              <c:f>'2022_Data'!$E$721</c:f>
              <c:numCache/>
            </c:numRef>
          </c:yVal>
          <c:bubbleSize>
            <c:numRef>
              <c:f>'2022_Data'!$G$721</c:f>
            </c:numRef>
          </c:bubbleSize>
        </c:ser>
        <c:ser>
          <c:idx val="721"/>
          <c:order val="721"/>
          <c:tx>
            <c:strRef>
              <c:f>'2022_Data'!$A$722</c:f>
            </c:strRef>
          </c:tx>
          <c:dLbls>
            <c:dLblPos val="ctr"/>
            <c:showLegendKey val="0"/>
            <c:showVal val="0"/>
            <c:showCatName val="0"/>
            <c:showSerName val="1"/>
            <c:showPercent val="0"/>
            <c:showBubbleSize val="0"/>
          </c:dLbls>
          <c:xVal>
            <c:strRef>
              <c:f>'2022_Data'!$F$722</c:f>
            </c:strRef>
          </c:xVal>
          <c:yVal>
            <c:numRef>
              <c:f>'2022_Data'!$E$722</c:f>
              <c:numCache/>
            </c:numRef>
          </c:yVal>
          <c:bubbleSize>
            <c:numRef>
              <c:f>'2022_Data'!$G$722</c:f>
            </c:numRef>
          </c:bubbleSize>
        </c:ser>
        <c:ser>
          <c:idx val="722"/>
          <c:order val="722"/>
          <c:tx>
            <c:strRef>
              <c:f>'2022_Data'!$A$723</c:f>
            </c:strRef>
          </c:tx>
          <c:dLbls>
            <c:dLblPos val="ctr"/>
            <c:showLegendKey val="0"/>
            <c:showVal val="0"/>
            <c:showCatName val="0"/>
            <c:showSerName val="1"/>
            <c:showPercent val="0"/>
            <c:showBubbleSize val="0"/>
          </c:dLbls>
          <c:xVal>
            <c:strRef>
              <c:f>'2022_Data'!$F$723</c:f>
            </c:strRef>
          </c:xVal>
          <c:yVal>
            <c:numRef>
              <c:f>'2022_Data'!$E$723</c:f>
              <c:numCache/>
            </c:numRef>
          </c:yVal>
          <c:bubbleSize>
            <c:numRef>
              <c:f>'2022_Data'!$G$723</c:f>
            </c:numRef>
          </c:bubbleSize>
        </c:ser>
        <c:ser>
          <c:idx val="723"/>
          <c:order val="723"/>
          <c:tx>
            <c:strRef>
              <c:f>'2022_Data'!$A$724</c:f>
            </c:strRef>
          </c:tx>
          <c:dLbls>
            <c:dLblPos val="ctr"/>
            <c:showLegendKey val="0"/>
            <c:showVal val="0"/>
            <c:showCatName val="0"/>
            <c:showSerName val="1"/>
            <c:showPercent val="0"/>
            <c:showBubbleSize val="0"/>
          </c:dLbls>
          <c:xVal>
            <c:strRef>
              <c:f>'2022_Data'!$F$724</c:f>
            </c:strRef>
          </c:xVal>
          <c:yVal>
            <c:numRef>
              <c:f>'2022_Data'!$E$724</c:f>
              <c:numCache/>
            </c:numRef>
          </c:yVal>
          <c:bubbleSize>
            <c:numRef>
              <c:f>'2022_Data'!$G$724</c:f>
            </c:numRef>
          </c:bubbleSize>
        </c:ser>
        <c:ser>
          <c:idx val="724"/>
          <c:order val="724"/>
          <c:tx>
            <c:strRef>
              <c:f>'2022_Data'!$A$725</c:f>
            </c:strRef>
          </c:tx>
          <c:dLbls>
            <c:dLblPos val="ctr"/>
            <c:showLegendKey val="0"/>
            <c:showVal val="0"/>
            <c:showCatName val="0"/>
            <c:showSerName val="1"/>
            <c:showPercent val="0"/>
            <c:showBubbleSize val="0"/>
          </c:dLbls>
          <c:xVal>
            <c:strRef>
              <c:f>'2022_Data'!$F$725</c:f>
            </c:strRef>
          </c:xVal>
          <c:yVal>
            <c:numRef>
              <c:f>'2022_Data'!$E$725</c:f>
              <c:numCache/>
            </c:numRef>
          </c:yVal>
          <c:bubbleSize>
            <c:numRef>
              <c:f>'2022_Data'!$G$725</c:f>
            </c:numRef>
          </c:bubbleSize>
        </c:ser>
        <c:ser>
          <c:idx val="725"/>
          <c:order val="725"/>
          <c:tx>
            <c:strRef>
              <c:f>'2022_Data'!$A$726</c:f>
            </c:strRef>
          </c:tx>
          <c:dLbls>
            <c:dLblPos val="ctr"/>
            <c:showLegendKey val="0"/>
            <c:showVal val="0"/>
            <c:showCatName val="0"/>
            <c:showSerName val="1"/>
            <c:showPercent val="0"/>
            <c:showBubbleSize val="0"/>
          </c:dLbls>
          <c:xVal>
            <c:strRef>
              <c:f>'2022_Data'!$F$726</c:f>
            </c:strRef>
          </c:xVal>
          <c:yVal>
            <c:numRef>
              <c:f>'2022_Data'!$E$726</c:f>
              <c:numCache/>
            </c:numRef>
          </c:yVal>
          <c:bubbleSize>
            <c:numRef>
              <c:f>'2022_Data'!$G$726</c:f>
            </c:numRef>
          </c:bubbleSize>
        </c:ser>
        <c:ser>
          <c:idx val="726"/>
          <c:order val="726"/>
          <c:tx>
            <c:strRef>
              <c:f>'2022_Data'!$A$727</c:f>
            </c:strRef>
          </c:tx>
          <c:dLbls>
            <c:dLblPos val="ctr"/>
            <c:showLegendKey val="0"/>
            <c:showVal val="0"/>
            <c:showCatName val="0"/>
            <c:showSerName val="1"/>
            <c:showPercent val="0"/>
            <c:showBubbleSize val="0"/>
          </c:dLbls>
          <c:xVal>
            <c:strRef>
              <c:f>'2022_Data'!$F$727</c:f>
            </c:strRef>
          </c:xVal>
          <c:yVal>
            <c:numRef>
              <c:f>'2022_Data'!$E$727</c:f>
              <c:numCache/>
            </c:numRef>
          </c:yVal>
          <c:bubbleSize>
            <c:numRef>
              <c:f>'2022_Data'!$G$727</c:f>
            </c:numRef>
          </c:bubbleSize>
        </c:ser>
        <c:ser>
          <c:idx val="727"/>
          <c:order val="727"/>
          <c:tx>
            <c:strRef>
              <c:f>'2022_Data'!$A$728</c:f>
            </c:strRef>
          </c:tx>
          <c:dLbls>
            <c:dLblPos val="ctr"/>
            <c:showLegendKey val="0"/>
            <c:showVal val="0"/>
            <c:showCatName val="0"/>
            <c:showSerName val="1"/>
            <c:showPercent val="0"/>
            <c:showBubbleSize val="0"/>
          </c:dLbls>
          <c:xVal>
            <c:strRef>
              <c:f>'2022_Data'!$F$728</c:f>
            </c:strRef>
          </c:xVal>
          <c:yVal>
            <c:numRef>
              <c:f>'2022_Data'!$E$728</c:f>
              <c:numCache/>
            </c:numRef>
          </c:yVal>
          <c:bubbleSize>
            <c:numRef>
              <c:f>'2022_Data'!$G$728</c:f>
            </c:numRef>
          </c:bubbleSize>
        </c:ser>
        <c:ser>
          <c:idx val="728"/>
          <c:order val="728"/>
          <c:tx>
            <c:strRef>
              <c:f>'2022_Data'!$A$729</c:f>
            </c:strRef>
          </c:tx>
          <c:dLbls>
            <c:dLblPos val="ctr"/>
            <c:showLegendKey val="0"/>
            <c:showVal val="0"/>
            <c:showCatName val="0"/>
            <c:showSerName val="1"/>
            <c:showPercent val="0"/>
            <c:showBubbleSize val="0"/>
          </c:dLbls>
          <c:xVal>
            <c:strRef>
              <c:f>'2022_Data'!$F$729</c:f>
            </c:strRef>
          </c:xVal>
          <c:yVal>
            <c:numRef>
              <c:f>'2022_Data'!$E$729</c:f>
              <c:numCache/>
            </c:numRef>
          </c:yVal>
          <c:bubbleSize>
            <c:numRef>
              <c:f>'2022_Data'!$G$729</c:f>
            </c:numRef>
          </c:bubbleSize>
        </c:ser>
        <c:ser>
          <c:idx val="729"/>
          <c:order val="729"/>
          <c:tx>
            <c:strRef>
              <c:f>'2022_Data'!$A$730</c:f>
            </c:strRef>
          </c:tx>
          <c:dLbls>
            <c:dLblPos val="ctr"/>
            <c:showLegendKey val="0"/>
            <c:showVal val="0"/>
            <c:showCatName val="0"/>
            <c:showSerName val="1"/>
            <c:showPercent val="0"/>
            <c:showBubbleSize val="0"/>
          </c:dLbls>
          <c:xVal>
            <c:strRef>
              <c:f>'2022_Data'!$F$730</c:f>
            </c:strRef>
          </c:xVal>
          <c:yVal>
            <c:numRef>
              <c:f>'2022_Data'!$E$730</c:f>
              <c:numCache/>
            </c:numRef>
          </c:yVal>
          <c:bubbleSize>
            <c:numRef>
              <c:f>'2022_Data'!$G$730</c:f>
            </c:numRef>
          </c:bubbleSize>
        </c:ser>
        <c:ser>
          <c:idx val="730"/>
          <c:order val="730"/>
          <c:tx>
            <c:strRef>
              <c:f>'2022_Data'!$A$731</c:f>
            </c:strRef>
          </c:tx>
          <c:dLbls>
            <c:dLblPos val="ctr"/>
            <c:showLegendKey val="0"/>
            <c:showVal val="0"/>
            <c:showCatName val="0"/>
            <c:showSerName val="1"/>
            <c:showPercent val="0"/>
            <c:showBubbleSize val="0"/>
          </c:dLbls>
          <c:xVal>
            <c:strRef>
              <c:f>'2022_Data'!$F$731</c:f>
            </c:strRef>
          </c:xVal>
          <c:yVal>
            <c:numRef>
              <c:f>'2022_Data'!$E$731</c:f>
              <c:numCache/>
            </c:numRef>
          </c:yVal>
          <c:bubbleSize>
            <c:numRef>
              <c:f>'2022_Data'!$G$731</c:f>
            </c:numRef>
          </c:bubbleSize>
        </c:ser>
        <c:ser>
          <c:idx val="731"/>
          <c:order val="731"/>
          <c:tx>
            <c:strRef>
              <c:f>'2022_Data'!$A$732</c:f>
            </c:strRef>
          </c:tx>
          <c:dLbls>
            <c:dLblPos val="ctr"/>
            <c:showLegendKey val="0"/>
            <c:showVal val="0"/>
            <c:showCatName val="0"/>
            <c:showSerName val="1"/>
            <c:showPercent val="0"/>
            <c:showBubbleSize val="0"/>
          </c:dLbls>
          <c:xVal>
            <c:strRef>
              <c:f>'2022_Data'!$F$732</c:f>
            </c:strRef>
          </c:xVal>
          <c:yVal>
            <c:numRef>
              <c:f>'2022_Data'!$E$732</c:f>
              <c:numCache/>
            </c:numRef>
          </c:yVal>
          <c:bubbleSize>
            <c:numRef>
              <c:f>'2022_Data'!$G$732</c:f>
            </c:numRef>
          </c:bubbleSize>
        </c:ser>
        <c:ser>
          <c:idx val="732"/>
          <c:order val="732"/>
          <c:tx>
            <c:strRef>
              <c:f>'2022_Data'!$A$733</c:f>
            </c:strRef>
          </c:tx>
          <c:dLbls>
            <c:dLblPos val="ctr"/>
            <c:showLegendKey val="0"/>
            <c:showVal val="0"/>
            <c:showCatName val="0"/>
            <c:showSerName val="1"/>
            <c:showPercent val="0"/>
            <c:showBubbleSize val="0"/>
          </c:dLbls>
          <c:xVal>
            <c:strRef>
              <c:f>'2022_Data'!$F$733</c:f>
            </c:strRef>
          </c:xVal>
          <c:yVal>
            <c:numRef>
              <c:f>'2022_Data'!$E$733</c:f>
              <c:numCache/>
            </c:numRef>
          </c:yVal>
          <c:bubbleSize>
            <c:numRef>
              <c:f>'2022_Data'!$G$733</c:f>
            </c:numRef>
          </c:bubbleSize>
        </c:ser>
        <c:ser>
          <c:idx val="733"/>
          <c:order val="733"/>
          <c:tx>
            <c:strRef>
              <c:f>'2022_Data'!$A$734</c:f>
            </c:strRef>
          </c:tx>
          <c:dLbls>
            <c:dLblPos val="ctr"/>
            <c:showLegendKey val="0"/>
            <c:showVal val="0"/>
            <c:showCatName val="0"/>
            <c:showSerName val="1"/>
            <c:showPercent val="0"/>
            <c:showBubbleSize val="0"/>
          </c:dLbls>
          <c:xVal>
            <c:strRef>
              <c:f>'2022_Data'!$F$734</c:f>
            </c:strRef>
          </c:xVal>
          <c:yVal>
            <c:numRef>
              <c:f>'2022_Data'!$E$734</c:f>
              <c:numCache/>
            </c:numRef>
          </c:yVal>
          <c:bubbleSize>
            <c:numRef>
              <c:f>'2022_Data'!$G$734</c:f>
            </c:numRef>
          </c:bubbleSize>
        </c:ser>
        <c:ser>
          <c:idx val="734"/>
          <c:order val="734"/>
          <c:tx>
            <c:strRef>
              <c:f>'2022_Data'!$A$735</c:f>
            </c:strRef>
          </c:tx>
          <c:dLbls>
            <c:dLblPos val="ctr"/>
            <c:showLegendKey val="0"/>
            <c:showVal val="0"/>
            <c:showCatName val="0"/>
            <c:showSerName val="1"/>
            <c:showPercent val="0"/>
            <c:showBubbleSize val="0"/>
          </c:dLbls>
          <c:xVal>
            <c:strRef>
              <c:f>'2022_Data'!$F$735</c:f>
            </c:strRef>
          </c:xVal>
          <c:yVal>
            <c:numRef>
              <c:f>'2022_Data'!$E$735</c:f>
              <c:numCache/>
            </c:numRef>
          </c:yVal>
          <c:bubbleSize>
            <c:numRef>
              <c:f>'2022_Data'!$G$735</c:f>
            </c:numRef>
          </c:bubbleSize>
        </c:ser>
        <c:ser>
          <c:idx val="735"/>
          <c:order val="735"/>
          <c:tx>
            <c:strRef>
              <c:f>'2022_Data'!$A$736</c:f>
            </c:strRef>
          </c:tx>
          <c:dLbls>
            <c:dLblPos val="ctr"/>
            <c:showLegendKey val="0"/>
            <c:showVal val="0"/>
            <c:showCatName val="0"/>
            <c:showSerName val="1"/>
            <c:showPercent val="0"/>
            <c:showBubbleSize val="0"/>
          </c:dLbls>
          <c:xVal>
            <c:strRef>
              <c:f>'2022_Data'!$F$736</c:f>
            </c:strRef>
          </c:xVal>
          <c:yVal>
            <c:numRef>
              <c:f>'2022_Data'!$E$736</c:f>
              <c:numCache/>
            </c:numRef>
          </c:yVal>
          <c:bubbleSize>
            <c:numRef>
              <c:f>'2022_Data'!$G$736</c:f>
            </c:numRef>
          </c:bubbleSize>
        </c:ser>
        <c:ser>
          <c:idx val="736"/>
          <c:order val="736"/>
          <c:tx>
            <c:strRef>
              <c:f>'2022_Data'!$A$737</c:f>
            </c:strRef>
          </c:tx>
          <c:dLbls>
            <c:dLblPos val="ctr"/>
            <c:showLegendKey val="0"/>
            <c:showVal val="0"/>
            <c:showCatName val="0"/>
            <c:showSerName val="1"/>
            <c:showPercent val="0"/>
            <c:showBubbleSize val="0"/>
          </c:dLbls>
          <c:xVal>
            <c:strRef>
              <c:f>'2022_Data'!$F$737</c:f>
            </c:strRef>
          </c:xVal>
          <c:yVal>
            <c:numRef>
              <c:f>'2022_Data'!$E$737</c:f>
              <c:numCache/>
            </c:numRef>
          </c:yVal>
          <c:bubbleSize>
            <c:numRef>
              <c:f>'2022_Data'!$G$737</c:f>
            </c:numRef>
          </c:bubbleSize>
        </c:ser>
        <c:ser>
          <c:idx val="737"/>
          <c:order val="737"/>
          <c:tx>
            <c:strRef>
              <c:f>'2022_Data'!$A$738</c:f>
            </c:strRef>
          </c:tx>
          <c:dLbls>
            <c:dLblPos val="ctr"/>
            <c:showLegendKey val="0"/>
            <c:showVal val="0"/>
            <c:showCatName val="0"/>
            <c:showSerName val="1"/>
            <c:showPercent val="0"/>
            <c:showBubbleSize val="0"/>
          </c:dLbls>
          <c:xVal>
            <c:strRef>
              <c:f>'2022_Data'!$F$738</c:f>
            </c:strRef>
          </c:xVal>
          <c:yVal>
            <c:numRef>
              <c:f>'2022_Data'!$E$738</c:f>
              <c:numCache/>
            </c:numRef>
          </c:yVal>
          <c:bubbleSize>
            <c:numRef>
              <c:f>'2022_Data'!$G$738</c:f>
            </c:numRef>
          </c:bubbleSize>
        </c:ser>
        <c:ser>
          <c:idx val="738"/>
          <c:order val="738"/>
          <c:tx>
            <c:strRef>
              <c:f>'2022_Data'!$A$739</c:f>
            </c:strRef>
          </c:tx>
          <c:dLbls>
            <c:dLblPos val="ctr"/>
            <c:showLegendKey val="0"/>
            <c:showVal val="0"/>
            <c:showCatName val="0"/>
            <c:showSerName val="1"/>
            <c:showPercent val="0"/>
            <c:showBubbleSize val="0"/>
          </c:dLbls>
          <c:xVal>
            <c:strRef>
              <c:f>'2022_Data'!$F$739</c:f>
            </c:strRef>
          </c:xVal>
          <c:yVal>
            <c:numRef>
              <c:f>'2022_Data'!$E$739</c:f>
              <c:numCache/>
            </c:numRef>
          </c:yVal>
          <c:bubbleSize>
            <c:numRef>
              <c:f>'2022_Data'!$G$739</c:f>
            </c:numRef>
          </c:bubbleSize>
        </c:ser>
        <c:ser>
          <c:idx val="739"/>
          <c:order val="739"/>
          <c:tx>
            <c:strRef>
              <c:f>'2022_Data'!$A$740</c:f>
            </c:strRef>
          </c:tx>
          <c:dLbls>
            <c:dLblPos val="ctr"/>
            <c:showLegendKey val="0"/>
            <c:showVal val="0"/>
            <c:showCatName val="0"/>
            <c:showSerName val="1"/>
            <c:showPercent val="0"/>
            <c:showBubbleSize val="0"/>
          </c:dLbls>
          <c:xVal>
            <c:strRef>
              <c:f>'2022_Data'!$F$740</c:f>
            </c:strRef>
          </c:xVal>
          <c:yVal>
            <c:numRef>
              <c:f>'2022_Data'!$E$740</c:f>
              <c:numCache/>
            </c:numRef>
          </c:yVal>
          <c:bubbleSize>
            <c:numRef>
              <c:f>'2022_Data'!$G$740</c:f>
            </c:numRef>
          </c:bubbleSize>
        </c:ser>
        <c:ser>
          <c:idx val="740"/>
          <c:order val="740"/>
          <c:tx>
            <c:strRef>
              <c:f>'2022_Data'!$A$741</c:f>
            </c:strRef>
          </c:tx>
          <c:dLbls>
            <c:dLblPos val="ctr"/>
            <c:showLegendKey val="0"/>
            <c:showVal val="0"/>
            <c:showCatName val="0"/>
            <c:showSerName val="1"/>
            <c:showPercent val="0"/>
            <c:showBubbleSize val="0"/>
          </c:dLbls>
          <c:xVal>
            <c:strRef>
              <c:f>'2022_Data'!$F$741</c:f>
            </c:strRef>
          </c:xVal>
          <c:yVal>
            <c:numRef>
              <c:f>'2022_Data'!$E$741</c:f>
              <c:numCache/>
            </c:numRef>
          </c:yVal>
          <c:bubbleSize>
            <c:numRef>
              <c:f>'2022_Data'!$G$741</c:f>
            </c:numRef>
          </c:bubbleSize>
        </c:ser>
        <c:ser>
          <c:idx val="741"/>
          <c:order val="741"/>
          <c:tx>
            <c:strRef>
              <c:f>'2022_Data'!$A$742</c:f>
            </c:strRef>
          </c:tx>
          <c:dLbls>
            <c:dLblPos val="ctr"/>
            <c:showLegendKey val="0"/>
            <c:showVal val="0"/>
            <c:showCatName val="0"/>
            <c:showSerName val="1"/>
            <c:showPercent val="0"/>
            <c:showBubbleSize val="0"/>
          </c:dLbls>
          <c:xVal>
            <c:strRef>
              <c:f>'2022_Data'!$F$742</c:f>
            </c:strRef>
          </c:xVal>
          <c:yVal>
            <c:numRef>
              <c:f>'2022_Data'!$E$742</c:f>
              <c:numCache/>
            </c:numRef>
          </c:yVal>
          <c:bubbleSize>
            <c:numRef>
              <c:f>'2022_Data'!$G$742</c:f>
            </c:numRef>
          </c:bubbleSize>
        </c:ser>
        <c:ser>
          <c:idx val="742"/>
          <c:order val="742"/>
          <c:tx>
            <c:strRef>
              <c:f>'2022_Data'!$A$743</c:f>
            </c:strRef>
          </c:tx>
          <c:dLbls>
            <c:dLblPos val="ctr"/>
            <c:showLegendKey val="0"/>
            <c:showVal val="0"/>
            <c:showCatName val="0"/>
            <c:showSerName val="1"/>
            <c:showPercent val="0"/>
            <c:showBubbleSize val="0"/>
          </c:dLbls>
          <c:xVal>
            <c:strRef>
              <c:f>'2022_Data'!$F$743</c:f>
            </c:strRef>
          </c:xVal>
          <c:yVal>
            <c:numRef>
              <c:f>'2022_Data'!$E$743</c:f>
              <c:numCache/>
            </c:numRef>
          </c:yVal>
          <c:bubbleSize>
            <c:numRef>
              <c:f>'2022_Data'!$G$743</c:f>
            </c:numRef>
          </c:bubbleSize>
        </c:ser>
        <c:ser>
          <c:idx val="743"/>
          <c:order val="743"/>
          <c:tx>
            <c:strRef>
              <c:f>'2022_Data'!$A$744</c:f>
            </c:strRef>
          </c:tx>
          <c:dLbls>
            <c:dLblPos val="ctr"/>
            <c:showLegendKey val="0"/>
            <c:showVal val="0"/>
            <c:showCatName val="0"/>
            <c:showSerName val="1"/>
            <c:showPercent val="0"/>
            <c:showBubbleSize val="0"/>
          </c:dLbls>
          <c:xVal>
            <c:strRef>
              <c:f>'2022_Data'!$F$744</c:f>
            </c:strRef>
          </c:xVal>
          <c:yVal>
            <c:numRef>
              <c:f>'2022_Data'!$E$744</c:f>
              <c:numCache/>
            </c:numRef>
          </c:yVal>
          <c:bubbleSize>
            <c:numRef>
              <c:f>'2022_Data'!$G$744</c:f>
            </c:numRef>
          </c:bubbleSize>
        </c:ser>
        <c:ser>
          <c:idx val="744"/>
          <c:order val="744"/>
          <c:tx>
            <c:strRef>
              <c:f>'2022_Data'!$A$745</c:f>
            </c:strRef>
          </c:tx>
          <c:dLbls>
            <c:dLblPos val="ctr"/>
            <c:showLegendKey val="0"/>
            <c:showVal val="0"/>
            <c:showCatName val="0"/>
            <c:showSerName val="1"/>
            <c:showPercent val="0"/>
            <c:showBubbleSize val="0"/>
          </c:dLbls>
          <c:xVal>
            <c:strRef>
              <c:f>'2022_Data'!$F$745</c:f>
            </c:strRef>
          </c:xVal>
          <c:yVal>
            <c:numRef>
              <c:f>'2022_Data'!$E$745</c:f>
              <c:numCache/>
            </c:numRef>
          </c:yVal>
          <c:bubbleSize>
            <c:numRef>
              <c:f>'2022_Data'!$G$745</c:f>
            </c:numRef>
          </c:bubbleSize>
        </c:ser>
        <c:ser>
          <c:idx val="745"/>
          <c:order val="745"/>
          <c:tx>
            <c:strRef>
              <c:f>'2022_Data'!$A$746</c:f>
            </c:strRef>
          </c:tx>
          <c:dLbls>
            <c:dLblPos val="ctr"/>
            <c:showLegendKey val="0"/>
            <c:showVal val="0"/>
            <c:showCatName val="0"/>
            <c:showSerName val="1"/>
            <c:showPercent val="0"/>
            <c:showBubbleSize val="0"/>
          </c:dLbls>
          <c:xVal>
            <c:strRef>
              <c:f>'2022_Data'!$F$746</c:f>
            </c:strRef>
          </c:xVal>
          <c:yVal>
            <c:numRef>
              <c:f>'2022_Data'!$E$746</c:f>
              <c:numCache/>
            </c:numRef>
          </c:yVal>
          <c:bubbleSize>
            <c:numRef>
              <c:f>'2022_Data'!$G$746</c:f>
            </c:numRef>
          </c:bubbleSize>
        </c:ser>
        <c:ser>
          <c:idx val="746"/>
          <c:order val="746"/>
          <c:tx>
            <c:strRef>
              <c:f>'2022_Data'!$A$747</c:f>
            </c:strRef>
          </c:tx>
          <c:dLbls>
            <c:dLblPos val="ctr"/>
            <c:showLegendKey val="0"/>
            <c:showVal val="0"/>
            <c:showCatName val="0"/>
            <c:showSerName val="1"/>
            <c:showPercent val="0"/>
            <c:showBubbleSize val="0"/>
          </c:dLbls>
          <c:xVal>
            <c:strRef>
              <c:f>'2022_Data'!$F$747</c:f>
            </c:strRef>
          </c:xVal>
          <c:yVal>
            <c:numRef>
              <c:f>'2022_Data'!$E$747</c:f>
              <c:numCache/>
            </c:numRef>
          </c:yVal>
          <c:bubbleSize>
            <c:numRef>
              <c:f>'2022_Data'!$G$747</c:f>
            </c:numRef>
          </c:bubbleSize>
        </c:ser>
        <c:ser>
          <c:idx val="747"/>
          <c:order val="747"/>
          <c:tx>
            <c:strRef>
              <c:f>'2022_Data'!$A$748</c:f>
            </c:strRef>
          </c:tx>
          <c:dLbls>
            <c:dLblPos val="ctr"/>
            <c:showLegendKey val="0"/>
            <c:showVal val="0"/>
            <c:showCatName val="0"/>
            <c:showSerName val="1"/>
            <c:showPercent val="0"/>
            <c:showBubbleSize val="0"/>
          </c:dLbls>
          <c:xVal>
            <c:strRef>
              <c:f>'2022_Data'!$F$748</c:f>
            </c:strRef>
          </c:xVal>
          <c:yVal>
            <c:numRef>
              <c:f>'2022_Data'!$E$748</c:f>
              <c:numCache/>
            </c:numRef>
          </c:yVal>
          <c:bubbleSize>
            <c:numRef>
              <c:f>'2022_Data'!$G$748</c:f>
            </c:numRef>
          </c:bubbleSize>
        </c:ser>
        <c:ser>
          <c:idx val="748"/>
          <c:order val="748"/>
          <c:tx>
            <c:strRef>
              <c:f>'2022_Data'!$A$749</c:f>
            </c:strRef>
          </c:tx>
          <c:dLbls>
            <c:dLblPos val="ctr"/>
            <c:showLegendKey val="0"/>
            <c:showVal val="0"/>
            <c:showCatName val="0"/>
            <c:showSerName val="1"/>
            <c:showPercent val="0"/>
            <c:showBubbleSize val="0"/>
          </c:dLbls>
          <c:xVal>
            <c:strRef>
              <c:f>'2022_Data'!$F$749</c:f>
            </c:strRef>
          </c:xVal>
          <c:yVal>
            <c:numRef>
              <c:f>'2022_Data'!$E$749</c:f>
              <c:numCache/>
            </c:numRef>
          </c:yVal>
          <c:bubbleSize>
            <c:numRef>
              <c:f>'2022_Data'!$G$749</c:f>
            </c:numRef>
          </c:bubbleSize>
        </c:ser>
        <c:ser>
          <c:idx val="749"/>
          <c:order val="749"/>
          <c:tx>
            <c:strRef>
              <c:f>'2022_Data'!$A$750</c:f>
            </c:strRef>
          </c:tx>
          <c:dLbls>
            <c:dLblPos val="ctr"/>
            <c:showLegendKey val="0"/>
            <c:showVal val="0"/>
            <c:showCatName val="0"/>
            <c:showSerName val="1"/>
            <c:showPercent val="0"/>
            <c:showBubbleSize val="0"/>
          </c:dLbls>
          <c:xVal>
            <c:strRef>
              <c:f>'2022_Data'!$F$750</c:f>
            </c:strRef>
          </c:xVal>
          <c:yVal>
            <c:numRef>
              <c:f>'2022_Data'!$E$750</c:f>
              <c:numCache/>
            </c:numRef>
          </c:yVal>
          <c:bubbleSize>
            <c:numRef>
              <c:f>'2022_Data'!$G$750</c:f>
            </c:numRef>
          </c:bubbleSize>
        </c:ser>
        <c:ser>
          <c:idx val="750"/>
          <c:order val="750"/>
          <c:tx>
            <c:strRef>
              <c:f>'2022_Data'!$A$751</c:f>
            </c:strRef>
          </c:tx>
          <c:dLbls>
            <c:dLblPos val="ctr"/>
            <c:showLegendKey val="0"/>
            <c:showVal val="0"/>
            <c:showCatName val="0"/>
            <c:showSerName val="1"/>
            <c:showPercent val="0"/>
            <c:showBubbleSize val="0"/>
          </c:dLbls>
          <c:xVal>
            <c:strRef>
              <c:f>'2022_Data'!$F$751</c:f>
            </c:strRef>
          </c:xVal>
          <c:yVal>
            <c:numRef>
              <c:f>'2022_Data'!$E$751</c:f>
              <c:numCache/>
            </c:numRef>
          </c:yVal>
          <c:bubbleSize>
            <c:numRef>
              <c:f>'2022_Data'!$G$751</c:f>
            </c:numRef>
          </c:bubbleSize>
        </c:ser>
        <c:ser>
          <c:idx val="751"/>
          <c:order val="751"/>
          <c:tx>
            <c:strRef>
              <c:f>'2022_Data'!$A$752</c:f>
            </c:strRef>
          </c:tx>
          <c:dLbls>
            <c:dLblPos val="ctr"/>
            <c:showLegendKey val="0"/>
            <c:showVal val="0"/>
            <c:showCatName val="0"/>
            <c:showSerName val="1"/>
            <c:showPercent val="0"/>
            <c:showBubbleSize val="0"/>
          </c:dLbls>
          <c:xVal>
            <c:strRef>
              <c:f>'2022_Data'!$F$752</c:f>
            </c:strRef>
          </c:xVal>
          <c:yVal>
            <c:numRef>
              <c:f>'2022_Data'!$E$752</c:f>
              <c:numCache/>
            </c:numRef>
          </c:yVal>
          <c:bubbleSize>
            <c:numRef>
              <c:f>'2022_Data'!$G$752</c:f>
            </c:numRef>
          </c:bubbleSize>
        </c:ser>
        <c:ser>
          <c:idx val="752"/>
          <c:order val="752"/>
          <c:tx>
            <c:strRef>
              <c:f>'2022_Data'!$A$753</c:f>
            </c:strRef>
          </c:tx>
          <c:dLbls>
            <c:dLblPos val="ctr"/>
            <c:showLegendKey val="0"/>
            <c:showVal val="0"/>
            <c:showCatName val="0"/>
            <c:showSerName val="1"/>
            <c:showPercent val="0"/>
            <c:showBubbleSize val="0"/>
          </c:dLbls>
          <c:xVal>
            <c:strRef>
              <c:f>'2022_Data'!$F$753</c:f>
            </c:strRef>
          </c:xVal>
          <c:yVal>
            <c:numRef>
              <c:f>'2022_Data'!$E$753</c:f>
              <c:numCache/>
            </c:numRef>
          </c:yVal>
          <c:bubbleSize>
            <c:numRef>
              <c:f>'2022_Data'!$G$753</c:f>
            </c:numRef>
          </c:bubbleSize>
        </c:ser>
        <c:ser>
          <c:idx val="753"/>
          <c:order val="753"/>
          <c:tx>
            <c:strRef>
              <c:f>'2022_Data'!$A$754</c:f>
            </c:strRef>
          </c:tx>
          <c:dLbls>
            <c:dLblPos val="ctr"/>
            <c:showLegendKey val="0"/>
            <c:showVal val="0"/>
            <c:showCatName val="0"/>
            <c:showSerName val="1"/>
            <c:showPercent val="0"/>
            <c:showBubbleSize val="0"/>
          </c:dLbls>
          <c:xVal>
            <c:strRef>
              <c:f>'2022_Data'!$F$754</c:f>
            </c:strRef>
          </c:xVal>
          <c:yVal>
            <c:numRef>
              <c:f>'2022_Data'!$E$754</c:f>
              <c:numCache/>
            </c:numRef>
          </c:yVal>
          <c:bubbleSize>
            <c:numRef>
              <c:f>'2022_Data'!$G$754</c:f>
            </c:numRef>
          </c:bubbleSize>
        </c:ser>
        <c:ser>
          <c:idx val="754"/>
          <c:order val="754"/>
          <c:tx>
            <c:strRef>
              <c:f>'2022_Data'!$A$755</c:f>
            </c:strRef>
          </c:tx>
          <c:dLbls>
            <c:dLblPos val="ctr"/>
            <c:showLegendKey val="0"/>
            <c:showVal val="0"/>
            <c:showCatName val="0"/>
            <c:showSerName val="1"/>
            <c:showPercent val="0"/>
            <c:showBubbleSize val="0"/>
          </c:dLbls>
          <c:xVal>
            <c:strRef>
              <c:f>'2022_Data'!$F$755</c:f>
            </c:strRef>
          </c:xVal>
          <c:yVal>
            <c:numRef>
              <c:f>'2022_Data'!$E$755</c:f>
              <c:numCache/>
            </c:numRef>
          </c:yVal>
          <c:bubbleSize>
            <c:numRef>
              <c:f>'2022_Data'!$G$755</c:f>
            </c:numRef>
          </c:bubbleSize>
        </c:ser>
        <c:ser>
          <c:idx val="755"/>
          <c:order val="755"/>
          <c:tx>
            <c:strRef>
              <c:f>'2022_Data'!$A$756</c:f>
            </c:strRef>
          </c:tx>
          <c:dLbls>
            <c:dLblPos val="ctr"/>
            <c:showLegendKey val="0"/>
            <c:showVal val="0"/>
            <c:showCatName val="0"/>
            <c:showSerName val="1"/>
            <c:showPercent val="0"/>
            <c:showBubbleSize val="0"/>
          </c:dLbls>
          <c:xVal>
            <c:strRef>
              <c:f>'2022_Data'!$F$756</c:f>
            </c:strRef>
          </c:xVal>
          <c:yVal>
            <c:numRef>
              <c:f>'2022_Data'!$E$756</c:f>
              <c:numCache/>
            </c:numRef>
          </c:yVal>
          <c:bubbleSize>
            <c:numRef>
              <c:f>'2022_Data'!$G$756</c:f>
            </c:numRef>
          </c:bubbleSize>
        </c:ser>
        <c:ser>
          <c:idx val="756"/>
          <c:order val="756"/>
          <c:tx>
            <c:strRef>
              <c:f>'2022_Data'!$A$757</c:f>
            </c:strRef>
          </c:tx>
          <c:dLbls>
            <c:dLblPos val="ctr"/>
            <c:showLegendKey val="0"/>
            <c:showVal val="0"/>
            <c:showCatName val="0"/>
            <c:showSerName val="1"/>
            <c:showPercent val="0"/>
            <c:showBubbleSize val="0"/>
          </c:dLbls>
          <c:xVal>
            <c:strRef>
              <c:f>'2022_Data'!$F$757</c:f>
            </c:strRef>
          </c:xVal>
          <c:yVal>
            <c:numRef>
              <c:f>'2022_Data'!$E$757</c:f>
              <c:numCache/>
            </c:numRef>
          </c:yVal>
          <c:bubbleSize>
            <c:numRef>
              <c:f>'2022_Data'!$G$757</c:f>
            </c:numRef>
          </c:bubbleSize>
        </c:ser>
        <c:ser>
          <c:idx val="757"/>
          <c:order val="757"/>
          <c:tx>
            <c:strRef>
              <c:f>'2022_Data'!$A$758</c:f>
            </c:strRef>
          </c:tx>
          <c:dLbls>
            <c:dLblPos val="ctr"/>
            <c:showLegendKey val="0"/>
            <c:showVal val="0"/>
            <c:showCatName val="0"/>
            <c:showSerName val="1"/>
            <c:showPercent val="0"/>
            <c:showBubbleSize val="0"/>
          </c:dLbls>
          <c:xVal>
            <c:strRef>
              <c:f>'2022_Data'!$F$758</c:f>
            </c:strRef>
          </c:xVal>
          <c:yVal>
            <c:numRef>
              <c:f>'2022_Data'!$E$758</c:f>
              <c:numCache/>
            </c:numRef>
          </c:yVal>
          <c:bubbleSize>
            <c:numRef>
              <c:f>'2022_Data'!$G$758</c:f>
            </c:numRef>
          </c:bubbleSize>
        </c:ser>
        <c:ser>
          <c:idx val="758"/>
          <c:order val="758"/>
          <c:tx>
            <c:strRef>
              <c:f>'2022_Data'!$A$759</c:f>
            </c:strRef>
          </c:tx>
          <c:dLbls>
            <c:dLblPos val="ctr"/>
            <c:showLegendKey val="0"/>
            <c:showVal val="0"/>
            <c:showCatName val="0"/>
            <c:showSerName val="1"/>
            <c:showPercent val="0"/>
            <c:showBubbleSize val="0"/>
          </c:dLbls>
          <c:xVal>
            <c:strRef>
              <c:f>'2022_Data'!$F$759</c:f>
            </c:strRef>
          </c:xVal>
          <c:yVal>
            <c:numRef>
              <c:f>'2022_Data'!$E$759</c:f>
              <c:numCache/>
            </c:numRef>
          </c:yVal>
          <c:bubbleSize>
            <c:numRef>
              <c:f>'2022_Data'!$G$759</c:f>
            </c:numRef>
          </c:bubbleSize>
        </c:ser>
        <c:ser>
          <c:idx val="759"/>
          <c:order val="759"/>
          <c:tx>
            <c:strRef>
              <c:f>'2022_Data'!$A$760</c:f>
            </c:strRef>
          </c:tx>
          <c:dLbls>
            <c:dLblPos val="ctr"/>
            <c:showLegendKey val="0"/>
            <c:showVal val="0"/>
            <c:showCatName val="0"/>
            <c:showSerName val="1"/>
            <c:showPercent val="0"/>
            <c:showBubbleSize val="0"/>
          </c:dLbls>
          <c:xVal>
            <c:strRef>
              <c:f>'2022_Data'!$F$760</c:f>
            </c:strRef>
          </c:xVal>
          <c:yVal>
            <c:numRef>
              <c:f>'2022_Data'!$E$760</c:f>
              <c:numCache/>
            </c:numRef>
          </c:yVal>
          <c:bubbleSize>
            <c:numRef>
              <c:f>'2022_Data'!$G$760</c:f>
            </c:numRef>
          </c:bubbleSize>
        </c:ser>
        <c:ser>
          <c:idx val="760"/>
          <c:order val="760"/>
          <c:tx>
            <c:strRef>
              <c:f>'2022_Data'!$A$761</c:f>
            </c:strRef>
          </c:tx>
          <c:dLbls>
            <c:dLblPos val="ctr"/>
            <c:showLegendKey val="0"/>
            <c:showVal val="0"/>
            <c:showCatName val="0"/>
            <c:showSerName val="1"/>
            <c:showPercent val="0"/>
            <c:showBubbleSize val="0"/>
          </c:dLbls>
          <c:xVal>
            <c:strRef>
              <c:f>'2022_Data'!$F$761</c:f>
            </c:strRef>
          </c:xVal>
          <c:yVal>
            <c:numRef>
              <c:f>'2022_Data'!$E$761</c:f>
              <c:numCache/>
            </c:numRef>
          </c:yVal>
          <c:bubbleSize>
            <c:numRef>
              <c:f>'2022_Data'!$G$761</c:f>
            </c:numRef>
          </c:bubbleSize>
        </c:ser>
        <c:ser>
          <c:idx val="761"/>
          <c:order val="761"/>
          <c:tx>
            <c:strRef>
              <c:f>'2022_Data'!$A$762</c:f>
            </c:strRef>
          </c:tx>
          <c:dLbls>
            <c:dLblPos val="ctr"/>
            <c:showLegendKey val="0"/>
            <c:showVal val="0"/>
            <c:showCatName val="0"/>
            <c:showSerName val="1"/>
            <c:showPercent val="0"/>
            <c:showBubbleSize val="0"/>
          </c:dLbls>
          <c:xVal>
            <c:strRef>
              <c:f>'2022_Data'!$F$762</c:f>
            </c:strRef>
          </c:xVal>
          <c:yVal>
            <c:numRef>
              <c:f>'2022_Data'!$E$762</c:f>
              <c:numCache/>
            </c:numRef>
          </c:yVal>
          <c:bubbleSize>
            <c:numRef>
              <c:f>'2022_Data'!$G$762</c:f>
            </c:numRef>
          </c:bubbleSize>
        </c:ser>
        <c:ser>
          <c:idx val="762"/>
          <c:order val="762"/>
          <c:tx>
            <c:strRef>
              <c:f>'2022_Data'!$A$763</c:f>
            </c:strRef>
          </c:tx>
          <c:dLbls>
            <c:dLblPos val="ctr"/>
            <c:showLegendKey val="0"/>
            <c:showVal val="0"/>
            <c:showCatName val="0"/>
            <c:showSerName val="1"/>
            <c:showPercent val="0"/>
            <c:showBubbleSize val="0"/>
          </c:dLbls>
          <c:xVal>
            <c:strRef>
              <c:f>'2022_Data'!$F$763</c:f>
            </c:strRef>
          </c:xVal>
          <c:yVal>
            <c:numRef>
              <c:f>'2022_Data'!$E$763</c:f>
              <c:numCache/>
            </c:numRef>
          </c:yVal>
          <c:bubbleSize>
            <c:numRef>
              <c:f>'2022_Data'!$G$763</c:f>
            </c:numRef>
          </c:bubbleSize>
        </c:ser>
        <c:ser>
          <c:idx val="763"/>
          <c:order val="763"/>
          <c:tx>
            <c:strRef>
              <c:f>'2022_Data'!$A$764</c:f>
            </c:strRef>
          </c:tx>
          <c:dLbls>
            <c:dLblPos val="ctr"/>
            <c:showLegendKey val="0"/>
            <c:showVal val="0"/>
            <c:showCatName val="0"/>
            <c:showSerName val="1"/>
            <c:showPercent val="0"/>
            <c:showBubbleSize val="0"/>
          </c:dLbls>
          <c:xVal>
            <c:strRef>
              <c:f>'2022_Data'!$F$764</c:f>
            </c:strRef>
          </c:xVal>
          <c:yVal>
            <c:numRef>
              <c:f>'2022_Data'!$E$764</c:f>
              <c:numCache/>
            </c:numRef>
          </c:yVal>
          <c:bubbleSize>
            <c:numRef>
              <c:f>'2022_Data'!$G$764</c:f>
            </c:numRef>
          </c:bubbleSize>
        </c:ser>
        <c:ser>
          <c:idx val="764"/>
          <c:order val="764"/>
          <c:tx>
            <c:strRef>
              <c:f>'2022_Data'!$A$765</c:f>
            </c:strRef>
          </c:tx>
          <c:dLbls>
            <c:dLblPos val="ctr"/>
            <c:showLegendKey val="0"/>
            <c:showVal val="0"/>
            <c:showCatName val="0"/>
            <c:showSerName val="1"/>
            <c:showPercent val="0"/>
            <c:showBubbleSize val="0"/>
          </c:dLbls>
          <c:xVal>
            <c:strRef>
              <c:f>'2022_Data'!$F$765</c:f>
            </c:strRef>
          </c:xVal>
          <c:yVal>
            <c:numRef>
              <c:f>'2022_Data'!$E$765</c:f>
              <c:numCache/>
            </c:numRef>
          </c:yVal>
          <c:bubbleSize>
            <c:numRef>
              <c:f>'2022_Data'!$G$765</c:f>
            </c:numRef>
          </c:bubbleSize>
        </c:ser>
        <c:ser>
          <c:idx val="765"/>
          <c:order val="765"/>
          <c:tx>
            <c:strRef>
              <c:f>'2022_Data'!$A$766</c:f>
            </c:strRef>
          </c:tx>
          <c:dLbls>
            <c:dLblPos val="ctr"/>
            <c:showLegendKey val="0"/>
            <c:showVal val="0"/>
            <c:showCatName val="0"/>
            <c:showSerName val="1"/>
            <c:showPercent val="0"/>
            <c:showBubbleSize val="0"/>
          </c:dLbls>
          <c:xVal>
            <c:strRef>
              <c:f>'2022_Data'!$F$766</c:f>
            </c:strRef>
          </c:xVal>
          <c:yVal>
            <c:numRef>
              <c:f>'2022_Data'!$E$766</c:f>
              <c:numCache/>
            </c:numRef>
          </c:yVal>
          <c:bubbleSize>
            <c:numRef>
              <c:f>'2022_Data'!$G$766</c:f>
            </c:numRef>
          </c:bubbleSize>
        </c:ser>
        <c:ser>
          <c:idx val="766"/>
          <c:order val="766"/>
          <c:tx>
            <c:strRef>
              <c:f>'2022_Data'!$A$767</c:f>
            </c:strRef>
          </c:tx>
          <c:dLbls>
            <c:dLblPos val="ctr"/>
            <c:showLegendKey val="0"/>
            <c:showVal val="0"/>
            <c:showCatName val="0"/>
            <c:showSerName val="1"/>
            <c:showPercent val="0"/>
            <c:showBubbleSize val="0"/>
          </c:dLbls>
          <c:xVal>
            <c:strRef>
              <c:f>'2022_Data'!$F$767</c:f>
            </c:strRef>
          </c:xVal>
          <c:yVal>
            <c:numRef>
              <c:f>'2022_Data'!$E$767</c:f>
              <c:numCache/>
            </c:numRef>
          </c:yVal>
          <c:bubbleSize>
            <c:numRef>
              <c:f>'2022_Data'!$G$767</c:f>
            </c:numRef>
          </c:bubbleSize>
        </c:ser>
        <c:ser>
          <c:idx val="767"/>
          <c:order val="767"/>
          <c:tx>
            <c:strRef>
              <c:f>'2022_Data'!$A$768</c:f>
            </c:strRef>
          </c:tx>
          <c:dLbls>
            <c:dLblPos val="ctr"/>
            <c:showLegendKey val="0"/>
            <c:showVal val="0"/>
            <c:showCatName val="0"/>
            <c:showSerName val="1"/>
            <c:showPercent val="0"/>
            <c:showBubbleSize val="0"/>
          </c:dLbls>
          <c:xVal>
            <c:strRef>
              <c:f>'2022_Data'!$F$768</c:f>
            </c:strRef>
          </c:xVal>
          <c:yVal>
            <c:numRef>
              <c:f>'2022_Data'!$E$768</c:f>
              <c:numCache/>
            </c:numRef>
          </c:yVal>
          <c:bubbleSize>
            <c:numRef>
              <c:f>'2022_Data'!$G$768</c:f>
            </c:numRef>
          </c:bubbleSize>
        </c:ser>
        <c:ser>
          <c:idx val="768"/>
          <c:order val="768"/>
          <c:tx>
            <c:strRef>
              <c:f>'2022_Data'!$A$769</c:f>
            </c:strRef>
          </c:tx>
          <c:dLbls>
            <c:dLblPos val="ctr"/>
            <c:showLegendKey val="0"/>
            <c:showVal val="0"/>
            <c:showCatName val="0"/>
            <c:showSerName val="1"/>
            <c:showPercent val="0"/>
            <c:showBubbleSize val="0"/>
          </c:dLbls>
          <c:xVal>
            <c:strRef>
              <c:f>'2022_Data'!$F$769</c:f>
            </c:strRef>
          </c:xVal>
          <c:yVal>
            <c:numRef>
              <c:f>'2022_Data'!$E$769</c:f>
              <c:numCache/>
            </c:numRef>
          </c:yVal>
          <c:bubbleSize>
            <c:numRef>
              <c:f>'2022_Data'!$G$769</c:f>
            </c:numRef>
          </c:bubbleSize>
        </c:ser>
        <c:ser>
          <c:idx val="769"/>
          <c:order val="769"/>
          <c:tx>
            <c:strRef>
              <c:f>'2022_Data'!$A$770</c:f>
            </c:strRef>
          </c:tx>
          <c:dLbls>
            <c:dLblPos val="ctr"/>
            <c:showLegendKey val="0"/>
            <c:showVal val="0"/>
            <c:showCatName val="0"/>
            <c:showSerName val="1"/>
            <c:showPercent val="0"/>
            <c:showBubbleSize val="0"/>
          </c:dLbls>
          <c:xVal>
            <c:strRef>
              <c:f>'2022_Data'!$F$770</c:f>
            </c:strRef>
          </c:xVal>
          <c:yVal>
            <c:numRef>
              <c:f>'2022_Data'!$E$770</c:f>
              <c:numCache/>
            </c:numRef>
          </c:yVal>
          <c:bubbleSize>
            <c:numRef>
              <c:f>'2022_Data'!$G$770</c:f>
            </c:numRef>
          </c:bubbleSize>
        </c:ser>
        <c:ser>
          <c:idx val="770"/>
          <c:order val="770"/>
          <c:tx>
            <c:strRef>
              <c:f>'2022_Data'!$A$771</c:f>
            </c:strRef>
          </c:tx>
          <c:dLbls>
            <c:dLblPos val="ctr"/>
            <c:showLegendKey val="0"/>
            <c:showVal val="0"/>
            <c:showCatName val="0"/>
            <c:showSerName val="1"/>
            <c:showPercent val="0"/>
            <c:showBubbleSize val="0"/>
          </c:dLbls>
          <c:xVal>
            <c:strRef>
              <c:f>'2022_Data'!$F$771</c:f>
            </c:strRef>
          </c:xVal>
          <c:yVal>
            <c:numRef>
              <c:f>'2022_Data'!$E$771</c:f>
              <c:numCache/>
            </c:numRef>
          </c:yVal>
          <c:bubbleSize>
            <c:numRef>
              <c:f>'2022_Data'!$G$771</c:f>
            </c:numRef>
          </c:bubbleSize>
        </c:ser>
        <c:ser>
          <c:idx val="771"/>
          <c:order val="771"/>
          <c:tx>
            <c:strRef>
              <c:f>'2022_Data'!$A$772</c:f>
            </c:strRef>
          </c:tx>
          <c:dLbls>
            <c:dLblPos val="ctr"/>
            <c:showLegendKey val="0"/>
            <c:showVal val="0"/>
            <c:showCatName val="0"/>
            <c:showSerName val="1"/>
            <c:showPercent val="0"/>
            <c:showBubbleSize val="0"/>
          </c:dLbls>
          <c:xVal>
            <c:strRef>
              <c:f>'2022_Data'!$F$772</c:f>
            </c:strRef>
          </c:xVal>
          <c:yVal>
            <c:numRef>
              <c:f>'2022_Data'!$E$772</c:f>
              <c:numCache/>
            </c:numRef>
          </c:yVal>
          <c:bubbleSize>
            <c:numRef>
              <c:f>'2022_Data'!$G$772</c:f>
            </c:numRef>
          </c:bubbleSize>
        </c:ser>
        <c:ser>
          <c:idx val="772"/>
          <c:order val="772"/>
          <c:tx>
            <c:strRef>
              <c:f>'2022_Data'!$A$773</c:f>
            </c:strRef>
          </c:tx>
          <c:dLbls>
            <c:dLblPos val="ctr"/>
            <c:showLegendKey val="0"/>
            <c:showVal val="0"/>
            <c:showCatName val="0"/>
            <c:showSerName val="1"/>
            <c:showPercent val="0"/>
            <c:showBubbleSize val="0"/>
          </c:dLbls>
          <c:xVal>
            <c:strRef>
              <c:f>'2022_Data'!$F$773</c:f>
            </c:strRef>
          </c:xVal>
          <c:yVal>
            <c:numRef>
              <c:f>'2022_Data'!$E$773</c:f>
              <c:numCache/>
            </c:numRef>
          </c:yVal>
          <c:bubbleSize>
            <c:numRef>
              <c:f>'2022_Data'!$G$773</c:f>
            </c:numRef>
          </c:bubbleSize>
        </c:ser>
        <c:ser>
          <c:idx val="773"/>
          <c:order val="773"/>
          <c:tx>
            <c:strRef>
              <c:f>'2022_Data'!$A$774</c:f>
            </c:strRef>
          </c:tx>
          <c:dLbls>
            <c:dLblPos val="ctr"/>
            <c:showLegendKey val="0"/>
            <c:showVal val="0"/>
            <c:showCatName val="0"/>
            <c:showSerName val="1"/>
            <c:showPercent val="0"/>
            <c:showBubbleSize val="0"/>
          </c:dLbls>
          <c:xVal>
            <c:strRef>
              <c:f>'2022_Data'!$F$774</c:f>
            </c:strRef>
          </c:xVal>
          <c:yVal>
            <c:numRef>
              <c:f>'2022_Data'!$E$774</c:f>
              <c:numCache/>
            </c:numRef>
          </c:yVal>
          <c:bubbleSize>
            <c:numRef>
              <c:f>'2022_Data'!$G$774</c:f>
            </c:numRef>
          </c:bubbleSize>
        </c:ser>
        <c:ser>
          <c:idx val="774"/>
          <c:order val="774"/>
          <c:tx>
            <c:strRef>
              <c:f>'2022_Data'!$A$775</c:f>
            </c:strRef>
          </c:tx>
          <c:dLbls>
            <c:dLblPos val="ctr"/>
            <c:showLegendKey val="0"/>
            <c:showVal val="0"/>
            <c:showCatName val="0"/>
            <c:showSerName val="1"/>
            <c:showPercent val="0"/>
            <c:showBubbleSize val="0"/>
          </c:dLbls>
          <c:xVal>
            <c:strRef>
              <c:f>'2022_Data'!$F$775</c:f>
            </c:strRef>
          </c:xVal>
          <c:yVal>
            <c:numRef>
              <c:f>'2022_Data'!$E$775</c:f>
              <c:numCache/>
            </c:numRef>
          </c:yVal>
          <c:bubbleSize>
            <c:numRef>
              <c:f>'2022_Data'!$G$775</c:f>
            </c:numRef>
          </c:bubbleSize>
        </c:ser>
        <c:ser>
          <c:idx val="775"/>
          <c:order val="775"/>
          <c:tx>
            <c:strRef>
              <c:f>'2022_Data'!$A$776</c:f>
            </c:strRef>
          </c:tx>
          <c:dLbls>
            <c:dLblPos val="ctr"/>
            <c:showLegendKey val="0"/>
            <c:showVal val="0"/>
            <c:showCatName val="0"/>
            <c:showSerName val="1"/>
            <c:showPercent val="0"/>
            <c:showBubbleSize val="0"/>
          </c:dLbls>
          <c:xVal>
            <c:strRef>
              <c:f>'2022_Data'!$F$776</c:f>
            </c:strRef>
          </c:xVal>
          <c:yVal>
            <c:numRef>
              <c:f>'2022_Data'!$E$776</c:f>
              <c:numCache/>
            </c:numRef>
          </c:yVal>
          <c:bubbleSize>
            <c:numRef>
              <c:f>'2022_Data'!$G$776</c:f>
            </c:numRef>
          </c:bubbleSize>
        </c:ser>
        <c:ser>
          <c:idx val="776"/>
          <c:order val="776"/>
          <c:tx>
            <c:strRef>
              <c:f>'2022_Data'!$A$777</c:f>
            </c:strRef>
          </c:tx>
          <c:dLbls>
            <c:dLblPos val="ctr"/>
            <c:showLegendKey val="0"/>
            <c:showVal val="0"/>
            <c:showCatName val="0"/>
            <c:showSerName val="1"/>
            <c:showPercent val="0"/>
            <c:showBubbleSize val="0"/>
          </c:dLbls>
          <c:xVal>
            <c:strRef>
              <c:f>'2022_Data'!$F$777</c:f>
            </c:strRef>
          </c:xVal>
          <c:yVal>
            <c:numRef>
              <c:f>'2022_Data'!$E$777</c:f>
              <c:numCache/>
            </c:numRef>
          </c:yVal>
          <c:bubbleSize>
            <c:numRef>
              <c:f>'2022_Data'!$G$777</c:f>
            </c:numRef>
          </c:bubbleSize>
        </c:ser>
        <c:ser>
          <c:idx val="777"/>
          <c:order val="777"/>
          <c:tx>
            <c:strRef>
              <c:f>'2022_Data'!$A$778</c:f>
            </c:strRef>
          </c:tx>
          <c:dLbls>
            <c:dLblPos val="ctr"/>
            <c:showLegendKey val="0"/>
            <c:showVal val="0"/>
            <c:showCatName val="0"/>
            <c:showSerName val="1"/>
            <c:showPercent val="0"/>
            <c:showBubbleSize val="0"/>
          </c:dLbls>
          <c:xVal>
            <c:strRef>
              <c:f>'2022_Data'!$F$778</c:f>
            </c:strRef>
          </c:xVal>
          <c:yVal>
            <c:numRef>
              <c:f>'2022_Data'!$E$778</c:f>
              <c:numCache/>
            </c:numRef>
          </c:yVal>
          <c:bubbleSize>
            <c:numRef>
              <c:f>'2022_Data'!$G$778</c:f>
            </c:numRef>
          </c:bubbleSize>
        </c:ser>
        <c:ser>
          <c:idx val="778"/>
          <c:order val="778"/>
          <c:tx>
            <c:strRef>
              <c:f>'2022_Data'!$A$779</c:f>
            </c:strRef>
          </c:tx>
          <c:dLbls>
            <c:dLblPos val="ctr"/>
            <c:showLegendKey val="0"/>
            <c:showVal val="0"/>
            <c:showCatName val="0"/>
            <c:showSerName val="1"/>
            <c:showPercent val="0"/>
            <c:showBubbleSize val="0"/>
          </c:dLbls>
          <c:xVal>
            <c:strRef>
              <c:f>'2022_Data'!$F$779</c:f>
            </c:strRef>
          </c:xVal>
          <c:yVal>
            <c:numRef>
              <c:f>'2022_Data'!$E$779</c:f>
              <c:numCache/>
            </c:numRef>
          </c:yVal>
          <c:bubbleSize>
            <c:numRef>
              <c:f>'2022_Data'!$G$779</c:f>
            </c:numRef>
          </c:bubbleSize>
        </c:ser>
        <c:ser>
          <c:idx val="779"/>
          <c:order val="779"/>
          <c:tx>
            <c:strRef>
              <c:f>'2022_Data'!$A$780</c:f>
            </c:strRef>
          </c:tx>
          <c:dLbls>
            <c:dLblPos val="ctr"/>
            <c:showLegendKey val="0"/>
            <c:showVal val="0"/>
            <c:showCatName val="0"/>
            <c:showSerName val="1"/>
            <c:showPercent val="0"/>
            <c:showBubbleSize val="0"/>
          </c:dLbls>
          <c:xVal>
            <c:strRef>
              <c:f>'2022_Data'!$F$780</c:f>
            </c:strRef>
          </c:xVal>
          <c:yVal>
            <c:numRef>
              <c:f>'2022_Data'!$E$780</c:f>
              <c:numCache/>
            </c:numRef>
          </c:yVal>
          <c:bubbleSize>
            <c:numRef>
              <c:f>'2022_Data'!$G$780</c:f>
            </c:numRef>
          </c:bubbleSize>
        </c:ser>
        <c:ser>
          <c:idx val="780"/>
          <c:order val="780"/>
          <c:tx>
            <c:strRef>
              <c:f>'2022_Data'!$A$781</c:f>
            </c:strRef>
          </c:tx>
          <c:dLbls>
            <c:dLblPos val="ctr"/>
            <c:showLegendKey val="0"/>
            <c:showVal val="0"/>
            <c:showCatName val="0"/>
            <c:showSerName val="1"/>
            <c:showPercent val="0"/>
            <c:showBubbleSize val="0"/>
          </c:dLbls>
          <c:xVal>
            <c:strRef>
              <c:f>'2022_Data'!$F$781</c:f>
            </c:strRef>
          </c:xVal>
          <c:yVal>
            <c:numRef>
              <c:f>'2022_Data'!$E$781</c:f>
              <c:numCache/>
            </c:numRef>
          </c:yVal>
          <c:bubbleSize>
            <c:numRef>
              <c:f>'2022_Data'!$G$781</c:f>
            </c:numRef>
          </c:bubbleSize>
        </c:ser>
        <c:ser>
          <c:idx val="781"/>
          <c:order val="781"/>
          <c:tx>
            <c:strRef>
              <c:f>'2022_Data'!$A$782</c:f>
            </c:strRef>
          </c:tx>
          <c:dLbls>
            <c:dLblPos val="ctr"/>
            <c:showLegendKey val="0"/>
            <c:showVal val="0"/>
            <c:showCatName val="0"/>
            <c:showSerName val="1"/>
            <c:showPercent val="0"/>
            <c:showBubbleSize val="0"/>
          </c:dLbls>
          <c:xVal>
            <c:strRef>
              <c:f>'2022_Data'!$F$782</c:f>
            </c:strRef>
          </c:xVal>
          <c:yVal>
            <c:numRef>
              <c:f>'2022_Data'!$E$782</c:f>
              <c:numCache/>
            </c:numRef>
          </c:yVal>
          <c:bubbleSize>
            <c:numRef>
              <c:f>'2022_Data'!$G$782</c:f>
            </c:numRef>
          </c:bubbleSize>
        </c:ser>
        <c:ser>
          <c:idx val="782"/>
          <c:order val="782"/>
          <c:tx>
            <c:strRef>
              <c:f>'2022_Data'!$A$783</c:f>
            </c:strRef>
          </c:tx>
          <c:dLbls>
            <c:dLblPos val="ctr"/>
            <c:showLegendKey val="0"/>
            <c:showVal val="0"/>
            <c:showCatName val="0"/>
            <c:showSerName val="1"/>
            <c:showPercent val="0"/>
            <c:showBubbleSize val="0"/>
          </c:dLbls>
          <c:xVal>
            <c:strRef>
              <c:f>'2022_Data'!$F$783</c:f>
            </c:strRef>
          </c:xVal>
          <c:yVal>
            <c:numRef>
              <c:f>'2022_Data'!$E$783</c:f>
              <c:numCache/>
            </c:numRef>
          </c:yVal>
          <c:bubbleSize>
            <c:numRef>
              <c:f>'2022_Data'!$G$783</c:f>
            </c:numRef>
          </c:bubbleSize>
        </c:ser>
        <c:ser>
          <c:idx val="783"/>
          <c:order val="783"/>
          <c:tx>
            <c:strRef>
              <c:f>'2022_Data'!$A$784</c:f>
            </c:strRef>
          </c:tx>
          <c:dLbls>
            <c:dLblPos val="ctr"/>
            <c:showLegendKey val="0"/>
            <c:showVal val="0"/>
            <c:showCatName val="0"/>
            <c:showSerName val="1"/>
            <c:showPercent val="0"/>
            <c:showBubbleSize val="0"/>
          </c:dLbls>
          <c:xVal>
            <c:strRef>
              <c:f>'2022_Data'!$F$784</c:f>
            </c:strRef>
          </c:xVal>
          <c:yVal>
            <c:numRef>
              <c:f>'2022_Data'!$E$784</c:f>
              <c:numCache/>
            </c:numRef>
          </c:yVal>
          <c:bubbleSize>
            <c:numRef>
              <c:f>'2022_Data'!$G$784</c:f>
            </c:numRef>
          </c:bubbleSize>
        </c:ser>
        <c:ser>
          <c:idx val="784"/>
          <c:order val="784"/>
          <c:tx>
            <c:strRef>
              <c:f>'2022_Data'!$A$785</c:f>
            </c:strRef>
          </c:tx>
          <c:dLbls>
            <c:dLblPos val="ctr"/>
            <c:showLegendKey val="0"/>
            <c:showVal val="0"/>
            <c:showCatName val="0"/>
            <c:showSerName val="1"/>
            <c:showPercent val="0"/>
            <c:showBubbleSize val="0"/>
          </c:dLbls>
          <c:xVal>
            <c:strRef>
              <c:f>'2022_Data'!$F$785</c:f>
            </c:strRef>
          </c:xVal>
          <c:yVal>
            <c:numRef>
              <c:f>'2022_Data'!$E$785</c:f>
              <c:numCache/>
            </c:numRef>
          </c:yVal>
          <c:bubbleSize>
            <c:numRef>
              <c:f>'2022_Data'!$G$785</c:f>
            </c:numRef>
          </c:bubbleSize>
        </c:ser>
        <c:ser>
          <c:idx val="785"/>
          <c:order val="785"/>
          <c:tx>
            <c:strRef>
              <c:f>'2022_Data'!$A$786</c:f>
            </c:strRef>
          </c:tx>
          <c:dLbls>
            <c:dLblPos val="ctr"/>
            <c:showLegendKey val="0"/>
            <c:showVal val="0"/>
            <c:showCatName val="0"/>
            <c:showSerName val="1"/>
            <c:showPercent val="0"/>
            <c:showBubbleSize val="0"/>
          </c:dLbls>
          <c:xVal>
            <c:strRef>
              <c:f>'2022_Data'!$F$786</c:f>
            </c:strRef>
          </c:xVal>
          <c:yVal>
            <c:numRef>
              <c:f>'2022_Data'!$E$786</c:f>
              <c:numCache/>
            </c:numRef>
          </c:yVal>
          <c:bubbleSize>
            <c:numRef>
              <c:f>'2022_Data'!$G$786</c:f>
            </c:numRef>
          </c:bubbleSize>
        </c:ser>
        <c:ser>
          <c:idx val="786"/>
          <c:order val="786"/>
          <c:tx>
            <c:strRef>
              <c:f>'2022_Data'!$A$787</c:f>
            </c:strRef>
          </c:tx>
          <c:dLbls>
            <c:dLblPos val="ctr"/>
            <c:showLegendKey val="0"/>
            <c:showVal val="0"/>
            <c:showCatName val="0"/>
            <c:showSerName val="1"/>
            <c:showPercent val="0"/>
            <c:showBubbleSize val="0"/>
          </c:dLbls>
          <c:xVal>
            <c:strRef>
              <c:f>'2022_Data'!$F$787</c:f>
            </c:strRef>
          </c:xVal>
          <c:yVal>
            <c:numRef>
              <c:f>'2022_Data'!$E$787</c:f>
              <c:numCache/>
            </c:numRef>
          </c:yVal>
          <c:bubbleSize>
            <c:numRef>
              <c:f>'2022_Data'!$G$787</c:f>
            </c:numRef>
          </c:bubbleSize>
        </c:ser>
        <c:ser>
          <c:idx val="787"/>
          <c:order val="787"/>
          <c:tx>
            <c:strRef>
              <c:f>'2022_Data'!$A$788</c:f>
            </c:strRef>
          </c:tx>
          <c:dLbls>
            <c:dLblPos val="ctr"/>
            <c:showLegendKey val="0"/>
            <c:showVal val="0"/>
            <c:showCatName val="0"/>
            <c:showSerName val="1"/>
            <c:showPercent val="0"/>
            <c:showBubbleSize val="0"/>
          </c:dLbls>
          <c:xVal>
            <c:strRef>
              <c:f>'2022_Data'!$F$788</c:f>
            </c:strRef>
          </c:xVal>
          <c:yVal>
            <c:numRef>
              <c:f>'2022_Data'!$E$788</c:f>
              <c:numCache/>
            </c:numRef>
          </c:yVal>
          <c:bubbleSize>
            <c:numRef>
              <c:f>'2022_Data'!$G$788</c:f>
            </c:numRef>
          </c:bubbleSize>
        </c:ser>
        <c:ser>
          <c:idx val="788"/>
          <c:order val="788"/>
          <c:tx>
            <c:strRef>
              <c:f>'2022_Data'!$A$789</c:f>
            </c:strRef>
          </c:tx>
          <c:dLbls>
            <c:dLblPos val="ctr"/>
            <c:showLegendKey val="0"/>
            <c:showVal val="0"/>
            <c:showCatName val="0"/>
            <c:showSerName val="1"/>
            <c:showPercent val="0"/>
            <c:showBubbleSize val="0"/>
          </c:dLbls>
          <c:xVal>
            <c:strRef>
              <c:f>'2022_Data'!$F$789</c:f>
            </c:strRef>
          </c:xVal>
          <c:yVal>
            <c:numRef>
              <c:f>'2022_Data'!$E$789</c:f>
              <c:numCache/>
            </c:numRef>
          </c:yVal>
          <c:bubbleSize>
            <c:numRef>
              <c:f>'2022_Data'!$G$789</c:f>
            </c:numRef>
          </c:bubbleSize>
        </c:ser>
        <c:ser>
          <c:idx val="789"/>
          <c:order val="789"/>
          <c:tx>
            <c:strRef>
              <c:f>'2022_Data'!$A$790</c:f>
            </c:strRef>
          </c:tx>
          <c:dLbls>
            <c:dLblPos val="ctr"/>
            <c:showLegendKey val="0"/>
            <c:showVal val="0"/>
            <c:showCatName val="0"/>
            <c:showSerName val="1"/>
            <c:showPercent val="0"/>
            <c:showBubbleSize val="0"/>
          </c:dLbls>
          <c:xVal>
            <c:strRef>
              <c:f>'2022_Data'!$F$790</c:f>
            </c:strRef>
          </c:xVal>
          <c:yVal>
            <c:numRef>
              <c:f>'2022_Data'!$E$790</c:f>
              <c:numCache/>
            </c:numRef>
          </c:yVal>
          <c:bubbleSize>
            <c:numRef>
              <c:f>'2022_Data'!$G$790</c:f>
            </c:numRef>
          </c:bubbleSize>
        </c:ser>
        <c:ser>
          <c:idx val="790"/>
          <c:order val="790"/>
          <c:tx>
            <c:strRef>
              <c:f>'2022_Data'!$A$791</c:f>
            </c:strRef>
          </c:tx>
          <c:dLbls>
            <c:dLblPos val="ctr"/>
            <c:showLegendKey val="0"/>
            <c:showVal val="0"/>
            <c:showCatName val="0"/>
            <c:showSerName val="1"/>
            <c:showPercent val="0"/>
            <c:showBubbleSize val="0"/>
          </c:dLbls>
          <c:xVal>
            <c:strRef>
              <c:f>'2022_Data'!$F$791</c:f>
            </c:strRef>
          </c:xVal>
          <c:yVal>
            <c:numRef>
              <c:f>'2022_Data'!$E$791</c:f>
              <c:numCache/>
            </c:numRef>
          </c:yVal>
          <c:bubbleSize>
            <c:numRef>
              <c:f>'2022_Data'!$G$791</c:f>
            </c:numRef>
          </c:bubbleSize>
        </c:ser>
        <c:ser>
          <c:idx val="791"/>
          <c:order val="791"/>
          <c:tx>
            <c:strRef>
              <c:f>'2022_Data'!$A$792</c:f>
            </c:strRef>
          </c:tx>
          <c:dLbls>
            <c:dLblPos val="ctr"/>
            <c:showLegendKey val="0"/>
            <c:showVal val="0"/>
            <c:showCatName val="0"/>
            <c:showSerName val="1"/>
            <c:showPercent val="0"/>
            <c:showBubbleSize val="0"/>
          </c:dLbls>
          <c:xVal>
            <c:strRef>
              <c:f>'2022_Data'!$F$792</c:f>
            </c:strRef>
          </c:xVal>
          <c:yVal>
            <c:numRef>
              <c:f>'2022_Data'!$E$792</c:f>
              <c:numCache/>
            </c:numRef>
          </c:yVal>
          <c:bubbleSize>
            <c:numRef>
              <c:f>'2022_Data'!$G$792</c:f>
            </c:numRef>
          </c:bubbleSize>
        </c:ser>
        <c:ser>
          <c:idx val="792"/>
          <c:order val="792"/>
          <c:tx>
            <c:strRef>
              <c:f>'2022_Data'!$A$793</c:f>
            </c:strRef>
          </c:tx>
          <c:dLbls>
            <c:dLblPos val="ctr"/>
            <c:showLegendKey val="0"/>
            <c:showVal val="0"/>
            <c:showCatName val="0"/>
            <c:showSerName val="1"/>
            <c:showPercent val="0"/>
            <c:showBubbleSize val="0"/>
          </c:dLbls>
          <c:xVal>
            <c:strRef>
              <c:f>'2022_Data'!$F$793</c:f>
            </c:strRef>
          </c:xVal>
          <c:yVal>
            <c:numRef>
              <c:f>'2022_Data'!$E$793</c:f>
              <c:numCache/>
            </c:numRef>
          </c:yVal>
          <c:bubbleSize>
            <c:numRef>
              <c:f>'2022_Data'!$G$793</c:f>
            </c:numRef>
          </c:bubbleSize>
        </c:ser>
        <c:ser>
          <c:idx val="793"/>
          <c:order val="793"/>
          <c:tx>
            <c:strRef>
              <c:f>'2022_Data'!$A$794</c:f>
            </c:strRef>
          </c:tx>
          <c:dLbls>
            <c:dLblPos val="ctr"/>
            <c:showLegendKey val="0"/>
            <c:showVal val="0"/>
            <c:showCatName val="0"/>
            <c:showSerName val="1"/>
            <c:showPercent val="0"/>
            <c:showBubbleSize val="0"/>
          </c:dLbls>
          <c:xVal>
            <c:strRef>
              <c:f>'2022_Data'!$F$794</c:f>
            </c:strRef>
          </c:xVal>
          <c:yVal>
            <c:numRef>
              <c:f>'2022_Data'!$E$794</c:f>
              <c:numCache/>
            </c:numRef>
          </c:yVal>
          <c:bubbleSize>
            <c:numRef>
              <c:f>'2022_Data'!$G$794</c:f>
            </c:numRef>
          </c:bubbleSize>
        </c:ser>
        <c:ser>
          <c:idx val="794"/>
          <c:order val="794"/>
          <c:tx>
            <c:strRef>
              <c:f>'2022_Data'!$A$795</c:f>
            </c:strRef>
          </c:tx>
          <c:dLbls>
            <c:dLblPos val="ctr"/>
            <c:showLegendKey val="0"/>
            <c:showVal val="0"/>
            <c:showCatName val="0"/>
            <c:showSerName val="1"/>
            <c:showPercent val="0"/>
            <c:showBubbleSize val="0"/>
          </c:dLbls>
          <c:xVal>
            <c:strRef>
              <c:f>'2022_Data'!$F$795</c:f>
            </c:strRef>
          </c:xVal>
          <c:yVal>
            <c:numRef>
              <c:f>'2022_Data'!$E$795</c:f>
              <c:numCache/>
            </c:numRef>
          </c:yVal>
          <c:bubbleSize>
            <c:numRef>
              <c:f>'2022_Data'!$G$795</c:f>
            </c:numRef>
          </c:bubbleSize>
        </c:ser>
        <c:ser>
          <c:idx val="795"/>
          <c:order val="795"/>
          <c:tx>
            <c:strRef>
              <c:f>'2022_Data'!$A$796</c:f>
            </c:strRef>
          </c:tx>
          <c:dLbls>
            <c:dLblPos val="ctr"/>
            <c:showLegendKey val="0"/>
            <c:showVal val="0"/>
            <c:showCatName val="0"/>
            <c:showSerName val="1"/>
            <c:showPercent val="0"/>
            <c:showBubbleSize val="0"/>
          </c:dLbls>
          <c:xVal>
            <c:strRef>
              <c:f>'2022_Data'!$F$796</c:f>
            </c:strRef>
          </c:xVal>
          <c:yVal>
            <c:numRef>
              <c:f>'2022_Data'!$E$796</c:f>
              <c:numCache/>
            </c:numRef>
          </c:yVal>
          <c:bubbleSize>
            <c:numRef>
              <c:f>'2022_Data'!$G$796</c:f>
            </c:numRef>
          </c:bubbleSize>
        </c:ser>
        <c:ser>
          <c:idx val="796"/>
          <c:order val="796"/>
          <c:tx>
            <c:strRef>
              <c:f>'2022_Data'!$A$797</c:f>
            </c:strRef>
          </c:tx>
          <c:dLbls>
            <c:dLblPos val="ctr"/>
            <c:showLegendKey val="0"/>
            <c:showVal val="0"/>
            <c:showCatName val="0"/>
            <c:showSerName val="1"/>
            <c:showPercent val="0"/>
            <c:showBubbleSize val="0"/>
          </c:dLbls>
          <c:xVal>
            <c:strRef>
              <c:f>'2022_Data'!$F$797</c:f>
            </c:strRef>
          </c:xVal>
          <c:yVal>
            <c:numRef>
              <c:f>'2022_Data'!$E$797</c:f>
              <c:numCache/>
            </c:numRef>
          </c:yVal>
          <c:bubbleSize>
            <c:numRef>
              <c:f>'2022_Data'!$G$797</c:f>
            </c:numRef>
          </c:bubbleSize>
        </c:ser>
        <c:ser>
          <c:idx val="797"/>
          <c:order val="797"/>
          <c:tx>
            <c:strRef>
              <c:f>'2022_Data'!$A$798</c:f>
            </c:strRef>
          </c:tx>
          <c:dLbls>
            <c:dLblPos val="ctr"/>
            <c:showLegendKey val="0"/>
            <c:showVal val="0"/>
            <c:showCatName val="0"/>
            <c:showSerName val="1"/>
            <c:showPercent val="0"/>
            <c:showBubbleSize val="0"/>
          </c:dLbls>
          <c:xVal>
            <c:strRef>
              <c:f>'2022_Data'!$F$798</c:f>
            </c:strRef>
          </c:xVal>
          <c:yVal>
            <c:numRef>
              <c:f>'2022_Data'!$E$798</c:f>
              <c:numCache/>
            </c:numRef>
          </c:yVal>
          <c:bubbleSize>
            <c:numRef>
              <c:f>'2022_Data'!$G$798</c:f>
            </c:numRef>
          </c:bubbleSize>
        </c:ser>
        <c:ser>
          <c:idx val="798"/>
          <c:order val="798"/>
          <c:tx>
            <c:strRef>
              <c:f>'2022_Data'!$A$799</c:f>
            </c:strRef>
          </c:tx>
          <c:dLbls>
            <c:dLblPos val="ctr"/>
            <c:showLegendKey val="0"/>
            <c:showVal val="0"/>
            <c:showCatName val="0"/>
            <c:showSerName val="1"/>
            <c:showPercent val="0"/>
            <c:showBubbleSize val="0"/>
          </c:dLbls>
          <c:xVal>
            <c:strRef>
              <c:f>'2022_Data'!$F$799</c:f>
            </c:strRef>
          </c:xVal>
          <c:yVal>
            <c:numRef>
              <c:f>'2022_Data'!$E$799</c:f>
              <c:numCache/>
            </c:numRef>
          </c:yVal>
          <c:bubbleSize>
            <c:numRef>
              <c:f>'2022_Data'!$G$799</c:f>
            </c:numRef>
          </c:bubbleSize>
        </c:ser>
        <c:ser>
          <c:idx val="799"/>
          <c:order val="799"/>
          <c:tx>
            <c:strRef>
              <c:f>'2022_Data'!$A$800</c:f>
            </c:strRef>
          </c:tx>
          <c:dLbls>
            <c:dLblPos val="ctr"/>
            <c:showLegendKey val="0"/>
            <c:showVal val="0"/>
            <c:showCatName val="0"/>
            <c:showSerName val="1"/>
            <c:showPercent val="0"/>
            <c:showBubbleSize val="0"/>
          </c:dLbls>
          <c:xVal>
            <c:strRef>
              <c:f>'2022_Data'!$F$800</c:f>
            </c:strRef>
          </c:xVal>
          <c:yVal>
            <c:numRef>
              <c:f>'2022_Data'!$E$800</c:f>
              <c:numCache/>
            </c:numRef>
          </c:yVal>
          <c:bubbleSize>
            <c:numRef>
              <c:f>'2022_Data'!$G$800</c:f>
            </c:numRef>
          </c:bubbleSize>
        </c:ser>
        <c:ser>
          <c:idx val="800"/>
          <c:order val="800"/>
          <c:tx>
            <c:strRef>
              <c:f>'2022_Data'!$A$801</c:f>
            </c:strRef>
          </c:tx>
          <c:dLbls>
            <c:dLblPos val="ctr"/>
            <c:showLegendKey val="0"/>
            <c:showVal val="0"/>
            <c:showCatName val="0"/>
            <c:showSerName val="1"/>
            <c:showPercent val="0"/>
            <c:showBubbleSize val="0"/>
          </c:dLbls>
          <c:xVal>
            <c:strRef>
              <c:f>'2022_Data'!$F$801</c:f>
            </c:strRef>
          </c:xVal>
          <c:yVal>
            <c:numRef>
              <c:f>'2022_Data'!$E$801</c:f>
              <c:numCache/>
            </c:numRef>
          </c:yVal>
          <c:bubbleSize>
            <c:numRef>
              <c:f>'2022_Data'!$G$801</c:f>
            </c:numRef>
          </c:bubbleSize>
        </c:ser>
        <c:ser>
          <c:idx val="801"/>
          <c:order val="801"/>
          <c:tx>
            <c:strRef>
              <c:f>'2022_Data'!$A$802</c:f>
            </c:strRef>
          </c:tx>
          <c:dLbls>
            <c:dLblPos val="ctr"/>
            <c:showLegendKey val="0"/>
            <c:showVal val="0"/>
            <c:showCatName val="0"/>
            <c:showSerName val="1"/>
            <c:showPercent val="0"/>
            <c:showBubbleSize val="0"/>
          </c:dLbls>
          <c:xVal>
            <c:strRef>
              <c:f>'2022_Data'!$F$802</c:f>
            </c:strRef>
          </c:xVal>
          <c:yVal>
            <c:numRef>
              <c:f>'2022_Data'!$E$802</c:f>
              <c:numCache/>
            </c:numRef>
          </c:yVal>
          <c:bubbleSize>
            <c:numRef>
              <c:f>'2022_Data'!$G$802</c:f>
            </c:numRef>
          </c:bubbleSize>
        </c:ser>
        <c:ser>
          <c:idx val="802"/>
          <c:order val="802"/>
          <c:tx>
            <c:strRef>
              <c:f>'2022_Data'!$A$803</c:f>
            </c:strRef>
          </c:tx>
          <c:dLbls>
            <c:dLblPos val="ctr"/>
            <c:showLegendKey val="0"/>
            <c:showVal val="0"/>
            <c:showCatName val="0"/>
            <c:showSerName val="1"/>
            <c:showPercent val="0"/>
            <c:showBubbleSize val="0"/>
          </c:dLbls>
          <c:xVal>
            <c:strRef>
              <c:f>'2022_Data'!$F$803</c:f>
            </c:strRef>
          </c:xVal>
          <c:yVal>
            <c:numRef>
              <c:f>'2022_Data'!$E$803</c:f>
              <c:numCache/>
            </c:numRef>
          </c:yVal>
          <c:bubbleSize>
            <c:numRef>
              <c:f>'2022_Data'!$G$803</c:f>
            </c:numRef>
          </c:bubbleSize>
        </c:ser>
        <c:ser>
          <c:idx val="803"/>
          <c:order val="803"/>
          <c:tx>
            <c:strRef>
              <c:f>'2022_Data'!$A$804</c:f>
            </c:strRef>
          </c:tx>
          <c:dLbls>
            <c:dLblPos val="ctr"/>
            <c:showLegendKey val="0"/>
            <c:showVal val="0"/>
            <c:showCatName val="0"/>
            <c:showSerName val="1"/>
            <c:showPercent val="0"/>
            <c:showBubbleSize val="0"/>
          </c:dLbls>
          <c:xVal>
            <c:strRef>
              <c:f>'2022_Data'!$F$804</c:f>
            </c:strRef>
          </c:xVal>
          <c:yVal>
            <c:numRef>
              <c:f>'2022_Data'!$E$804</c:f>
              <c:numCache/>
            </c:numRef>
          </c:yVal>
          <c:bubbleSize>
            <c:numRef>
              <c:f>'2022_Data'!$G$804</c:f>
            </c:numRef>
          </c:bubbleSize>
        </c:ser>
        <c:ser>
          <c:idx val="804"/>
          <c:order val="804"/>
          <c:tx>
            <c:strRef>
              <c:f>'2022_Data'!$A$805</c:f>
            </c:strRef>
          </c:tx>
          <c:dLbls>
            <c:dLblPos val="ctr"/>
            <c:showLegendKey val="0"/>
            <c:showVal val="0"/>
            <c:showCatName val="0"/>
            <c:showSerName val="1"/>
            <c:showPercent val="0"/>
            <c:showBubbleSize val="0"/>
          </c:dLbls>
          <c:xVal>
            <c:strRef>
              <c:f>'2022_Data'!$F$805</c:f>
            </c:strRef>
          </c:xVal>
          <c:yVal>
            <c:numRef>
              <c:f>'2022_Data'!$E$805</c:f>
              <c:numCache/>
            </c:numRef>
          </c:yVal>
          <c:bubbleSize>
            <c:numRef>
              <c:f>'2022_Data'!$G$805</c:f>
            </c:numRef>
          </c:bubbleSize>
        </c:ser>
        <c:ser>
          <c:idx val="805"/>
          <c:order val="805"/>
          <c:tx>
            <c:strRef>
              <c:f>'2022_Data'!$A$806</c:f>
            </c:strRef>
          </c:tx>
          <c:dLbls>
            <c:dLblPos val="ctr"/>
            <c:showLegendKey val="0"/>
            <c:showVal val="0"/>
            <c:showCatName val="0"/>
            <c:showSerName val="1"/>
            <c:showPercent val="0"/>
            <c:showBubbleSize val="0"/>
          </c:dLbls>
          <c:xVal>
            <c:strRef>
              <c:f>'2022_Data'!$F$806</c:f>
            </c:strRef>
          </c:xVal>
          <c:yVal>
            <c:numRef>
              <c:f>'2022_Data'!$E$806</c:f>
              <c:numCache/>
            </c:numRef>
          </c:yVal>
          <c:bubbleSize>
            <c:numRef>
              <c:f>'2022_Data'!$G$806</c:f>
            </c:numRef>
          </c:bubbleSize>
        </c:ser>
        <c:ser>
          <c:idx val="806"/>
          <c:order val="806"/>
          <c:tx>
            <c:strRef>
              <c:f>'2022_Data'!$A$807</c:f>
            </c:strRef>
          </c:tx>
          <c:dLbls>
            <c:dLblPos val="ctr"/>
            <c:showLegendKey val="0"/>
            <c:showVal val="0"/>
            <c:showCatName val="0"/>
            <c:showSerName val="1"/>
            <c:showPercent val="0"/>
            <c:showBubbleSize val="0"/>
          </c:dLbls>
          <c:xVal>
            <c:strRef>
              <c:f>'2022_Data'!$F$807</c:f>
            </c:strRef>
          </c:xVal>
          <c:yVal>
            <c:numRef>
              <c:f>'2022_Data'!$E$807</c:f>
              <c:numCache/>
            </c:numRef>
          </c:yVal>
          <c:bubbleSize>
            <c:numRef>
              <c:f>'2022_Data'!$G$807</c:f>
            </c:numRef>
          </c:bubbleSize>
        </c:ser>
        <c:ser>
          <c:idx val="807"/>
          <c:order val="807"/>
          <c:tx>
            <c:strRef>
              <c:f>'2022_Data'!$A$808</c:f>
            </c:strRef>
          </c:tx>
          <c:dLbls>
            <c:dLblPos val="ctr"/>
            <c:showLegendKey val="0"/>
            <c:showVal val="0"/>
            <c:showCatName val="0"/>
            <c:showSerName val="1"/>
            <c:showPercent val="0"/>
            <c:showBubbleSize val="0"/>
          </c:dLbls>
          <c:xVal>
            <c:strRef>
              <c:f>'2022_Data'!$F$808</c:f>
            </c:strRef>
          </c:xVal>
          <c:yVal>
            <c:numRef>
              <c:f>'2022_Data'!$E$808</c:f>
              <c:numCache/>
            </c:numRef>
          </c:yVal>
          <c:bubbleSize>
            <c:numRef>
              <c:f>'2022_Data'!$G$808</c:f>
            </c:numRef>
          </c:bubbleSize>
        </c:ser>
        <c:ser>
          <c:idx val="808"/>
          <c:order val="808"/>
          <c:tx>
            <c:strRef>
              <c:f>'2022_Data'!$A$809</c:f>
            </c:strRef>
          </c:tx>
          <c:dLbls>
            <c:dLblPos val="ctr"/>
            <c:showLegendKey val="0"/>
            <c:showVal val="0"/>
            <c:showCatName val="0"/>
            <c:showSerName val="1"/>
            <c:showPercent val="0"/>
            <c:showBubbleSize val="0"/>
          </c:dLbls>
          <c:xVal>
            <c:strRef>
              <c:f>'2022_Data'!$F$809</c:f>
            </c:strRef>
          </c:xVal>
          <c:yVal>
            <c:numRef>
              <c:f>'2022_Data'!$E$809</c:f>
              <c:numCache/>
            </c:numRef>
          </c:yVal>
          <c:bubbleSize>
            <c:numRef>
              <c:f>'2022_Data'!$G$809</c:f>
            </c:numRef>
          </c:bubbleSize>
        </c:ser>
        <c:ser>
          <c:idx val="809"/>
          <c:order val="809"/>
          <c:tx>
            <c:strRef>
              <c:f>'2022_Data'!$A$810</c:f>
            </c:strRef>
          </c:tx>
          <c:dLbls>
            <c:dLblPos val="ctr"/>
            <c:showLegendKey val="0"/>
            <c:showVal val="0"/>
            <c:showCatName val="0"/>
            <c:showSerName val="1"/>
            <c:showPercent val="0"/>
            <c:showBubbleSize val="0"/>
          </c:dLbls>
          <c:xVal>
            <c:strRef>
              <c:f>'2022_Data'!$F$810</c:f>
            </c:strRef>
          </c:xVal>
          <c:yVal>
            <c:numRef>
              <c:f>'2022_Data'!$E$810</c:f>
              <c:numCache/>
            </c:numRef>
          </c:yVal>
          <c:bubbleSize>
            <c:numRef>
              <c:f>'2022_Data'!$G$810</c:f>
            </c:numRef>
          </c:bubbleSize>
        </c:ser>
        <c:ser>
          <c:idx val="810"/>
          <c:order val="810"/>
          <c:tx>
            <c:strRef>
              <c:f>'2022_Data'!$A$811</c:f>
            </c:strRef>
          </c:tx>
          <c:dLbls>
            <c:dLblPos val="ctr"/>
            <c:showLegendKey val="0"/>
            <c:showVal val="0"/>
            <c:showCatName val="0"/>
            <c:showSerName val="1"/>
            <c:showPercent val="0"/>
            <c:showBubbleSize val="0"/>
          </c:dLbls>
          <c:xVal>
            <c:strRef>
              <c:f>'2022_Data'!$F$811</c:f>
            </c:strRef>
          </c:xVal>
          <c:yVal>
            <c:numRef>
              <c:f>'2022_Data'!$E$811</c:f>
              <c:numCache/>
            </c:numRef>
          </c:yVal>
          <c:bubbleSize>
            <c:numRef>
              <c:f>'2022_Data'!$G$811</c:f>
            </c:numRef>
          </c:bubbleSize>
        </c:ser>
        <c:ser>
          <c:idx val="811"/>
          <c:order val="811"/>
          <c:tx>
            <c:strRef>
              <c:f>'2022_Data'!$A$812</c:f>
            </c:strRef>
          </c:tx>
          <c:dLbls>
            <c:dLblPos val="ctr"/>
            <c:showLegendKey val="0"/>
            <c:showVal val="0"/>
            <c:showCatName val="0"/>
            <c:showSerName val="1"/>
            <c:showPercent val="0"/>
            <c:showBubbleSize val="0"/>
          </c:dLbls>
          <c:xVal>
            <c:strRef>
              <c:f>'2022_Data'!$F$812</c:f>
            </c:strRef>
          </c:xVal>
          <c:yVal>
            <c:numRef>
              <c:f>'2022_Data'!$E$812</c:f>
              <c:numCache/>
            </c:numRef>
          </c:yVal>
          <c:bubbleSize>
            <c:numRef>
              <c:f>'2022_Data'!$G$812</c:f>
            </c:numRef>
          </c:bubbleSize>
        </c:ser>
        <c:ser>
          <c:idx val="812"/>
          <c:order val="812"/>
          <c:tx>
            <c:strRef>
              <c:f>'2022_Data'!$A$813</c:f>
            </c:strRef>
          </c:tx>
          <c:dLbls>
            <c:dLblPos val="ctr"/>
            <c:showLegendKey val="0"/>
            <c:showVal val="0"/>
            <c:showCatName val="0"/>
            <c:showSerName val="1"/>
            <c:showPercent val="0"/>
            <c:showBubbleSize val="0"/>
          </c:dLbls>
          <c:xVal>
            <c:strRef>
              <c:f>'2022_Data'!$F$813</c:f>
            </c:strRef>
          </c:xVal>
          <c:yVal>
            <c:numRef>
              <c:f>'2022_Data'!$E$813</c:f>
              <c:numCache/>
            </c:numRef>
          </c:yVal>
          <c:bubbleSize>
            <c:numRef>
              <c:f>'2022_Data'!$G$813</c:f>
            </c:numRef>
          </c:bubbleSize>
        </c:ser>
        <c:ser>
          <c:idx val="813"/>
          <c:order val="813"/>
          <c:tx>
            <c:strRef>
              <c:f>'2022_Data'!$A$814</c:f>
            </c:strRef>
          </c:tx>
          <c:dLbls>
            <c:dLblPos val="ctr"/>
            <c:showLegendKey val="0"/>
            <c:showVal val="0"/>
            <c:showCatName val="0"/>
            <c:showSerName val="1"/>
            <c:showPercent val="0"/>
            <c:showBubbleSize val="0"/>
          </c:dLbls>
          <c:xVal>
            <c:strRef>
              <c:f>'2022_Data'!$F$814</c:f>
            </c:strRef>
          </c:xVal>
          <c:yVal>
            <c:numRef>
              <c:f>'2022_Data'!$E$814</c:f>
              <c:numCache/>
            </c:numRef>
          </c:yVal>
          <c:bubbleSize>
            <c:numRef>
              <c:f>'2022_Data'!$G$814</c:f>
            </c:numRef>
          </c:bubbleSize>
        </c:ser>
        <c:ser>
          <c:idx val="814"/>
          <c:order val="814"/>
          <c:tx>
            <c:strRef>
              <c:f>'2022_Data'!$A$815</c:f>
            </c:strRef>
          </c:tx>
          <c:dLbls>
            <c:dLblPos val="ctr"/>
            <c:showLegendKey val="0"/>
            <c:showVal val="0"/>
            <c:showCatName val="0"/>
            <c:showSerName val="1"/>
            <c:showPercent val="0"/>
            <c:showBubbleSize val="0"/>
          </c:dLbls>
          <c:xVal>
            <c:strRef>
              <c:f>'2022_Data'!$F$815</c:f>
            </c:strRef>
          </c:xVal>
          <c:yVal>
            <c:numRef>
              <c:f>'2022_Data'!$E$815</c:f>
              <c:numCache/>
            </c:numRef>
          </c:yVal>
          <c:bubbleSize>
            <c:numRef>
              <c:f>'2022_Data'!$G$815</c:f>
            </c:numRef>
          </c:bubbleSize>
        </c:ser>
        <c:ser>
          <c:idx val="815"/>
          <c:order val="815"/>
          <c:tx>
            <c:strRef>
              <c:f>'2022_Data'!$A$816</c:f>
            </c:strRef>
          </c:tx>
          <c:dLbls>
            <c:dLblPos val="ctr"/>
            <c:showLegendKey val="0"/>
            <c:showVal val="0"/>
            <c:showCatName val="0"/>
            <c:showSerName val="1"/>
            <c:showPercent val="0"/>
            <c:showBubbleSize val="0"/>
          </c:dLbls>
          <c:xVal>
            <c:strRef>
              <c:f>'2022_Data'!$F$816</c:f>
            </c:strRef>
          </c:xVal>
          <c:yVal>
            <c:numRef>
              <c:f>'2022_Data'!$E$816</c:f>
              <c:numCache/>
            </c:numRef>
          </c:yVal>
          <c:bubbleSize>
            <c:numRef>
              <c:f>'2022_Data'!$G$816</c:f>
            </c:numRef>
          </c:bubbleSize>
        </c:ser>
        <c:ser>
          <c:idx val="816"/>
          <c:order val="816"/>
          <c:tx>
            <c:strRef>
              <c:f>'2022_Data'!$A$817</c:f>
            </c:strRef>
          </c:tx>
          <c:dLbls>
            <c:dLblPos val="ctr"/>
            <c:showLegendKey val="0"/>
            <c:showVal val="0"/>
            <c:showCatName val="0"/>
            <c:showSerName val="1"/>
            <c:showPercent val="0"/>
            <c:showBubbleSize val="0"/>
          </c:dLbls>
          <c:xVal>
            <c:strRef>
              <c:f>'2022_Data'!$F$817</c:f>
            </c:strRef>
          </c:xVal>
          <c:yVal>
            <c:numRef>
              <c:f>'2022_Data'!$E$817</c:f>
              <c:numCache/>
            </c:numRef>
          </c:yVal>
          <c:bubbleSize>
            <c:numRef>
              <c:f>'2022_Data'!$G$817</c:f>
            </c:numRef>
          </c:bubbleSize>
        </c:ser>
        <c:ser>
          <c:idx val="817"/>
          <c:order val="817"/>
          <c:tx>
            <c:strRef>
              <c:f>'2022_Data'!$A$818</c:f>
            </c:strRef>
          </c:tx>
          <c:dLbls>
            <c:dLblPos val="ctr"/>
            <c:showLegendKey val="0"/>
            <c:showVal val="0"/>
            <c:showCatName val="0"/>
            <c:showSerName val="1"/>
            <c:showPercent val="0"/>
            <c:showBubbleSize val="0"/>
          </c:dLbls>
          <c:xVal>
            <c:strRef>
              <c:f>'2022_Data'!$F$818</c:f>
            </c:strRef>
          </c:xVal>
          <c:yVal>
            <c:numRef>
              <c:f>'2022_Data'!$E$818</c:f>
              <c:numCache/>
            </c:numRef>
          </c:yVal>
          <c:bubbleSize>
            <c:numRef>
              <c:f>'2022_Data'!$G$818</c:f>
            </c:numRef>
          </c:bubbleSize>
        </c:ser>
        <c:ser>
          <c:idx val="818"/>
          <c:order val="818"/>
          <c:tx>
            <c:strRef>
              <c:f>'2022_Data'!$A$819</c:f>
            </c:strRef>
          </c:tx>
          <c:dLbls>
            <c:dLblPos val="ctr"/>
            <c:showLegendKey val="0"/>
            <c:showVal val="0"/>
            <c:showCatName val="0"/>
            <c:showSerName val="1"/>
            <c:showPercent val="0"/>
            <c:showBubbleSize val="0"/>
          </c:dLbls>
          <c:xVal>
            <c:strRef>
              <c:f>'2022_Data'!$F$819</c:f>
            </c:strRef>
          </c:xVal>
          <c:yVal>
            <c:numRef>
              <c:f>'2022_Data'!$E$819</c:f>
              <c:numCache/>
            </c:numRef>
          </c:yVal>
          <c:bubbleSize>
            <c:numRef>
              <c:f>'2022_Data'!$G$819</c:f>
            </c:numRef>
          </c:bubbleSize>
        </c:ser>
        <c:ser>
          <c:idx val="819"/>
          <c:order val="819"/>
          <c:tx>
            <c:strRef>
              <c:f>'2022_Data'!$A$820</c:f>
            </c:strRef>
          </c:tx>
          <c:dLbls>
            <c:dLblPos val="ctr"/>
            <c:showLegendKey val="0"/>
            <c:showVal val="0"/>
            <c:showCatName val="0"/>
            <c:showSerName val="1"/>
            <c:showPercent val="0"/>
            <c:showBubbleSize val="0"/>
          </c:dLbls>
          <c:xVal>
            <c:strRef>
              <c:f>'2022_Data'!$F$820</c:f>
            </c:strRef>
          </c:xVal>
          <c:yVal>
            <c:numRef>
              <c:f>'2022_Data'!$E$820</c:f>
              <c:numCache/>
            </c:numRef>
          </c:yVal>
          <c:bubbleSize>
            <c:numRef>
              <c:f>'2022_Data'!$G$820</c:f>
            </c:numRef>
          </c:bubbleSize>
        </c:ser>
        <c:ser>
          <c:idx val="820"/>
          <c:order val="820"/>
          <c:tx>
            <c:strRef>
              <c:f>'2022_Data'!$A$821</c:f>
            </c:strRef>
          </c:tx>
          <c:dLbls>
            <c:dLblPos val="ctr"/>
            <c:showLegendKey val="0"/>
            <c:showVal val="0"/>
            <c:showCatName val="0"/>
            <c:showSerName val="1"/>
            <c:showPercent val="0"/>
            <c:showBubbleSize val="0"/>
          </c:dLbls>
          <c:xVal>
            <c:strRef>
              <c:f>'2022_Data'!$F$821</c:f>
            </c:strRef>
          </c:xVal>
          <c:yVal>
            <c:numRef>
              <c:f>'2022_Data'!$E$821</c:f>
              <c:numCache/>
            </c:numRef>
          </c:yVal>
          <c:bubbleSize>
            <c:numRef>
              <c:f>'2022_Data'!$G$821</c:f>
            </c:numRef>
          </c:bubbleSize>
        </c:ser>
        <c:ser>
          <c:idx val="821"/>
          <c:order val="821"/>
          <c:tx>
            <c:strRef>
              <c:f>'2022_Data'!$A$822</c:f>
            </c:strRef>
          </c:tx>
          <c:dLbls>
            <c:dLblPos val="ctr"/>
            <c:showLegendKey val="0"/>
            <c:showVal val="0"/>
            <c:showCatName val="0"/>
            <c:showSerName val="1"/>
            <c:showPercent val="0"/>
            <c:showBubbleSize val="0"/>
          </c:dLbls>
          <c:xVal>
            <c:strRef>
              <c:f>'2022_Data'!$F$822</c:f>
            </c:strRef>
          </c:xVal>
          <c:yVal>
            <c:numRef>
              <c:f>'2022_Data'!$E$822</c:f>
              <c:numCache/>
            </c:numRef>
          </c:yVal>
          <c:bubbleSize>
            <c:numRef>
              <c:f>'2022_Data'!$G$822</c:f>
            </c:numRef>
          </c:bubbleSize>
        </c:ser>
        <c:ser>
          <c:idx val="822"/>
          <c:order val="822"/>
          <c:tx>
            <c:strRef>
              <c:f>'2022_Data'!$A$823</c:f>
            </c:strRef>
          </c:tx>
          <c:dLbls>
            <c:dLblPos val="ctr"/>
            <c:showLegendKey val="0"/>
            <c:showVal val="0"/>
            <c:showCatName val="0"/>
            <c:showSerName val="1"/>
            <c:showPercent val="0"/>
            <c:showBubbleSize val="0"/>
          </c:dLbls>
          <c:xVal>
            <c:strRef>
              <c:f>'2022_Data'!$F$823</c:f>
            </c:strRef>
          </c:xVal>
          <c:yVal>
            <c:numRef>
              <c:f>'2022_Data'!$E$823</c:f>
              <c:numCache/>
            </c:numRef>
          </c:yVal>
          <c:bubbleSize>
            <c:numRef>
              <c:f>'2022_Data'!$G$823</c:f>
            </c:numRef>
          </c:bubbleSize>
        </c:ser>
        <c:ser>
          <c:idx val="823"/>
          <c:order val="823"/>
          <c:tx>
            <c:strRef>
              <c:f>'2022_Data'!$A$824</c:f>
            </c:strRef>
          </c:tx>
          <c:dLbls>
            <c:dLblPos val="ctr"/>
            <c:showLegendKey val="0"/>
            <c:showVal val="0"/>
            <c:showCatName val="0"/>
            <c:showSerName val="1"/>
            <c:showPercent val="0"/>
            <c:showBubbleSize val="0"/>
          </c:dLbls>
          <c:xVal>
            <c:strRef>
              <c:f>'2022_Data'!$F$824</c:f>
            </c:strRef>
          </c:xVal>
          <c:yVal>
            <c:numRef>
              <c:f>'2022_Data'!$E$824</c:f>
              <c:numCache/>
            </c:numRef>
          </c:yVal>
          <c:bubbleSize>
            <c:numRef>
              <c:f>'2022_Data'!$G$824</c:f>
            </c:numRef>
          </c:bubbleSize>
        </c:ser>
        <c:ser>
          <c:idx val="824"/>
          <c:order val="824"/>
          <c:tx>
            <c:strRef>
              <c:f>'2022_Data'!$A$825</c:f>
            </c:strRef>
          </c:tx>
          <c:dLbls>
            <c:dLblPos val="ctr"/>
            <c:showLegendKey val="0"/>
            <c:showVal val="0"/>
            <c:showCatName val="0"/>
            <c:showSerName val="1"/>
            <c:showPercent val="0"/>
            <c:showBubbleSize val="0"/>
          </c:dLbls>
          <c:xVal>
            <c:strRef>
              <c:f>'2022_Data'!$F$825</c:f>
            </c:strRef>
          </c:xVal>
          <c:yVal>
            <c:numRef>
              <c:f>'2022_Data'!$E$825</c:f>
              <c:numCache/>
            </c:numRef>
          </c:yVal>
          <c:bubbleSize>
            <c:numRef>
              <c:f>'2022_Data'!$G$825</c:f>
            </c:numRef>
          </c:bubbleSize>
        </c:ser>
        <c:ser>
          <c:idx val="825"/>
          <c:order val="825"/>
          <c:tx>
            <c:strRef>
              <c:f>'2022_Data'!$A$826</c:f>
            </c:strRef>
          </c:tx>
          <c:dLbls>
            <c:dLblPos val="ctr"/>
            <c:showLegendKey val="0"/>
            <c:showVal val="0"/>
            <c:showCatName val="0"/>
            <c:showSerName val="1"/>
            <c:showPercent val="0"/>
            <c:showBubbleSize val="0"/>
          </c:dLbls>
          <c:xVal>
            <c:strRef>
              <c:f>'2022_Data'!$F$826</c:f>
            </c:strRef>
          </c:xVal>
          <c:yVal>
            <c:numRef>
              <c:f>'2022_Data'!$E$826</c:f>
              <c:numCache/>
            </c:numRef>
          </c:yVal>
          <c:bubbleSize>
            <c:numRef>
              <c:f>'2022_Data'!$G$826</c:f>
            </c:numRef>
          </c:bubbleSize>
        </c:ser>
        <c:ser>
          <c:idx val="826"/>
          <c:order val="826"/>
          <c:tx>
            <c:strRef>
              <c:f>'2022_Data'!$A$827</c:f>
            </c:strRef>
          </c:tx>
          <c:dLbls>
            <c:dLblPos val="ctr"/>
            <c:showLegendKey val="0"/>
            <c:showVal val="0"/>
            <c:showCatName val="0"/>
            <c:showSerName val="1"/>
            <c:showPercent val="0"/>
            <c:showBubbleSize val="0"/>
          </c:dLbls>
          <c:xVal>
            <c:strRef>
              <c:f>'2022_Data'!$F$827</c:f>
            </c:strRef>
          </c:xVal>
          <c:yVal>
            <c:numRef>
              <c:f>'2022_Data'!$E$827</c:f>
              <c:numCache/>
            </c:numRef>
          </c:yVal>
          <c:bubbleSize>
            <c:numRef>
              <c:f>'2022_Data'!$G$827</c:f>
            </c:numRef>
          </c:bubbleSize>
        </c:ser>
        <c:ser>
          <c:idx val="827"/>
          <c:order val="827"/>
          <c:tx>
            <c:strRef>
              <c:f>'2022_Data'!$A$828</c:f>
            </c:strRef>
          </c:tx>
          <c:dLbls>
            <c:dLblPos val="ctr"/>
            <c:showLegendKey val="0"/>
            <c:showVal val="0"/>
            <c:showCatName val="0"/>
            <c:showSerName val="1"/>
            <c:showPercent val="0"/>
            <c:showBubbleSize val="0"/>
          </c:dLbls>
          <c:xVal>
            <c:strRef>
              <c:f>'2022_Data'!$F$828</c:f>
            </c:strRef>
          </c:xVal>
          <c:yVal>
            <c:numRef>
              <c:f>'2022_Data'!$E$828</c:f>
              <c:numCache/>
            </c:numRef>
          </c:yVal>
          <c:bubbleSize>
            <c:numRef>
              <c:f>'2022_Data'!$G$828</c:f>
            </c:numRef>
          </c:bubbleSize>
        </c:ser>
        <c:ser>
          <c:idx val="828"/>
          <c:order val="828"/>
          <c:tx>
            <c:strRef>
              <c:f>'2022_Data'!$A$829</c:f>
            </c:strRef>
          </c:tx>
          <c:dLbls>
            <c:dLblPos val="ctr"/>
            <c:showLegendKey val="0"/>
            <c:showVal val="0"/>
            <c:showCatName val="0"/>
            <c:showSerName val="1"/>
            <c:showPercent val="0"/>
            <c:showBubbleSize val="0"/>
          </c:dLbls>
          <c:xVal>
            <c:strRef>
              <c:f>'2022_Data'!$F$829</c:f>
            </c:strRef>
          </c:xVal>
          <c:yVal>
            <c:numRef>
              <c:f>'2022_Data'!$E$829</c:f>
              <c:numCache/>
            </c:numRef>
          </c:yVal>
          <c:bubbleSize>
            <c:numRef>
              <c:f>'2022_Data'!$G$829</c:f>
            </c:numRef>
          </c:bubbleSize>
        </c:ser>
        <c:ser>
          <c:idx val="829"/>
          <c:order val="829"/>
          <c:tx>
            <c:strRef>
              <c:f>'2022_Data'!$A$830</c:f>
            </c:strRef>
          </c:tx>
          <c:dLbls>
            <c:dLblPos val="ctr"/>
            <c:showLegendKey val="0"/>
            <c:showVal val="0"/>
            <c:showCatName val="0"/>
            <c:showSerName val="1"/>
            <c:showPercent val="0"/>
            <c:showBubbleSize val="0"/>
          </c:dLbls>
          <c:xVal>
            <c:strRef>
              <c:f>'2022_Data'!$F$830</c:f>
            </c:strRef>
          </c:xVal>
          <c:yVal>
            <c:numRef>
              <c:f>'2022_Data'!$E$830</c:f>
              <c:numCache/>
            </c:numRef>
          </c:yVal>
          <c:bubbleSize>
            <c:numRef>
              <c:f>'2022_Data'!$G$830</c:f>
            </c:numRef>
          </c:bubbleSize>
        </c:ser>
        <c:ser>
          <c:idx val="830"/>
          <c:order val="830"/>
          <c:tx>
            <c:strRef>
              <c:f>'2022_Data'!$A$831</c:f>
            </c:strRef>
          </c:tx>
          <c:dLbls>
            <c:dLblPos val="ctr"/>
            <c:showLegendKey val="0"/>
            <c:showVal val="0"/>
            <c:showCatName val="0"/>
            <c:showSerName val="1"/>
            <c:showPercent val="0"/>
            <c:showBubbleSize val="0"/>
          </c:dLbls>
          <c:xVal>
            <c:strRef>
              <c:f>'2022_Data'!$F$831</c:f>
            </c:strRef>
          </c:xVal>
          <c:yVal>
            <c:numRef>
              <c:f>'2022_Data'!$E$831</c:f>
              <c:numCache/>
            </c:numRef>
          </c:yVal>
          <c:bubbleSize>
            <c:numRef>
              <c:f>'2022_Data'!$G$831</c:f>
            </c:numRef>
          </c:bubbleSize>
        </c:ser>
        <c:ser>
          <c:idx val="831"/>
          <c:order val="831"/>
          <c:tx>
            <c:strRef>
              <c:f>'2022_Data'!$A$832</c:f>
            </c:strRef>
          </c:tx>
          <c:dLbls>
            <c:dLblPos val="ctr"/>
            <c:showLegendKey val="0"/>
            <c:showVal val="0"/>
            <c:showCatName val="0"/>
            <c:showSerName val="1"/>
            <c:showPercent val="0"/>
            <c:showBubbleSize val="0"/>
          </c:dLbls>
          <c:xVal>
            <c:strRef>
              <c:f>'2022_Data'!$F$832</c:f>
            </c:strRef>
          </c:xVal>
          <c:yVal>
            <c:numRef>
              <c:f>'2022_Data'!$E$832</c:f>
              <c:numCache/>
            </c:numRef>
          </c:yVal>
          <c:bubbleSize>
            <c:numRef>
              <c:f>'2022_Data'!$G$832</c:f>
            </c:numRef>
          </c:bubbleSize>
        </c:ser>
        <c:ser>
          <c:idx val="832"/>
          <c:order val="832"/>
          <c:tx>
            <c:strRef>
              <c:f>'2022_Data'!$A$833</c:f>
            </c:strRef>
          </c:tx>
          <c:dLbls>
            <c:dLblPos val="ctr"/>
            <c:showLegendKey val="0"/>
            <c:showVal val="0"/>
            <c:showCatName val="0"/>
            <c:showSerName val="1"/>
            <c:showPercent val="0"/>
            <c:showBubbleSize val="0"/>
          </c:dLbls>
          <c:xVal>
            <c:strRef>
              <c:f>'2022_Data'!$F$833</c:f>
            </c:strRef>
          </c:xVal>
          <c:yVal>
            <c:numRef>
              <c:f>'2022_Data'!$E$833</c:f>
              <c:numCache/>
            </c:numRef>
          </c:yVal>
          <c:bubbleSize>
            <c:numRef>
              <c:f>'2022_Data'!$G$833</c:f>
            </c:numRef>
          </c:bubbleSize>
        </c:ser>
        <c:ser>
          <c:idx val="833"/>
          <c:order val="833"/>
          <c:tx>
            <c:strRef>
              <c:f>'2022_Data'!$A$834</c:f>
            </c:strRef>
          </c:tx>
          <c:dLbls>
            <c:dLblPos val="ctr"/>
            <c:showLegendKey val="0"/>
            <c:showVal val="0"/>
            <c:showCatName val="0"/>
            <c:showSerName val="1"/>
            <c:showPercent val="0"/>
            <c:showBubbleSize val="0"/>
          </c:dLbls>
          <c:xVal>
            <c:strRef>
              <c:f>'2022_Data'!$F$834</c:f>
            </c:strRef>
          </c:xVal>
          <c:yVal>
            <c:numRef>
              <c:f>'2022_Data'!$E$834</c:f>
              <c:numCache/>
            </c:numRef>
          </c:yVal>
          <c:bubbleSize>
            <c:numRef>
              <c:f>'2022_Data'!$G$834</c:f>
            </c:numRef>
          </c:bubbleSize>
        </c:ser>
        <c:ser>
          <c:idx val="834"/>
          <c:order val="834"/>
          <c:tx>
            <c:strRef>
              <c:f>'2022_Data'!$A$835</c:f>
            </c:strRef>
          </c:tx>
          <c:dLbls>
            <c:dLblPos val="ctr"/>
            <c:showLegendKey val="0"/>
            <c:showVal val="0"/>
            <c:showCatName val="0"/>
            <c:showSerName val="1"/>
            <c:showPercent val="0"/>
            <c:showBubbleSize val="0"/>
          </c:dLbls>
          <c:xVal>
            <c:strRef>
              <c:f>'2022_Data'!$F$835</c:f>
            </c:strRef>
          </c:xVal>
          <c:yVal>
            <c:numRef>
              <c:f>'2022_Data'!$E$835</c:f>
              <c:numCache/>
            </c:numRef>
          </c:yVal>
          <c:bubbleSize>
            <c:numRef>
              <c:f>'2022_Data'!$G$835</c:f>
            </c:numRef>
          </c:bubbleSize>
        </c:ser>
        <c:ser>
          <c:idx val="835"/>
          <c:order val="835"/>
          <c:tx>
            <c:strRef>
              <c:f>'2022_Data'!$A$836</c:f>
            </c:strRef>
          </c:tx>
          <c:dLbls>
            <c:dLblPos val="ctr"/>
            <c:showLegendKey val="0"/>
            <c:showVal val="0"/>
            <c:showCatName val="0"/>
            <c:showSerName val="1"/>
            <c:showPercent val="0"/>
            <c:showBubbleSize val="0"/>
          </c:dLbls>
          <c:xVal>
            <c:strRef>
              <c:f>'2022_Data'!$F$836</c:f>
            </c:strRef>
          </c:xVal>
          <c:yVal>
            <c:numRef>
              <c:f>'2022_Data'!$E$836</c:f>
              <c:numCache/>
            </c:numRef>
          </c:yVal>
          <c:bubbleSize>
            <c:numRef>
              <c:f>'2022_Data'!$G$836</c:f>
            </c:numRef>
          </c:bubbleSize>
        </c:ser>
        <c:ser>
          <c:idx val="836"/>
          <c:order val="836"/>
          <c:tx>
            <c:strRef>
              <c:f>'2022_Data'!$A$837</c:f>
            </c:strRef>
          </c:tx>
          <c:dLbls>
            <c:dLblPos val="ctr"/>
            <c:showLegendKey val="0"/>
            <c:showVal val="0"/>
            <c:showCatName val="0"/>
            <c:showSerName val="1"/>
            <c:showPercent val="0"/>
            <c:showBubbleSize val="0"/>
          </c:dLbls>
          <c:xVal>
            <c:strRef>
              <c:f>'2022_Data'!$F$837</c:f>
            </c:strRef>
          </c:xVal>
          <c:yVal>
            <c:numRef>
              <c:f>'2022_Data'!$E$837</c:f>
              <c:numCache/>
            </c:numRef>
          </c:yVal>
          <c:bubbleSize>
            <c:numRef>
              <c:f>'2022_Data'!$G$837</c:f>
            </c:numRef>
          </c:bubbleSize>
        </c:ser>
        <c:ser>
          <c:idx val="837"/>
          <c:order val="837"/>
          <c:tx>
            <c:strRef>
              <c:f>'2022_Data'!$A$838</c:f>
            </c:strRef>
          </c:tx>
          <c:dLbls>
            <c:dLblPos val="ctr"/>
            <c:showLegendKey val="0"/>
            <c:showVal val="0"/>
            <c:showCatName val="0"/>
            <c:showSerName val="1"/>
            <c:showPercent val="0"/>
            <c:showBubbleSize val="0"/>
          </c:dLbls>
          <c:xVal>
            <c:strRef>
              <c:f>'2022_Data'!$F$838</c:f>
            </c:strRef>
          </c:xVal>
          <c:yVal>
            <c:numRef>
              <c:f>'2022_Data'!$E$838</c:f>
              <c:numCache/>
            </c:numRef>
          </c:yVal>
          <c:bubbleSize>
            <c:numRef>
              <c:f>'2022_Data'!$G$838</c:f>
            </c:numRef>
          </c:bubbleSize>
        </c:ser>
        <c:ser>
          <c:idx val="838"/>
          <c:order val="838"/>
          <c:tx>
            <c:strRef>
              <c:f>'2022_Data'!$A$839</c:f>
            </c:strRef>
          </c:tx>
          <c:dLbls>
            <c:dLblPos val="ctr"/>
            <c:showLegendKey val="0"/>
            <c:showVal val="0"/>
            <c:showCatName val="0"/>
            <c:showSerName val="1"/>
            <c:showPercent val="0"/>
            <c:showBubbleSize val="0"/>
          </c:dLbls>
          <c:xVal>
            <c:strRef>
              <c:f>'2022_Data'!$F$839</c:f>
            </c:strRef>
          </c:xVal>
          <c:yVal>
            <c:numRef>
              <c:f>'2022_Data'!$E$839</c:f>
              <c:numCache/>
            </c:numRef>
          </c:yVal>
          <c:bubbleSize>
            <c:numRef>
              <c:f>'2022_Data'!$G$839</c:f>
            </c:numRef>
          </c:bubbleSize>
        </c:ser>
        <c:ser>
          <c:idx val="839"/>
          <c:order val="839"/>
          <c:tx>
            <c:strRef>
              <c:f>'2022_Data'!$A$840</c:f>
            </c:strRef>
          </c:tx>
          <c:dLbls>
            <c:dLblPos val="ctr"/>
            <c:showLegendKey val="0"/>
            <c:showVal val="0"/>
            <c:showCatName val="0"/>
            <c:showSerName val="1"/>
            <c:showPercent val="0"/>
            <c:showBubbleSize val="0"/>
          </c:dLbls>
          <c:xVal>
            <c:strRef>
              <c:f>'2022_Data'!$F$840</c:f>
            </c:strRef>
          </c:xVal>
          <c:yVal>
            <c:numRef>
              <c:f>'2022_Data'!$E$840</c:f>
              <c:numCache/>
            </c:numRef>
          </c:yVal>
          <c:bubbleSize>
            <c:numRef>
              <c:f>'2022_Data'!$G$840</c:f>
            </c:numRef>
          </c:bubbleSize>
        </c:ser>
        <c:ser>
          <c:idx val="840"/>
          <c:order val="840"/>
          <c:tx>
            <c:strRef>
              <c:f>'2022_Data'!$A$841</c:f>
            </c:strRef>
          </c:tx>
          <c:dLbls>
            <c:dLblPos val="ctr"/>
            <c:showLegendKey val="0"/>
            <c:showVal val="0"/>
            <c:showCatName val="0"/>
            <c:showSerName val="1"/>
            <c:showPercent val="0"/>
            <c:showBubbleSize val="0"/>
          </c:dLbls>
          <c:xVal>
            <c:strRef>
              <c:f>'2022_Data'!$F$841</c:f>
            </c:strRef>
          </c:xVal>
          <c:yVal>
            <c:numRef>
              <c:f>'2022_Data'!$E$841</c:f>
              <c:numCache/>
            </c:numRef>
          </c:yVal>
          <c:bubbleSize>
            <c:numRef>
              <c:f>'2022_Data'!$G$841</c:f>
            </c:numRef>
          </c:bubbleSize>
        </c:ser>
        <c:ser>
          <c:idx val="841"/>
          <c:order val="841"/>
          <c:tx>
            <c:strRef>
              <c:f>'2022_Data'!$A$842</c:f>
            </c:strRef>
          </c:tx>
          <c:dLbls>
            <c:dLblPos val="ctr"/>
            <c:showLegendKey val="0"/>
            <c:showVal val="0"/>
            <c:showCatName val="0"/>
            <c:showSerName val="1"/>
            <c:showPercent val="0"/>
            <c:showBubbleSize val="0"/>
          </c:dLbls>
          <c:xVal>
            <c:strRef>
              <c:f>'2022_Data'!$F$842</c:f>
            </c:strRef>
          </c:xVal>
          <c:yVal>
            <c:numRef>
              <c:f>'2022_Data'!$E$842</c:f>
              <c:numCache/>
            </c:numRef>
          </c:yVal>
          <c:bubbleSize>
            <c:numRef>
              <c:f>'2022_Data'!$G$842</c:f>
            </c:numRef>
          </c:bubbleSize>
        </c:ser>
        <c:ser>
          <c:idx val="842"/>
          <c:order val="842"/>
          <c:tx>
            <c:strRef>
              <c:f>'2022_Data'!$A$843</c:f>
            </c:strRef>
          </c:tx>
          <c:dLbls>
            <c:dLblPos val="ctr"/>
            <c:showLegendKey val="0"/>
            <c:showVal val="0"/>
            <c:showCatName val="0"/>
            <c:showSerName val="1"/>
            <c:showPercent val="0"/>
            <c:showBubbleSize val="0"/>
          </c:dLbls>
          <c:xVal>
            <c:strRef>
              <c:f>'2022_Data'!$F$843</c:f>
            </c:strRef>
          </c:xVal>
          <c:yVal>
            <c:numRef>
              <c:f>'2022_Data'!$E$843</c:f>
              <c:numCache/>
            </c:numRef>
          </c:yVal>
          <c:bubbleSize>
            <c:numRef>
              <c:f>'2022_Data'!$G$843</c:f>
            </c:numRef>
          </c:bubbleSize>
        </c:ser>
        <c:ser>
          <c:idx val="843"/>
          <c:order val="843"/>
          <c:tx>
            <c:strRef>
              <c:f>'2022_Data'!$A$844</c:f>
            </c:strRef>
          </c:tx>
          <c:dLbls>
            <c:dLblPos val="ctr"/>
            <c:showLegendKey val="0"/>
            <c:showVal val="0"/>
            <c:showCatName val="0"/>
            <c:showSerName val="1"/>
            <c:showPercent val="0"/>
            <c:showBubbleSize val="0"/>
          </c:dLbls>
          <c:xVal>
            <c:strRef>
              <c:f>'2022_Data'!$F$844</c:f>
            </c:strRef>
          </c:xVal>
          <c:yVal>
            <c:numRef>
              <c:f>'2022_Data'!$E$844</c:f>
              <c:numCache/>
            </c:numRef>
          </c:yVal>
          <c:bubbleSize>
            <c:numRef>
              <c:f>'2022_Data'!$G$844</c:f>
            </c:numRef>
          </c:bubbleSize>
        </c:ser>
        <c:ser>
          <c:idx val="844"/>
          <c:order val="844"/>
          <c:tx>
            <c:strRef>
              <c:f>'2022_Data'!$A$845</c:f>
            </c:strRef>
          </c:tx>
          <c:dLbls>
            <c:dLblPos val="ctr"/>
            <c:showLegendKey val="0"/>
            <c:showVal val="0"/>
            <c:showCatName val="0"/>
            <c:showSerName val="1"/>
            <c:showPercent val="0"/>
            <c:showBubbleSize val="0"/>
          </c:dLbls>
          <c:xVal>
            <c:strRef>
              <c:f>'2022_Data'!$F$845</c:f>
            </c:strRef>
          </c:xVal>
          <c:yVal>
            <c:numRef>
              <c:f>'2022_Data'!$E$845</c:f>
              <c:numCache/>
            </c:numRef>
          </c:yVal>
          <c:bubbleSize>
            <c:numRef>
              <c:f>'2022_Data'!$G$845</c:f>
            </c:numRef>
          </c:bubbleSize>
        </c:ser>
        <c:ser>
          <c:idx val="845"/>
          <c:order val="845"/>
          <c:tx>
            <c:strRef>
              <c:f>'2022_Data'!$A$846</c:f>
            </c:strRef>
          </c:tx>
          <c:dLbls>
            <c:dLblPos val="ctr"/>
            <c:showLegendKey val="0"/>
            <c:showVal val="0"/>
            <c:showCatName val="0"/>
            <c:showSerName val="1"/>
            <c:showPercent val="0"/>
            <c:showBubbleSize val="0"/>
          </c:dLbls>
          <c:xVal>
            <c:strRef>
              <c:f>'2022_Data'!$F$846</c:f>
            </c:strRef>
          </c:xVal>
          <c:yVal>
            <c:numRef>
              <c:f>'2022_Data'!$E$846</c:f>
              <c:numCache/>
            </c:numRef>
          </c:yVal>
          <c:bubbleSize>
            <c:numRef>
              <c:f>'2022_Data'!$G$846</c:f>
            </c:numRef>
          </c:bubbleSize>
        </c:ser>
        <c:ser>
          <c:idx val="846"/>
          <c:order val="846"/>
          <c:tx>
            <c:strRef>
              <c:f>'2022_Data'!$A$847</c:f>
            </c:strRef>
          </c:tx>
          <c:dLbls>
            <c:dLblPos val="ctr"/>
            <c:showLegendKey val="0"/>
            <c:showVal val="0"/>
            <c:showCatName val="0"/>
            <c:showSerName val="1"/>
            <c:showPercent val="0"/>
            <c:showBubbleSize val="0"/>
          </c:dLbls>
          <c:xVal>
            <c:strRef>
              <c:f>'2022_Data'!$F$847</c:f>
            </c:strRef>
          </c:xVal>
          <c:yVal>
            <c:numRef>
              <c:f>'2022_Data'!$E$847</c:f>
              <c:numCache/>
            </c:numRef>
          </c:yVal>
          <c:bubbleSize>
            <c:numRef>
              <c:f>'2022_Data'!$G$847</c:f>
            </c:numRef>
          </c:bubbleSize>
        </c:ser>
        <c:ser>
          <c:idx val="847"/>
          <c:order val="847"/>
          <c:tx>
            <c:strRef>
              <c:f>'2022_Data'!$A$848</c:f>
            </c:strRef>
          </c:tx>
          <c:dLbls>
            <c:dLblPos val="ctr"/>
            <c:showLegendKey val="0"/>
            <c:showVal val="0"/>
            <c:showCatName val="0"/>
            <c:showSerName val="1"/>
            <c:showPercent val="0"/>
            <c:showBubbleSize val="0"/>
          </c:dLbls>
          <c:xVal>
            <c:strRef>
              <c:f>'2022_Data'!$F$848</c:f>
            </c:strRef>
          </c:xVal>
          <c:yVal>
            <c:numRef>
              <c:f>'2022_Data'!$E$848</c:f>
              <c:numCache/>
            </c:numRef>
          </c:yVal>
          <c:bubbleSize>
            <c:numRef>
              <c:f>'2022_Data'!$G$848</c:f>
            </c:numRef>
          </c:bubbleSize>
        </c:ser>
        <c:ser>
          <c:idx val="848"/>
          <c:order val="848"/>
          <c:tx>
            <c:strRef>
              <c:f>'2022_Data'!$A$849</c:f>
            </c:strRef>
          </c:tx>
          <c:dLbls>
            <c:dLblPos val="ctr"/>
            <c:showLegendKey val="0"/>
            <c:showVal val="0"/>
            <c:showCatName val="0"/>
            <c:showSerName val="1"/>
            <c:showPercent val="0"/>
            <c:showBubbleSize val="0"/>
          </c:dLbls>
          <c:xVal>
            <c:strRef>
              <c:f>'2022_Data'!$F$849</c:f>
            </c:strRef>
          </c:xVal>
          <c:yVal>
            <c:numRef>
              <c:f>'2022_Data'!$E$849</c:f>
              <c:numCache/>
            </c:numRef>
          </c:yVal>
          <c:bubbleSize>
            <c:numRef>
              <c:f>'2022_Data'!$G$849</c:f>
            </c:numRef>
          </c:bubbleSize>
        </c:ser>
        <c:ser>
          <c:idx val="849"/>
          <c:order val="849"/>
          <c:tx>
            <c:strRef>
              <c:f>'2022_Data'!$A$850</c:f>
            </c:strRef>
          </c:tx>
          <c:dLbls>
            <c:dLblPos val="ctr"/>
            <c:showLegendKey val="0"/>
            <c:showVal val="0"/>
            <c:showCatName val="0"/>
            <c:showSerName val="1"/>
            <c:showPercent val="0"/>
            <c:showBubbleSize val="0"/>
          </c:dLbls>
          <c:xVal>
            <c:strRef>
              <c:f>'2022_Data'!$F$850</c:f>
            </c:strRef>
          </c:xVal>
          <c:yVal>
            <c:numRef>
              <c:f>'2022_Data'!$E$850</c:f>
              <c:numCache/>
            </c:numRef>
          </c:yVal>
          <c:bubbleSize>
            <c:numRef>
              <c:f>'2022_Data'!$G$850</c:f>
            </c:numRef>
          </c:bubbleSize>
        </c:ser>
        <c:ser>
          <c:idx val="850"/>
          <c:order val="850"/>
          <c:tx>
            <c:strRef>
              <c:f>'2022_Data'!$A$851</c:f>
            </c:strRef>
          </c:tx>
          <c:dLbls>
            <c:dLblPos val="ctr"/>
            <c:showLegendKey val="0"/>
            <c:showVal val="0"/>
            <c:showCatName val="0"/>
            <c:showSerName val="1"/>
            <c:showPercent val="0"/>
            <c:showBubbleSize val="0"/>
          </c:dLbls>
          <c:xVal>
            <c:strRef>
              <c:f>'2022_Data'!$F$851</c:f>
            </c:strRef>
          </c:xVal>
          <c:yVal>
            <c:numRef>
              <c:f>'2022_Data'!$E$851</c:f>
              <c:numCache/>
            </c:numRef>
          </c:yVal>
          <c:bubbleSize>
            <c:numRef>
              <c:f>'2022_Data'!$G$851</c:f>
            </c:numRef>
          </c:bubbleSize>
        </c:ser>
        <c:ser>
          <c:idx val="851"/>
          <c:order val="851"/>
          <c:tx>
            <c:strRef>
              <c:f>'2022_Data'!$A$852</c:f>
            </c:strRef>
          </c:tx>
          <c:dLbls>
            <c:dLblPos val="ctr"/>
            <c:showLegendKey val="0"/>
            <c:showVal val="0"/>
            <c:showCatName val="0"/>
            <c:showSerName val="1"/>
            <c:showPercent val="0"/>
            <c:showBubbleSize val="0"/>
          </c:dLbls>
          <c:xVal>
            <c:strRef>
              <c:f>'2022_Data'!$F$852</c:f>
            </c:strRef>
          </c:xVal>
          <c:yVal>
            <c:numRef>
              <c:f>'2022_Data'!$E$852</c:f>
              <c:numCache/>
            </c:numRef>
          </c:yVal>
          <c:bubbleSize>
            <c:numRef>
              <c:f>'2022_Data'!$G$852</c:f>
            </c:numRef>
          </c:bubbleSize>
        </c:ser>
        <c:ser>
          <c:idx val="852"/>
          <c:order val="852"/>
          <c:tx>
            <c:strRef>
              <c:f>'2022_Data'!$A$853</c:f>
            </c:strRef>
          </c:tx>
          <c:dLbls>
            <c:dLblPos val="ctr"/>
            <c:showLegendKey val="0"/>
            <c:showVal val="0"/>
            <c:showCatName val="0"/>
            <c:showSerName val="1"/>
            <c:showPercent val="0"/>
            <c:showBubbleSize val="0"/>
          </c:dLbls>
          <c:xVal>
            <c:strRef>
              <c:f>'2022_Data'!$F$853</c:f>
            </c:strRef>
          </c:xVal>
          <c:yVal>
            <c:numRef>
              <c:f>'2022_Data'!$E$853</c:f>
              <c:numCache/>
            </c:numRef>
          </c:yVal>
          <c:bubbleSize>
            <c:numRef>
              <c:f>'2022_Data'!$G$853</c:f>
            </c:numRef>
          </c:bubbleSize>
        </c:ser>
        <c:ser>
          <c:idx val="853"/>
          <c:order val="853"/>
          <c:tx>
            <c:strRef>
              <c:f>'2022_Data'!$A$854</c:f>
            </c:strRef>
          </c:tx>
          <c:dLbls>
            <c:dLblPos val="ctr"/>
            <c:showLegendKey val="0"/>
            <c:showVal val="0"/>
            <c:showCatName val="0"/>
            <c:showSerName val="1"/>
            <c:showPercent val="0"/>
            <c:showBubbleSize val="0"/>
          </c:dLbls>
          <c:xVal>
            <c:strRef>
              <c:f>'2022_Data'!$F$854</c:f>
            </c:strRef>
          </c:xVal>
          <c:yVal>
            <c:numRef>
              <c:f>'2022_Data'!$E$854</c:f>
              <c:numCache/>
            </c:numRef>
          </c:yVal>
          <c:bubbleSize>
            <c:numRef>
              <c:f>'2022_Data'!$G$854</c:f>
            </c:numRef>
          </c:bubbleSize>
        </c:ser>
        <c:ser>
          <c:idx val="854"/>
          <c:order val="854"/>
          <c:tx>
            <c:strRef>
              <c:f>'2022_Data'!$A$855</c:f>
            </c:strRef>
          </c:tx>
          <c:dLbls>
            <c:dLblPos val="ctr"/>
            <c:showLegendKey val="0"/>
            <c:showVal val="0"/>
            <c:showCatName val="0"/>
            <c:showSerName val="1"/>
            <c:showPercent val="0"/>
            <c:showBubbleSize val="0"/>
          </c:dLbls>
          <c:xVal>
            <c:strRef>
              <c:f>'2022_Data'!$F$855</c:f>
            </c:strRef>
          </c:xVal>
          <c:yVal>
            <c:numRef>
              <c:f>'2022_Data'!$E$855</c:f>
              <c:numCache/>
            </c:numRef>
          </c:yVal>
          <c:bubbleSize>
            <c:numRef>
              <c:f>'2022_Data'!$G$855</c:f>
            </c:numRef>
          </c:bubbleSize>
        </c:ser>
        <c:ser>
          <c:idx val="855"/>
          <c:order val="855"/>
          <c:tx>
            <c:strRef>
              <c:f>'2022_Data'!$A$856</c:f>
            </c:strRef>
          </c:tx>
          <c:dLbls>
            <c:dLblPos val="ctr"/>
            <c:showLegendKey val="0"/>
            <c:showVal val="0"/>
            <c:showCatName val="0"/>
            <c:showSerName val="1"/>
            <c:showPercent val="0"/>
            <c:showBubbleSize val="0"/>
          </c:dLbls>
          <c:xVal>
            <c:strRef>
              <c:f>'2022_Data'!$F$856</c:f>
            </c:strRef>
          </c:xVal>
          <c:yVal>
            <c:numRef>
              <c:f>'2022_Data'!$E$856</c:f>
              <c:numCache/>
            </c:numRef>
          </c:yVal>
          <c:bubbleSize>
            <c:numRef>
              <c:f>'2022_Data'!$G$856</c:f>
            </c:numRef>
          </c:bubbleSize>
        </c:ser>
        <c:ser>
          <c:idx val="856"/>
          <c:order val="856"/>
          <c:tx>
            <c:strRef>
              <c:f>'2022_Data'!$A$857</c:f>
            </c:strRef>
          </c:tx>
          <c:dLbls>
            <c:dLblPos val="ctr"/>
            <c:showLegendKey val="0"/>
            <c:showVal val="0"/>
            <c:showCatName val="0"/>
            <c:showSerName val="1"/>
            <c:showPercent val="0"/>
            <c:showBubbleSize val="0"/>
          </c:dLbls>
          <c:xVal>
            <c:strRef>
              <c:f>'2022_Data'!$F$857</c:f>
            </c:strRef>
          </c:xVal>
          <c:yVal>
            <c:numRef>
              <c:f>'2022_Data'!$E$857</c:f>
              <c:numCache/>
            </c:numRef>
          </c:yVal>
          <c:bubbleSize>
            <c:numRef>
              <c:f>'2022_Data'!$G$857</c:f>
            </c:numRef>
          </c:bubbleSize>
        </c:ser>
        <c:ser>
          <c:idx val="857"/>
          <c:order val="857"/>
          <c:tx>
            <c:strRef>
              <c:f>'2022_Data'!$A$858</c:f>
            </c:strRef>
          </c:tx>
          <c:dLbls>
            <c:dLblPos val="ctr"/>
            <c:showLegendKey val="0"/>
            <c:showVal val="0"/>
            <c:showCatName val="0"/>
            <c:showSerName val="1"/>
            <c:showPercent val="0"/>
            <c:showBubbleSize val="0"/>
          </c:dLbls>
          <c:xVal>
            <c:strRef>
              <c:f>'2022_Data'!$F$858</c:f>
            </c:strRef>
          </c:xVal>
          <c:yVal>
            <c:numRef>
              <c:f>'2022_Data'!$E$858</c:f>
              <c:numCache/>
            </c:numRef>
          </c:yVal>
          <c:bubbleSize>
            <c:numRef>
              <c:f>'2022_Data'!$G$858</c:f>
            </c:numRef>
          </c:bubbleSize>
        </c:ser>
        <c:ser>
          <c:idx val="858"/>
          <c:order val="858"/>
          <c:tx>
            <c:strRef>
              <c:f>'2022_Data'!$A$859</c:f>
            </c:strRef>
          </c:tx>
          <c:dLbls>
            <c:dLblPos val="ctr"/>
            <c:showLegendKey val="0"/>
            <c:showVal val="0"/>
            <c:showCatName val="0"/>
            <c:showSerName val="1"/>
            <c:showPercent val="0"/>
            <c:showBubbleSize val="0"/>
          </c:dLbls>
          <c:xVal>
            <c:strRef>
              <c:f>'2022_Data'!$F$859</c:f>
            </c:strRef>
          </c:xVal>
          <c:yVal>
            <c:numRef>
              <c:f>'2022_Data'!$E$859</c:f>
              <c:numCache/>
            </c:numRef>
          </c:yVal>
          <c:bubbleSize>
            <c:numRef>
              <c:f>'2022_Data'!$G$859</c:f>
            </c:numRef>
          </c:bubbleSize>
        </c:ser>
        <c:ser>
          <c:idx val="859"/>
          <c:order val="859"/>
          <c:tx>
            <c:strRef>
              <c:f>'2022_Data'!$A$860</c:f>
            </c:strRef>
          </c:tx>
          <c:dLbls>
            <c:dLblPos val="ctr"/>
            <c:showLegendKey val="0"/>
            <c:showVal val="0"/>
            <c:showCatName val="0"/>
            <c:showSerName val="1"/>
            <c:showPercent val="0"/>
            <c:showBubbleSize val="0"/>
          </c:dLbls>
          <c:xVal>
            <c:strRef>
              <c:f>'2022_Data'!$F$860</c:f>
            </c:strRef>
          </c:xVal>
          <c:yVal>
            <c:numRef>
              <c:f>'2022_Data'!$E$860</c:f>
              <c:numCache/>
            </c:numRef>
          </c:yVal>
          <c:bubbleSize>
            <c:numRef>
              <c:f>'2022_Data'!$G$860</c:f>
            </c:numRef>
          </c:bubbleSize>
        </c:ser>
        <c:ser>
          <c:idx val="860"/>
          <c:order val="860"/>
          <c:tx>
            <c:strRef>
              <c:f>'2022_Data'!$A$861</c:f>
            </c:strRef>
          </c:tx>
          <c:dLbls>
            <c:dLblPos val="ctr"/>
            <c:showLegendKey val="0"/>
            <c:showVal val="0"/>
            <c:showCatName val="0"/>
            <c:showSerName val="1"/>
            <c:showPercent val="0"/>
            <c:showBubbleSize val="0"/>
          </c:dLbls>
          <c:xVal>
            <c:strRef>
              <c:f>'2022_Data'!$F$861</c:f>
            </c:strRef>
          </c:xVal>
          <c:yVal>
            <c:numRef>
              <c:f>'2022_Data'!$E$861</c:f>
              <c:numCache/>
            </c:numRef>
          </c:yVal>
          <c:bubbleSize>
            <c:numRef>
              <c:f>'2022_Data'!$G$861</c:f>
            </c:numRef>
          </c:bubbleSize>
        </c:ser>
        <c:ser>
          <c:idx val="861"/>
          <c:order val="861"/>
          <c:tx>
            <c:strRef>
              <c:f>'2022_Data'!$A$862</c:f>
            </c:strRef>
          </c:tx>
          <c:dLbls>
            <c:dLblPos val="ctr"/>
            <c:showLegendKey val="0"/>
            <c:showVal val="0"/>
            <c:showCatName val="0"/>
            <c:showSerName val="1"/>
            <c:showPercent val="0"/>
            <c:showBubbleSize val="0"/>
          </c:dLbls>
          <c:xVal>
            <c:strRef>
              <c:f>'2022_Data'!$F$862</c:f>
            </c:strRef>
          </c:xVal>
          <c:yVal>
            <c:numRef>
              <c:f>'2022_Data'!$E$862</c:f>
              <c:numCache/>
            </c:numRef>
          </c:yVal>
          <c:bubbleSize>
            <c:numRef>
              <c:f>'2022_Data'!$G$862</c:f>
            </c:numRef>
          </c:bubbleSize>
        </c:ser>
        <c:ser>
          <c:idx val="862"/>
          <c:order val="862"/>
          <c:tx>
            <c:strRef>
              <c:f>'2022_Data'!$A$863</c:f>
            </c:strRef>
          </c:tx>
          <c:dLbls>
            <c:dLblPos val="ctr"/>
            <c:showLegendKey val="0"/>
            <c:showVal val="0"/>
            <c:showCatName val="0"/>
            <c:showSerName val="1"/>
            <c:showPercent val="0"/>
            <c:showBubbleSize val="0"/>
          </c:dLbls>
          <c:xVal>
            <c:strRef>
              <c:f>'2022_Data'!$F$863</c:f>
            </c:strRef>
          </c:xVal>
          <c:yVal>
            <c:numRef>
              <c:f>'2022_Data'!$E$863</c:f>
              <c:numCache/>
            </c:numRef>
          </c:yVal>
          <c:bubbleSize>
            <c:numRef>
              <c:f>'2022_Data'!$G$863</c:f>
            </c:numRef>
          </c:bubbleSize>
        </c:ser>
        <c:ser>
          <c:idx val="863"/>
          <c:order val="863"/>
          <c:tx>
            <c:strRef>
              <c:f>'2022_Data'!$A$864</c:f>
            </c:strRef>
          </c:tx>
          <c:dLbls>
            <c:dLblPos val="ctr"/>
            <c:showLegendKey val="0"/>
            <c:showVal val="0"/>
            <c:showCatName val="0"/>
            <c:showSerName val="1"/>
            <c:showPercent val="0"/>
            <c:showBubbleSize val="0"/>
          </c:dLbls>
          <c:xVal>
            <c:strRef>
              <c:f>'2022_Data'!$F$864</c:f>
            </c:strRef>
          </c:xVal>
          <c:yVal>
            <c:numRef>
              <c:f>'2022_Data'!$E$864</c:f>
              <c:numCache/>
            </c:numRef>
          </c:yVal>
          <c:bubbleSize>
            <c:numRef>
              <c:f>'2022_Data'!$G$864</c:f>
            </c:numRef>
          </c:bubbleSize>
        </c:ser>
        <c:ser>
          <c:idx val="864"/>
          <c:order val="864"/>
          <c:tx>
            <c:strRef>
              <c:f>'2022_Data'!$A$865</c:f>
            </c:strRef>
          </c:tx>
          <c:dLbls>
            <c:dLblPos val="ctr"/>
            <c:showLegendKey val="0"/>
            <c:showVal val="0"/>
            <c:showCatName val="0"/>
            <c:showSerName val="1"/>
            <c:showPercent val="0"/>
            <c:showBubbleSize val="0"/>
          </c:dLbls>
          <c:xVal>
            <c:strRef>
              <c:f>'2022_Data'!$F$865</c:f>
            </c:strRef>
          </c:xVal>
          <c:yVal>
            <c:numRef>
              <c:f>'2022_Data'!$E$865</c:f>
              <c:numCache/>
            </c:numRef>
          </c:yVal>
          <c:bubbleSize>
            <c:numRef>
              <c:f>'2022_Data'!$G$865</c:f>
            </c:numRef>
          </c:bubbleSize>
        </c:ser>
        <c:ser>
          <c:idx val="865"/>
          <c:order val="865"/>
          <c:tx>
            <c:strRef>
              <c:f>'2022_Data'!$A$866</c:f>
            </c:strRef>
          </c:tx>
          <c:dLbls>
            <c:dLblPos val="ctr"/>
            <c:showLegendKey val="0"/>
            <c:showVal val="0"/>
            <c:showCatName val="0"/>
            <c:showSerName val="1"/>
            <c:showPercent val="0"/>
            <c:showBubbleSize val="0"/>
          </c:dLbls>
          <c:xVal>
            <c:strRef>
              <c:f>'2022_Data'!$F$866</c:f>
            </c:strRef>
          </c:xVal>
          <c:yVal>
            <c:numRef>
              <c:f>'2022_Data'!$E$866</c:f>
              <c:numCache/>
            </c:numRef>
          </c:yVal>
          <c:bubbleSize>
            <c:numRef>
              <c:f>'2022_Data'!$G$866</c:f>
            </c:numRef>
          </c:bubbleSize>
        </c:ser>
        <c:ser>
          <c:idx val="866"/>
          <c:order val="866"/>
          <c:tx>
            <c:strRef>
              <c:f>'2022_Data'!$A$867</c:f>
            </c:strRef>
          </c:tx>
          <c:dLbls>
            <c:dLblPos val="ctr"/>
            <c:showLegendKey val="0"/>
            <c:showVal val="0"/>
            <c:showCatName val="0"/>
            <c:showSerName val="1"/>
            <c:showPercent val="0"/>
            <c:showBubbleSize val="0"/>
          </c:dLbls>
          <c:xVal>
            <c:strRef>
              <c:f>'2022_Data'!$F$867</c:f>
            </c:strRef>
          </c:xVal>
          <c:yVal>
            <c:numRef>
              <c:f>'2022_Data'!$E$867</c:f>
              <c:numCache/>
            </c:numRef>
          </c:yVal>
          <c:bubbleSize>
            <c:numRef>
              <c:f>'2022_Data'!$G$867</c:f>
            </c:numRef>
          </c:bubbleSize>
        </c:ser>
        <c:ser>
          <c:idx val="867"/>
          <c:order val="867"/>
          <c:tx>
            <c:strRef>
              <c:f>'2022_Data'!$A$868</c:f>
            </c:strRef>
          </c:tx>
          <c:dLbls>
            <c:dLblPos val="ctr"/>
            <c:showLegendKey val="0"/>
            <c:showVal val="0"/>
            <c:showCatName val="0"/>
            <c:showSerName val="1"/>
            <c:showPercent val="0"/>
            <c:showBubbleSize val="0"/>
          </c:dLbls>
          <c:xVal>
            <c:strRef>
              <c:f>'2022_Data'!$F$868</c:f>
            </c:strRef>
          </c:xVal>
          <c:yVal>
            <c:numRef>
              <c:f>'2022_Data'!$E$868</c:f>
              <c:numCache/>
            </c:numRef>
          </c:yVal>
          <c:bubbleSize>
            <c:numRef>
              <c:f>'2022_Data'!$G$868</c:f>
            </c:numRef>
          </c:bubbleSize>
        </c:ser>
        <c:ser>
          <c:idx val="868"/>
          <c:order val="868"/>
          <c:tx>
            <c:strRef>
              <c:f>'2022_Data'!$A$869</c:f>
            </c:strRef>
          </c:tx>
          <c:dLbls>
            <c:dLblPos val="ctr"/>
            <c:showLegendKey val="0"/>
            <c:showVal val="0"/>
            <c:showCatName val="0"/>
            <c:showSerName val="1"/>
            <c:showPercent val="0"/>
            <c:showBubbleSize val="0"/>
          </c:dLbls>
          <c:xVal>
            <c:strRef>
              <c:f>'2022_Data'!$F$869</c:f>
            </c:strRef>
          </c:xVal>
          <c:yVal>
            <c:numRef>
              <c:f>'2022_Data'!$E$869</c:f>
              <c:numCache/>
            </c:numRef>
          </c:yVal>
          <c:bubbleSize>
            <c:numRef>
              <c:f>'2022_Data'!$G$869</c:f>
            </c:numRef>
          </c:bubbleSize>
        </c:ser>
        <c:ser>
          <c:idx val="869"/>
          <c:order val="869"/>
          <c:tx>
            <c:strRef>
              <c:f>'2022_Data'!$A$870</c:f>
            </c:strRef>
          </c:tx>
          <c:dLbls>
            <c:dLblPos val="ctr"/>
            <c:showLegendKey val="0"/>
            <c:showVal val="0"/>
            <c:showCatName val="0"/>
            <c:showSerName val="1"/>
            <c:showPercent val="0"/>
            <c:showBubbleSize val="0"/>
          </c:dLbls>
          <c:xVal>
            <c:strRef>
              <c:f>'2022_Data'!$F$870</c:f>
            </c:strRef>
          </c:xVal>
          <c:yVal>
            <c:numRef>
              <c:f>'2022_Data'!$E$870</c:f>
              <c:numCache/>
            </c:numRef>
          </c:yVal>
          <c:bubbleSize>
            <c:numRef>
              <c:f>'2022_Data'!$G$870</c:f>
            </c:numRef>
          </c:bubbleSize>
        </c:ser>
        <c:ser>
          <c:idx val="870"/>
          <c:order val="870"/>
          <c:tx>
            <c:strRef>
              <c:f>'2022_Data'!$A$871</c:f>
            </c:strRef>
          </c:tx>
          <c:dLbls>
            <c:dLblPos val="ctr"/>
            <c:showLegendKey val="0"/>
            <c:showVal val="0"/>
            <c:showCatName val="0"/>
            <c:showSerName val="1"/>
            <c:showPercent val="0"/>
            <c:showBubbleSize val="0"/>
          </c:dLbls>
          <c:xVal>
            <c:strRef>
              <c:f>'2022_Data'!$F$871</c:f>
            </c:strRef>
          </c:xVal>
          <c:yVal>
            <c:numRef>
              <c:f>'2022_Data'!$E$871</c:f>
              <c:numCache/>
            </c:numRef>
          </c:yVal>
          <c:bubbleSize>
            <c:numRef>
              <c:f>'2022_Data'!$G$871</c:f>
            </c:numRef>
          </c:bubbleSize>
        </c:ser>
        <c:ser>
          <c:idx val="871"/>
          <c:order val="871"/>
          <c:tx>
            <c:strRef>
              <c:f>'2022_Data'!$A$872</c:f>
            </c:strRef>
          </c:tx>
          <c:dLbls>
            <c:dLblPos val="ctr"/>
            <c:showLegendKey val="0"/>
            <c:showVal val="0"/>
            <c:showCatName val="0"/>
            <c:showSerName val="1"/>
            <c:showPercent val="0"/>
            <c:showBubbleSize val="0"/>
          </c:dLbls>
          <c:xVal>
            <c:strRef>
              <c:f>'2022_Data'!$F$872</c:f>
            </c:strRef>
          </c:xVal>
          <c:yVal>
            <c:numRef>
              <c:f>'2022_Data'!$E$872</c:f>
              <c:numCache/>
            </c:numRef>
          </c:yVal>
          <c:bubbleSize>
            <c:numRef>
              <c:f>'2022_Data'!$G$872</c:f>
            </c:numRef>
          </c:bubbleSize>
        </c:ser>
        <c:ser>
          <c:idx val="872"/>
          <c:order val="872"/>
          <c:tx>
            <c:strRef>
              <c:f>'2022_Data'!$A$873</c:f>
            </c:strRef>
          </c:tx>
          <c:dLbls>
            <c:dLblPos val="ctr"/>
            <c:showLegendKey val="0"/>
            <c:showVal val="0"/>
            <c:showCatName val="0"/>
            <c:showSerName val="1"/>
            <c:showPercent val="0"/>
            <c:showBubbleSize val="0"/>
          </c:dLbls>
          <c:xVal>
            <c:strRef>
              <c:f>'2022_Data'!$F$873</c:f>
            </c:strRef>
          </c:xVal>
          <c:yVal>
            <c:numRef>
              <c:f>'2022_Data'!$E$873</c:f>
              <c:numCache/>
            </c:numRef>
          </c:yVal>
          <c:bubbleSize>
            <c:numRef>
              <c:f>'2022_Data'!$G$873</c:f>
            </c:numRef>
          </c:bubbleSize>
        </c:ser>
        <c:ser>
          <c:idx val="873"/>
          <c:order val="873"/>
          <c:tx>
            <c:strRef>
              <c:f>'2022_Data'!$A$874</c:f>
            </c:strRef>
          </c:tx>
          <c:dLbls>
            <c:dLblPos val="ctr"/>
            <c:showLegendKey val="0"/>
            <c:showVal val="0"/>
            <c:showCatName val="0"/>
            <c:showSerName val="1"/>
            <c:showPercent val="0"/>
            <c:showBubbleSize val="0"/>
          </c:dLbls>
          <c:xVal>
            <c:strRef>
              <c:f>'2022_Data'!$F$874</c:f>
            </c:strRef>
          </c:xVal>
          <c:yVal>
            <c:numRef>
              <c:f>'2022_Data'!$E$874</c:f>
              <c:numCache/>
            </c:numRef>
          </c:yVal>
          <c:bubbleSize>
            <c:numRef>
              <c:f>'2022_Data'!$G$874</c:f>
            </c:numRef>
          </c:bubbleSize>
        </c:ser>
        <c:ser>
          <c:idx val="874"/>
          <c:order val="874"/>
          <c:tx>
            <c:strRef>
              <c:f>'2022_Data'!$A$875</c:f>
            </c:strRef>
          </c:tx>
          <c:dLbls>
            <c:dLblPos val="ctr"/>
            <c:showLegendKey val="0"/>
            <c:showVal val="0"/>
            <c:showCatName val="0"/>
            <c:showSerName val="1"/>
            <c:showPercent val="0"/>
            <c:showBubbleSize val="0"/>
          </c:dLbls>
          <c:xVal>
            <c:strRef>
              <c:f>'2022_Data'!$F$875</c:f>
            </c:strRef>
          </c:xVal>
          <c:yVal>
            <c:numRef>
              <c:f>'2022_Data'!$E$875</c:f>
              <c:numCache/>
            </c:numRef>
          </c:yVal>
          <c:bubbleSize>
            <c:numRef>
              <c:f>'2022_Data'!$G$875</c:f>
            </c:numRef>
          </c:bubbleSize>
        </c:ser>
        <c:ser>
          <c:idx val="875"/>
          <c:order val="875"/>
          <c:tx>
            <c:strRef>
              <c:f>'2022_Data'!$A$876</c:f>
            </c:strRef>
          </c:tx>
          <c:dLbls>
            <c:dLblPos val="ctr"/>
            <c:showLegendKey val="0"/>
            <c:showVal val="0"/>
            <c:showCatName val="0"/>
            <c:showSerName val="1"/>
            <c:showPercent val="0"/>
            <c:showBubbleSize val="0"/>
          </c:dLbls>
          <c:xVal>
            <c:strRef>
              <c:f>'2022_Data'!$F$876</c:f>
            </c:strRef>
          </c:xVal>
          <c:yVal>
            <c:numRef>
              <c:f>'2022_Data'!$E$876</c:f>
              <c:numCache/>
            </c:numRef>
          </c:yVal>
          <c:bubbleSize>
            <c:numRef>
              <c:f>'2022_Data'!$G$876</c:f>
            </c:numRef>
          </c:bubbleSize>
        </c:ser>
        <c:ser>
          <c:idx val="876"/>
          <c:order val="876"/>
          <c:tx>
            <c:strRef>
              <c:f>'2022_Data'!$A$877</c:f>
            </c:strRef>
          </c:tx>
          <c:dLbls>
            <c:dLblPos val="ctr"/>
            <c:showLegendKey val="0"/>
            <c:showVal val="0"/>
            <c:showCatName val="0"/>
            <c:showSerName val="1"/>
            <c:showPercent val="0"/>
            <c:showBubbleSize val="0"/>
          </c:dLbls>
          <c:xVal>
            <c:strRef>
              <c:f>'2022_Data'!$F$877</c:f>
            </c:strRef>
          </c:xVal>
          <c:yVal>
            <c:numRef>
              <c:f>'2022_Data'!$E$877</c:f>
              <c:numCache/>
            </c:numRef>
          </c:yVal>
          <c:bubbleSize>
            <c:numRef>
              <c:f>'2022_Data'!$G$877</c:f>
            </c:numRef>
          </c:bubbleSize>
        </c:ser>
        <c:ser>
          <c:idx val="877"/>
          <c:order val="877"/>
          <c:tx>
            <c:strRef>
              <c:f>'2022_Data'!$A$878</c:f>
            </c:strRef>
          </c:tx>
          <c:dLbls>
            <c:dLblPos val="ctr"/>
            <c:showLegendKey val="0"/>
            <c:showVal val="0"/>
            <c:showCatName val="0"/>
            <c:showSerName val="1"/>
            <c:showPercent val="0"/>
            <c:showBubbleSize val="0"/>
          </c:dLbls>
          <c:xVal>
            <c:strRef>
              <c:f>'2022_Data'!$F$878</c:f>
            </c:strRef>
          </c:xVal>
          <c:yVal>
            <c:numRef>
              <c:f>'2022_Data'!$E$878</c:f>
              <c:numCache/>
            </c:numRef>
          </c:yVal>
          <c:bubbleSize>
            <c:numRef>
              <c:f>'2022_Data'!$G$878</c:f>
            </c:numRef>
          </c:bubbleSize>
        </c:ser>
        <c:ser>
          <c:idx val="878"/>
          <c:order val="878"/>
          <c:tx>
            <c:strRef>
              <c:f>'2022_Data'!$A$879</c:f>
            </c:strRef>
          </c:tx>
          <c:dLbls>
            <c:dLblPos val="ctr"/>
            <c:showLegendKey val="0"/>
            <c:showVal val="0"/>
            <c:showCatName val="0"/>
            <c:showSerName val="1"/>
            <c:showPercent val="0"/>
            <c:showBubbleSize val="0"/>
          </c:dLbls>
          <c:xVal>
            <c:strRef>
              <c:f>'2022_Data'!$F$879</c:f>
            </c:strRef>
          </c:xVal>
          <c:yVal>
            <c:numRef>
              <c:f>'2022_Data'!$E$879</c:f>
              <c:numCache/>
            </c:numRef>
          </c:yVal>
          <c:bubbleSize>
            <c:numRef>
              <c:f>'2022_Data'!$G$879</c:f>
            </c:numRef>
          </c:bubbleSize>
        </c:ser>
        <c:ser>
          <c:idx val="879"/>
          <c:order val="879"/>
          <c:tx>
            <c:strRef>
              <c:f>'2022_Data'!$A$880</c:f>
            </c:strRef>
          </c:tx>
          <c:dLbls>
            <c:dLblPos val="ctr"/>
            <c:showLegendKey val="0"/>
            <c:showVal val="0"/>
            <c:showCatName val="0"/>
            <c:showSerName val="1"/>
            <c:showPercent val="0"/>
            <c:showBubbleSize val="0"/>
          </c:dLbls>
          <c:xVal>
            <c:strRef>
              <c:f>'2022_Data'!$F$880</c:f>
            </c:strRef>
          </c:xVal>
          <c:yVal>
            <c:numRef>
              <c:f>'2022_Data'!$E$880</c:f>
              <c:numCache/>
            </c:numRef>
          </c:yVal>
          <c:bubbleSize>
            <c:numRef>
              <c:f>'2022_Data'!$G$880</c:f>
            </c:numRef>
          </c:bubbleSize>
        </c:ser>
        <c:ser>
          <c:idx val="880"/>
          <c:order val="880"/>
          <c:tx>
            <c:strRef>
              <c:f>'2022_Data'!$A$881</c:f>
            </c:strRef>
          </c:tx>
          <c:dLbls>
            <c:dLblPos val="ctr"/>
            <c:showLegendKey val="0"/>
            <c:showVal val="0"/>
            <c:showCatName val="0"/>
            <c:showSerName val="1"/>
            <c:showPercent val="0"/>
            <c:showBubbleSize val="0"/>
          </c:dLbls>
          <c:xVal>
            <c:strRef>
              <c:f>'2022_Data'!$F$881</c:f>
            </c:strRef>
          </c:xVal>
          <c:yVal>
            <c:numRef>
              <c:f>'2022_Data'!$E$881</c:f>
              <c:numCache/>
            </c:numRef>
          </c:yVal>
          <c:bubbleSize>
            <c:numRef>
              <c:f>'2022_Data'!$G$881</c:f>
            </c:numRef>
          </c:bubbleSize>
        </c:ser>
        <c:ser>
          <c:idx val="881"/>
          <c:order val="881"/>
          <c:tx>
            <c:strRef>
              <c:f>'2022_Data'!$A$882</c:f>
            </c:strRef>
          </c:tx>
          <c:dLbls>
            <c:dLblPos val="ctr"/>
            <c:showLegendKey val="0"/>
            <c:showVal val="0"/>
            <c:showCatName val="0"/>
            <c:showSerName val="1"/>
            <c:showPercent val="0"/>
            <c:showBubbleSize val="0"/>
          </c:dLbls>
          <c:xVal>
            <c:strRef>
              <c:f>'2022_Data'!$F$882</c:f>
            </c:strRef>
          </c:xVal>
          <c:yVal>
            <c:numRef>
              <c:f>'2022_Data'!$E$882</c:f>
              <c:numCache/>
            </c:numRef>
          </c:yVal>
          <c:bubbleSize>
            <c:numRef>
              <c:f>'2022_Data'!$G$882</c:f>
            </c:numRef>
          </c:bubbleSize>
        </c:ser>
        <c:ser>
          <c:idx val="882"/>
          <c:order val="882"/>
          <c:tx>
            <c:strRef>
              <c:f>'2022_Data'!$A$883</c:f>
            </c:strRef>
          </c:tx>
          <c:dLbls>
            <c:dLblPos val="ctr"/>
            <c:showLegendKey val="0"/>
            <c:showVal val="0"/>
            <c:showCatName val="0"/>
            <c:showSerName val="1"/>
            <c:showPercent val="0"/>
            <c:showBubbleSize val="0"/>
          </c:dLbls>
          <c:xVal>
            <c:strRef>
              <c:f>'2022_Data'!$F$883</c:f>
            </c:strRef>
          </c:xVal>
          <c:yVal>
            <c:numRef>
              <c:f>'2022_Data'!$E$883</c:f>
              <c:numCache/>
            </c:numRef>
          </c:yVal>
          <c:bubbleSize>
            <c:numRef>
              <c:f>'2022_Data'!$G$883</c:f>
            </c:numRef>
          </c:bubbleSize>
        </c:ser>
        <c:ser>
          <c:idx val="883"/>
          <c:order val="883"/>
          <c:tx>
            <c:strRef>
              <c:f>'2022_Data'!$A$884</c:f>
            </c:strRef>
          </c:tx>
          <c:dLbls>
            <c:dLblPos val="ctr"/>
            <c:showLegendKey val="0"/>
            <c:showVal val="0"/>
            <c:showCatName val="0"/>
            <c:showSerName val="1"/>
            <c:showPercent val="0"/>
            <c:showBubbleSize val="0"/>
          </c:dLbls>
          <c:xVal>
            <c:strRef>
              <c:f>'2022_Data'!$F$884</c:f>
            </c:strRef>
          </c:xVal>
          <c:yVal>
            <c:numRef>
              <c:f>'2022_Data'!$E$884</c:f>
              <c:numCache/>
            </c:numRef>
          </c:yVal>
          <c:bubbleSize>
            <c:numRef>
              <c:f>'2022_Data'!$G$884</c:f>
            </c:numRef>
          </c:bubbleSize>
        </c:ser>
        <c:ser>
          <c:idx val="884"/>
          <c:order val="884"/>
          <c:tx>
            <c:strRef>
              <c:f>'2022_Data'!$A$885</c:f>
            </c:strRef>
          </c:tx>
          <c:dLbls>
            <c:dLblPos val="ctr"/>
            <c:showLegendKey val="0"/>
            <c:showVal val="0"/>
            <c:showCatName val="0"/>
            <c:showSerName val="1"/>
            <c:showPercent val="0"/>
            <c:showBubbleSize val="0"/>
          </c:dLbls>
          <c:xVal>
            <c:strRef>
              <c:f>'2022_Data'!$F$885</c:f>
            </c:strRef>
          </c:xVal>
          <c:yVal>
            <c:numRef>
              <c:f>'2022_Data'!$E$885</c:f>
              <c:numCache/>
            </c:numRef>
          </c:yVal>
          <c:bubbleSize>
            <c:numRef>
              <c:f>'2022_Data'!$G$885</c:f>
            </c:numRef>
          </c:bubbleSize>
        </c:ser>
        <c:ser>
          <c:idx val="885"/>
          <c:order val="885"/>
          <c:tx>
            <c:strRef>
              <c:f>'2022_Data'!$A$886</c:f>
            </c:strRef>
          </c:tx>
          <c:dLbls>
            <c:dLblPos val="ctr"/>
            <c:showLegendKey val="0"/>
            <c:showVal val="0"/>
            <c:showCatName val="0"/>
            <c:showSerName val="1"/>
            <c:showPercent val="0"/>
            <c:showBubbleSize val="0"/>
          </c:dLbls>
          <c:xVal>
            <c:strRef>
              <c:f>'2022_Data'!$F$886</c:f>
            </c:strRef>
          </c:xVal>
          <c:yVal>
            <c:numRef>
              <c:f>'2022_Data'!$E$886</c:f>
              <c:numCache/>
            </c:numRef>
          </c:yVal>
          <c:bubbleSize>
            <c:numRef>
              <c:f>'2022_Data'!$G$886</c:f>
            </c:numRef>
          </c:bubbleSize>
        </c:ser>
        <c:ser>
          <c:idx val="886"/>
          <c:order val="886"/>
          <c:tx>
            <c:strRef>
              <c:f>'2022_Data'!$A$887</c:f>
            </c:strRef>
          </c:tx>
          <c:dLbls>
            <c:dLblPos val="ctr"/>
            <c:showLegendKey val="0"/>
            <c:showVal val="0"/>
            <c:showCatName val="0"/>
            <c:showSerName val="1"/>
            <c:showPercent val="0"/>
            <c:showBubbleSize val="0"/>
          </c:dLbls>
          <c:xVal>
            <c:strRef>
              <c:f>'2022_Data'!$F$887</c:f>
            </c:strRef>
          </c:xVal>
          <c:yVal>
            <c:numRef>
              <c:f>'2022_Data'!$E$887</c:f>
              <c:numCache/>
            </c:numRef>
          </c:yVal>
          <c:bubbleSize>
            <c:numRef>
              <c:f>'2022_Data'!$G$887</c:f>
            </c:numRef>
          </c:bubbleSize>
        </c:ser>
        <c:ser>
          <c:idx val="887"/>
          <c:order val="887"/>
          <c:tx>
            <c:strRef>
              <c:f>'2022_Data'!$A$888</c:f>
            </c:strRef>
          </c:tx>
          <c:dLbls>
            <c:dLblPos val="ctr"/>
            <c:showLegendKey val="0"/>
            <c:showVal val="0"/>
            <c:showCatName val="0"/>
            <c:showSerName val="1"/>
            <c:showPercent val="0"/>
            <c:showBubbleSize val="0"/>
          </c:dLbls>
          <c:xVal>
            <c:strRef>
              <c:f>'2022_Data'!$F$888</c:f>
            </c:strRef>
          </c:xVal>
          <c:yVal>
            <c:numRef>
              <c:f>'2022_Data'!$E$888</c:f>
              <c:numCache/>
            </c:numRef>
          </c:yVal>
          <c:bubbleSize>
            <c:numRef>
              <c:f>'2022_Data'!$G$888</c:f>
            </c:numRef>
          </c:bubbleSize>
        </c:ser>
        <c:ser>
          <c:idx val="888"/>
          <c:order val="888"/>
          <c:tx>
            <c:strRef>
              <c:f>'2022_Data'!$A$889</c:f>
            </c:strRef>
          </c:tx>
          <c:dLbls>
            <c:dLblPos val="ctr"/>
            <c:showLegendKey val="0"/>
            <c:showVal val="0"/>
            <c:showCatName val="0"/>
            <c:showSerName val="1"/>
            <c:showPercent val="0"/>
            <c:showBubbleSize val="0"/>
          </c:dLbls>
          <c:xVal>
            <c:strRef>
              <c:f>'2022_Data'!$F$889</c:f>
            </c:strRef>
          </c:xVal>
          <c:yVal>
            <c:numRef>
              <c:f>'2022_Data'!$E$889</c:f>
              <c:numCache/>
            </c:numRef>
          </c:yVal>
          <c:bubbleSize>
            <c:numRef>
              <c:f>'2022_Data'!$G$889</c:f>
            </c:numRef>
          </c:bubbleSize>
        </c:ser>
        <c:ser>
          <c:idx val="889"/>
          <c:order val="889"/>
          <c:tx>
            <c:strRef>
              <c:f>'2022_Data'!$A$890</c:f>
            </c:strRef>
          </c:tx>
          <c:dLbls>
            <c:dLblPos val="ctr"/>
            <c:showLegendKey val="0"/>
            <c:showVal val="0"/>
            <c:showCatName val="0"/>
            <c:showSerName val="1"/>
            <c:showPercent val="0"/>
            <c:showBubbleSize val="0"/>
          </c:dLbls>
          <c:xVal>
            <c:strRef>
              <c:f>'2022_Data'!$F$890</c:f>
            </c:strRef>
          </c:xVal>
          <c:yVal>
            <c:numRef>
              <c:f>'2022_Data'!$E$890</c:f>
              <c:numCache/>
            </c:numRef>
          </c:yVal>
          <c:bubbleSize>
            <c:numRef>
              <c:f>'2022_Data'!$G$890</c:f>
            </c:numRef>
          </c:bubbleSize>
        </c:ser>
        <c:ser>
          <c:idx val="890"/>
          <c:order val="890"/>
          <c:tx>
            <c:strRef>
              <c:f>'2022_Data'!$A$891</c:f>
            </c:strRef>
          </c:tx>
          <c:dLbls>
            <c:dLblPos val="ctr"/>
            <c:showLegendKey val="0"/>
            <c:showVal val="0"/>
            <c:showCatName val="0"/>
            <c:showSerName val="1"/>
            <c:showPercent val="0"/>
            <c:showBubbleSize val="0"/>
          </c:dLbls>
          <c:xVal>
            <c:strRef>
              <c:f>'2022_Data'!$F$891</c:f>
            </c:strRef>
          </c:xVal>
          <c:yVal>
            <c:numRef>
              <c:f>'2022_Data'!$E$891</c:f>
              <c:numCache/>
            </c:numRef>
          </c:yVal>
          <c:bubbleSize>
            <c:numRef>
              <c:f>'2022_Data'!$G$891</c:f>
            </c:numRef>
          </c:bubbleSize>
        </c:ser>
        <c:ser>
          <c:idx val="891"/>
          <c:order val="891"/>
          <c:tx>
            <c:strRef>
              <c:f>'2022_Data'!$A$892</c:f>
            </c:strRef>
          </c:tx>
          <c:dLbls>
            <c:dLblPos val="ctr"/>
            <c:showLegendKey val="0"/>
            <c:showVal val="0"/>
            <c:showCatName val="0"/>
            <c:showSerName val="1"/>
            <c:showPercent val="0"/>
            <c:showBubbleSize val="0"/>
          </c:dLbls>
          <c:xVal>
            <c:strRef>
              <c:f>'2022_Data'!$F$892</c:f>
            </c:strRef>
          </c:xVal>
          <c:yVal>
            <c:numRef>
              <c:f>'2022_Data'!$E$892</c:f>
              <c:numCache/>
            </c:numRef>
          </c:yVal>
          <c:bubbleSize>
            <c:numRef>
              <c:f>'2022_Data'!$G$892</c:f>
            </c:numRef>
          </c:bubbleSize>
        </c:ser>
        <c:ser>
          <c:idx val="892"/>
          <c:order val="892"/>
          <c:tx>
            <c:strRef>
              <c:f>'2022_Data'!$A$893</c:f>
            </c:strRef>
          </c:tx>
          <c:dLbls>
            <c:dLblPos val="ctr"/>
            <c:showLegendKey val="0"/>
            <c:showVal val="0"/>
            <c:showCatName val="0"/>
            <c:showSerName val="1"/>
            <c:showPercent val="0"/>
            <c:showBubbleSize val="0"/>
          </c:dLbls>
          <c:xVal>
            <c:strRef>
              <c:f>'2022_Data'!$F$893</c:f>
            </c:strRef>
          </c:xVal>
          <c:yVal>
            <c:numRef>
              <c:f>'2022_Data'!$E$893</c:f>
              <c:numCache/>
            </c:numRef>
          </c:yVal>
          <c:bubbleSize>
            <c:numRef>
              <c:f>'2022_Data'!$G$893</c:f>
            </c:numRef>
          </c:bubbleSize>
        </c:ser>
        <c:ser>
          <c:idx val="893"/>
          <c:order val="893"/>
          <c:tx>
            <c:strRef>
              <c:f>'2022_Data'!$A$894</c:f>
            </c:strRef>
          </c:tx>
          <c:dLbls>
            <c:dLblPos val="ctr"/>
            <c:showLegendKey val="0"/>
            <c:showVal val="0"/>
            <c:showCatName val="0"/>
            <c:showSerName val="1"/>
            <c:showPercent val="0"/>
            <c:showBubbleSize val="0"/>
          </c:dLbls>
          <c:xVal>
            <c:strRef>
              <c:f>'2022_Data'!$F$894</c:f>
            </c:strRef>
          </c:xVal>
          <c:yVal>
            <c:numRef>
              <c:f>'2022_Data'!$E$894</c:f>
              <c:numCache/>
            </c:numRef>
          </c:yVal>
          <c:bubbleSize>
            <c:numRef>
              <c:f>'2022_Data'!$G$894</c:f>
            </c:numRef>
          </c:bubbleSize>
        </c:ser>
        <c:ser>
          <c:idx val="894"/>
          <c:order val="894"/>
          <c:tx>
            <c:strRef>
              <c:f>'2022_Data'!$A$895</c:f>
            </c:strRef>
          </c:tx>
          <c:dLbls>
            <c:dLblPos val="ctr"/>
            <c:showLegendKey val="0"/>
            <c:showVal val="0"/>
            <c:showCatName val="0"/>
            <c:showSerName val="1"/>
            <c:showPercent val="0"/>
            <c:showBubbleSize val="0"/>
          </c:dLbls>
          <c:xVal>
            <c:strRef>
              <c:f>'2022_Data'!$F$895</c:f>
            </c:strRef>
          </c:xVal>
          <c:yVal>
            <c:numRef>
              <c:f>'2022_Data'!$E$895</c:f>
              <c:numCache/>
            </c:numRef>
          </c:yVal>
          <c:bubbleSize>
            <c:numRef>
              <c:f>'2022_Data'!$G$895</c:f>
            </c:numRef>
          </c:bubbleSize>
        </c:ser>
        <c:ser>
          <c:idx val="895"/>
          <c:order val="895"/>
          <c:tx>
            <c:strRef>
              <c:f>'2022_Data'!$A$896</c:f>
            </c:strRef>
          </c:tx>
          <c:dLbls>
            <c:dLblPos val="ctr"/>
            <c:showLegendKey val="0"/>
            <c:showVal val="0"/>
            <c:showCatName val="0"/>
            <c:showSerName val="1"/>
            <c:showPercent val="0"/>
            <c:showBubbleSize val="0"/>
          </c:dLbls>
          <c:xVal>
            <c:strRef>
              <c:f>'2022_Data'!$F$896</c:f>
            </c:strRef>
          </c:xVal>
          <c:yVal>
            <c:numRef>
              <c:f>'2022_Data'!$E$896</c:f>
              <c:numCache/>
            </c:numRef>
          </c:yVal>
          <c:bubbleSize>
            <c:numRef>
              <c:f>'2022_Data'!$G$896</c:f>
            </c:numRef>
          </c:bubbleSize>
        </c:ser>
        <c:ser>
          <c:idx val="896"/>
          <c:order val="896"/>
          <c:tx>
            <c:strRef>
              <c:f>'2022_Data'!$A$897</c:f>
            </c:strRef>
          </c:tx>
          <c:dLbls>
            <c:dLblPos val="ctr"/>
            <c:showLegendKey val="0"/>
            <c:showVal val="0"/>
            <c:showCatName val="0"/>
            <c:showSerName val="1"/>
            <c:showPercent val="0"/>
            <c:showBubbleSize val="0"/>
          </c:dLbls>
          <c:xVal>
            <c:strRef>
              <c:f>'2022_Data'!$F$897</c:f>
            </c:strRef>
          </c:xVal>
          <c:yVal>
            <c:numRef>
              <c:f>'2022_Data'!$E$897</c:f>
              <c:numCache/>
            </c:numRef>
          </c:yVal>
          <c:bubbleSize>
            <c:numRef>
              <c:f>'2022_Data'!$G$897</c:f>
            </c:numRef>
          </c:bubbleSize>
        </c:ser>
        <c:ser>
          <c:idx val="897"/>
          <c:order val="897"/>
          <c:tx>
            <c:strRef>
              <c:f>'2022_Data'!$A$898</c:f>
            </c:strRef>
          </c:tx>
          <c:dLbls>
            <c:dLblPos val="ctr"/>
            <c:showLegendKey val="0"/>
            <c:showVal val="0"/>
            <c:showCatName val="0"/>
            <c:showSerName val="1"/>
            <c:showPercent val="0"/>
            <c:showBubbleSize val="0"/>
          </c:dLbls>
          <c:xVal>
            <c:strRef>
              <c:f>'2022_Data'!$F$898</c:f>
            </c:strRef>
          </c:xVal>
          <c:yVal>
            <c:numRef>
              <c:f>'2022_Data'!$E$898</c:f>
              <c:numCache/>
            </c:numRef>
          </c:yVal>
          <c:bubbleSize>
            <c:numRef>
              <c:f>'2022_Data'!$G$898</c:f>
            </c:numRef>
          </c:bubbleSize>
        </c:ser>
        <c:ser>
          <c:idx val="898"/>
          <c:order val="898"/>
          <c:tx>
            <c:strRef>
              <c:f>'2022_Data'!$A$899</c:f>
            </c:strRef>
          </c:tx>
          <c:dLbls>
            <c:dLblPos val="ctr"/>
            <c:showLegendKey val="0"/>
            <c:showVal val="0"/>
            <c:showCatName val="0"/>
            <c:showSerName val="1"/>
            <c:showPercent val="0"/>
            <c:showBubbleSize val="0"/>
          </c:dLbls>
          <c:xVal>
            <c:strRef>
              <c:f>'2022_Data'!$F$899</c:f>
            </c:strRef>
          </c:xVal>
          <c:yVal>
            <c:numRef>
              <c:f>'2022_Data'!$E$899</c:f>
              <c:numCache/>
            </c:numRef>
          </c:yVal>
          <c:bubbleSize>
            <c:numRef>
              <c:f>'2022_Data'!$G$899</c:f>
            </c:numRef>
          </c:bubbleSize>
        </c:ser>
        <c:ser>
          <c:idx val="899"/>
          <c:order val="899"/>
          <c:tx>
            <c:strRef>
              <c:f>'2022_Data'!$A$900</c:f>
            </c:strRef>
          </c:tx>
          <c:dLbls>
            <c:dLblPos val="ctr"/>
            <c:showLegendKey val="0"/>
            <c:showVal val="0"/>
            <c:showCatName val="0"/>
            <c:showSerName val="1"/>
            <c:showPercent val="0"/>
            <c:showBubbleSize val="0"/>
          </c:dLbls>
          <c:xVal>
            <c:strRef>
              <c:f>'2022_Data'!$F$900</c:f>
            </c:strRef>
          </c:xVal>
          <c:yVal>
            <c:numRef>
              <c:f>'2022_Data'!$E$900</c:f>
              <c:numCache/>
            </c:numRef>
          </c:yVal>
          <c:bubbleSize>
            <c:numRef>
              <c:f>'2022_Data'!$G$900</c:f>
            </c:numRef>
          </c:bubbleSize>
        </c:ser>
        <c:ser>
          <c:idx val="900"/>
          <c:order val="900"/>
          <c:tx>
            <c:strRef>
              <c:f>'2022_Data'!$A$901</c:f>
            </c:strRef>
          </c:tx>
          <c:dLbls>
            <c:dLblPos val="ctr"/>
            <c:showLegendKey val="0"/>
            <c:showVal val="0"/>
            <c:showCatName val="0"/>
            <c:showSerName val="1"/>
            <c:showPercent val="0"/>
            <c:showBubbleSize val="0"/>
          </c:dLbls>
          <c:xVal>
            <c:strRef>
              <c:f>'2022_Data'!$F$901</c:f>
            </c:strRef>
          </c:xVal>
          <c:yVal>
            <c:numRef>
              <c:f>'2022_Data'!$E$901</c:f>
              <c:numCache/>
            </c:numRef>
          </c:yVal>
          <c:bubbleSize>
            <c:numRef>
              <c:f>'2022_Data'!$G$901</c:f>
            </c:numRef>
          </c:bubbleSize>
        </c:ser>
        <c:ser>
          <c:idx val="901"/>
          <c:order val="901"/>
          <c:tx>
            <c:strRef>
              <c:f>'2022_Data'!$A$902</c:f>
            </c:strRef>
          </c:tx>
          <c:dLbls>
            <c:dLblPos val="ctr"/>
            <c:showLegendKey val="0"/>
            <c:showVal val="0"/>
            <c:showCatName val="0"/>
            <c:showSerName val="1"/>
            <c:showPercent val="0"/>
            <c:showBubbleSize val="0"/>
          </c:dLbls>
          <c:xVal>
            <c:strRef>
              <c:f>'2022_Data'!$F$902</c:f>
            </c:strRef>
          </c:xVal>
          <c:yVal>
            <c:numRef>
              <c:f>'2022_Data'!$E$902</c:f>
              <c:numCache/>
            </c:numRef>
          </c:yVal>
          <c:bubbleSize>
            <c:numRef>
              <c:f>'2022_Data'!$G$902</c:f>
            </c:numRef>
          </c:bubbleSize>
        </c:ser>
        <c:ser>
          <c:idx val="902"/>
          <c:order val="902"/>
          <c:tx>
            <c:strRef>
              <c:f>'2022_Data'!$A$903</c:f>
            </c:strRef>
          </c:tx>
          <c:dLbls>
            <c:dLblPos val="ctr"/>
            <c:showLegendKey val="0"/>
            <c:showVal val="0"/>
            <c:showCatName val="0"/>
            <c:showSerName val="1"/>
            <c:showPercent val="0"/>
            <c:showBubbleSize val="0"/>
          </c:dLbls>
          <c:xVal>
            <c:strRef>
              <c:f>'2022_Data'!$F$903</c:f>
            </c:strRef>
          </c:xVal>
          <c:yVal>
            <c:numRef>
              <c:f>'2022_Data'!$E$903</c:f>
              <c:numCache/>
            </c:numRef>
          </c:yVal>
          <c:bubbleSize>
            <c:numRef>
              <c:f>'2022_Data'!$G$903</c:f>
            </c:numRef>
          </c:bubbleSize>
        </c:ser>
        <c:ser>
          <c:idx val="903"/>
          <c:order val="903"/>
          <c:tx>
            <c:strRef>
              <c:f>'2022_Data'!$A$904</c:f>
            </c:strRef>
          </c:tx>
          <c:dLbls>
            <c:dLblPos val="ctr"/>
            <c:showLegendKey val="0"/>
            <c:showVal val="0"/>
            <c:showCatName val="0"/>
            <c:showSerName val="1"/>
            <c:showPercent val="0"/>
            <c:showBubbleSize val="0"/>
          </c:dLbls>
          <c:xVal>
            <c:strRef>
              <c:f>'2022_Data'!$F$904</c:f>
            </c:strRef>
          </c:xVal>
          <c:yVal>
            <c:numRef>
              <c:f>'2022_Data'!$E$904</c:f>
              <c:numCache/>
            </c:numRef>
          </c:yVal>
          <c:bubbleSize>
            <c:numRef>
              <c:f>'2022_Data'!$G$904</c:f>
            </c:numRef>
          </c:bubbleSize>
        </c:ser>
        <c:ser>
          <c:idx val="904"/>
          <c:order val="904"/>
          <c:tx>
            <c:strRef>
              <c:f>'2022_Data'!$A$905</c:f>
            </c:strRef>
          </c:tx>
          <c:dLbls>
            <c:dLblPos val="ctr"/>
            <c:showLegendKey val="0"/>
            <c:showVal val="0"/>
            <c:showCatName val="0"/>
            <c:showSerName val="1"/>
            <c:showPercent val="0"/>
            <c:showBubbleSize val="0"/>
          </c:dLbls>
          <c:xVal>
            <c:strRef>
              <c:f>'2022_Data'!$F$905</c:f>
            </c:strRef>
          </c:xVal>
          <c:yVal>
            <c:numRef>
              <c:f>'2022_Data'!$E$905</c:f>
              <c:numCache/>
            </c:numRef>
          </c:yVal>
          <c:bubbleSize>
            <c:numRef>
              <c:f>'2022_Data'!$G$905</c:f>
            </c:numRef>
          </c:bubbleSize>
        </c:ser>
        <c:ser>
          <c:idx val="905"/>
          <c:order val="905"/>
          <c:tx>
            <c:strRef>
              <c:f>'2022_Data'!$A$906</c:f>
            </c:strRef>
          </c:tx>
          <c:dLbls>
            <c:dLblPos val="ctr"/>
            <c:showLegendKey val="0"/>
            <c:showVal val="0"/>
            <c:showCatName val="0"/>
            <c:showSerName val="1"/>
            <c:showPercent val="0"/>
            <c:showBubbleSize val="0"/>
          </c:dLbls>
          <c:xVal>
            <c:strRef>
              <c:f>'2022_Data'!$F$906</c:f>
            </c:strRef>
          </c:xVal>
          <c:yVal>
            <c:numRef>
              <c:f>'2022_Data'!$E$906</c:f>
              <c:numCache/>
            </c:numRef>
          </c:yVal>
          <c:bubbleSize>
            <c:numRef>
              <c:f>'2022_Data'!$G$906</c:f>
            </c:numRef>
          </c:bubbleSize>
        </c:ser>
        <c:ser>
          <c:idx val="906"/>
          <c:order val="906"/>
          <c:tx>
            <c:strRef>
              <c:f>'2022_Data'!$A$907</c:f>
            </c:strRef>
          </c:tx>
          <c:dLbls>
            <c:dLblPos val="ctr"/>
            <c:showLegendKey val="0"/>
            <c:showVal val="0"/>
            <c:showCatName val="0"/>
            <c:showSerName val="1"/>
            <c:showPercent val="0"/>
            <c:showBubbleSize val="0"/>
          </c:dLbls>
          <c:xVal>
            <c:strRef>
              <c:f>'2022_Data'!$F$907</c:f>
            </c:strRef>
          </c:xVal>
          <c:yVal>
            <c:numRef>
              <c:f>'2022_Data'!$E$907</c:f>
              <c:numCache/>
            </c:numRef>
          </c:yVal>
          <c:bubbleSize>
            <c:numRef>
              <c:f>'2022_Data'!$G$907</c:f>
            </c:numRef>
          </c:bubbleSize>
        </c:ser>
        <c:ser>
          <c:idx val="907"/>
          <c:order val="907"/>
          <c:tx>
            <c:strRef>
              <c:f>'2022_Data'!$A$908</c:f>
            </c:strRef>
          </c:tx>
          <c:dLbls>
            <c:dLblPos val="ctr"/>
            <c:showLegendKey val="0"/>
            <c:showVal val="0"/>
            <c:showCatName val="0"/>
            <c:showSerName val="1"/>
            <c:showPercent val="0"/>
            <c:showBubbleSize val="0"/>
          </c:dLbls>
          <c:xVal>
            <c:strRef>
              <c:f>'2022_Data'!$F$908</c:f>
            </c:strRef>
          </c:xVal>
          <c:yVal>
            <c:numRef>
              <c:f>'2022_Data'!$E$908</c:f>
              <c:numCache/>
            </c:numRef>
          </c:yVal>
          <c:bubbleSize>
            <c:numRef>
              <c:f>'2022_Data'!$G$908</c:f>
            </c:numRef>
          </c:bubbleSize>
        </c:ser>
        <c:ser>
          <c:idx val="908"/>
          <c:order val="908"/>
          <c:tx>
            <c:strRef>
              <c:f>'2022_Data'!$A$909</c:f>
            </c:strRef>
          </c:tx>
          <c:dLbls>
            <c:dLblPos val="ctr"/>
            <c:showLegendKey val="0"/>
            <c:showVal val="0"/>
            <c:showCatName val="0"/>
            <c:showSerName val="1"/>
            <c:showPercent val="0"/>
            <c:showBubbleSize val="0"/>
          </c:dLbls>
          <c:xVal>
            <c:strRef>
              <c:f>'2022_Data'!$F$909</c:f>
            </c:strRef>
          </c:xVal>
          <c:yVal>
            <c:numRef>
              <c:f>'2022_Data'!$E$909</c:f>
              <c:numCache/>
            </c:numRef>
          </c:yVal>
          <c:bubbleSize>
            <c:numRef>
              <c:f>'2022_Data'!$G$909</c:f>
            </c:numRef>
          </c:bubbleSize>
        </c:ser>
        <c:ser>
          <c:idx val="909"/>
          <c:order val="909"/>
          <c:tx>
            <c:strRef>
              <c:f>'2022_Data'!$A$910</c:f>
            </c:strRef>
          </c:tx>
          <c:dLbls>
            <c:dLblPos val="ctr"/>
            <c:showLegendKey val="0"/>
            <c:showVal val="0"/>
            <c:showCatName val="0"/>
            <c:showSerName val="1"/>
            <c:showPercent val="0"/>
            <c:showBubbleSize val="0"/>
          </c:dLbls>
          <c:xVal>
            <c:strRef>
              <c:f>'2022_Data'!$F$910</c:f>
            </c:strRef>
          </c:xVal>
          <c:yVal>
            <c:numRef>
              <c:f>'2022_Data'!$E$910</c:f>
              <c:numCache/>
            </c:numRef>
          </c:yVal>
          <c:bubbleSize>
            <c:numRef>
              <c:f>'2022_Data'!$G$910</c:f>
            </c:numRef>
          </c:bubbleSize>
        </c:ser>
        <c:ser>
          <c:idx val="910"/>
          <c:order val="910"/>
          <c:tx>
            <c:strRef>
              <c:f>'2022_Data'!$A$911</c:f>
            </c:strRef>
          </c:tx>
          <c:dLbls>
            <c:dLblPos val="ctr"/>
            <c:showLegendKey val="0"/>
            <c:showVal val="0"/>
            <c:showCatName val="0"/>
            <c:showSerName val="1"/>
            <c:showPercent val="0"/>
            <c:showBubbleSize val="0"/>
          </c:dLbls>
          <c:xVal>
            <c:strRef>
              <c:f>'2022_Data'!$F$911</c:f>
            </c:strRef>
          </c:xVal>
          <c:yVal>
            <c:numRef>
              <c:f>'2022_Data'!$E$911</c:f>
              <c:numCache/>
            </c:numRef>
          </c:yVal>
          <c:bubbleSize>
            <c:numRef>
              <c:f>'2022_Data'!$G$911</c:f>
            </c:numRef>
          </c:bubbleSize>
        </c:ser>
        <c:ser>
          <c:idx val="911"/>
          <c:order val="911"/>
          <c:tx>
            <c:strRef>
              <c:f>'2022_Data'!$A$912</c:f>
            </c:strRef>
          </c:tx>
          <c:dLbls>
            <c:dLblPos val="ctr"/>
            <c:showLegendKey val="0"/>
            <c:showVal val="0"/>
            <c:showCatName val="0"/>
            <c:showSerName val="1"/>
            <c:showPercent val="0"/>
            <c:showBubbleSize val="0"/>
          </c:dLbls>
          <c:xVal>
            <c:strRef>
              <c:f>'2022_Data'!$F$912</c:f>
            </c:strRef>
          </c:xVal>
          <c:yVal>
            <c:numRef>
              <c:f>'2022_Data'!$E$912</c:f>
              <c:numCache/>
            </c:numRef>
          </c:yVal>
          <c:bubbleSize>
            <c:numRef>
              <c:f>'2022_Data'!$G$912</c:f>
            </c:numRef>
          </c:bubbleSize>
        </c:ser>
        <c:ser>
          <c:idx val="912"/>
          <c:order val="912"/>
          <c:tx>
            <c:strRef>
              <c:f>'2022_Data'!$A$913</c:f>
            </c:strRef>
          </c:tx>
          <c:dLbls>
            <c:dLblPos val="ctr"/>
            <c:showLegendKey val="0"/>
            <c:showVal val="0"/>
            <c:showCatName val="0"/>
            <c:showSerName val="1"/>
            <c:showPercent val="0"/>
            <c:showBubbleSize val="0"/>
          </c:dLbls>
          <c:xVal>
            <c:strRef>
              <c:f>'2022_Data'!$F$913</c:f>
            </c:strRef>
          </c:xVal>
          <c:yVal>
            <c:numRef>
              <c:f>'2022_Data'!$E$913</c:f>
              <c:numCache/>
            </c:numRef>
          </c:yVal>
          <c:bubbleSize>
            <c:numRef>
              <c:f>'2022_Data'!$G$913</c:f>
            </c:numRef>
          </c:bubbleSize>
        </c:ser>
        <c:ser>
          <c:idx val="913"/>
          <c:order val="913"/>
          <c:tx>
            <c:strRef>
              <c:f>'2022_Data'!$A$914</c:f>
            </c:strRef>
          </c:tx>
          <c:dLbls>
            <c:dLblPos val="ctr"/>
            <c:showLegendKey val="0"/>
            <c:showVal val="0"/>
            <c:showCatName val="0"/>
            <c:showSerName val="1"/>
            <c:showPercent val="0"/>
            <c:showBubbleSize val="0"/>
          </c:dLbls>
          <c:xVal>
            <c:strRef>
              <c:f>'2022_Data'!$F$914</c:f>
            </c:strRef>
          </c:xVal>
          <c:yVal>
            <c:numRef>
              <c:f>'2022_Data'!$E$914</c:f>
              <c:numCache/>
            </c:numRef>
          </c:yVal>
          <c:bubbleSize>
            <c:numRef>
              <c:f>'2022_Data'!$G$914</c:f>
            </c:numRef>
          </c:bubbleSize>
        </c:ser>
        <c:ser>
          <c:idx val="914"/>
          <c:order val="914"/>
          <c:tx>
            <c:strRef>
              <c:f>'2022_Data'!$A$915</c:f>
            </c:strRef>
          </c:tx>
          <c:dLbls>
            <c:dLblPos val="ctr"/>
            <c:showLegendKey val="0"/>
            <c:showVal val="0"/>
            <c:showCatName val="0"/>
            <c:showSerName val="1"/>
            <c:showPercent val="0"/>
            <c:showBubbleSize val="0"/>
          </c:dLbls>
          <c:xVal>
            <c:strRef>
              <c:f>'2022_Data'!$F$915</c:f>
            </c:strRef>
          </c:xVal>
          <c:yVal>
            <c:numRef>
              <c:f>'2022_Data'!$E$915</c:f>
              <c:numCache/>
            </c:numRef>
          </c:yVal>
          <c:bubbleSize>
            <c:numRef>
              <c:f>'2022_Data'!$G$915</c:f>
            </c:numRef>
          </c:bubbleSize>
        </c:ser>
        <c:ser>
          <c:idx val="915"/>
          <c:order val="915"/>
          <c:tx>
            <c:strRef>
              <c:f>'2022_Data'!$A$916</c:f>
            </c:strRef>
          </c:tx>
          <c:dLbls>
            <c:dLblPos val="ctr"/>
            <c:showLegendKey val="0"/>
            <c:showVal val="0"/>
            <c:showCatName val="0"/>
            <c:showSerName val="1"/>
            <c:showPercent val="0"/>
            <c:showBubbleSize val="0"/>
          </c:dLbls>
          <c:xVal>
            <c:strRef>
              <c:f>'2022_Data'!$F$916</c:f>
            </c:strRef>
          </c:xVal>
          <c:yVal>
            <c:numRef>
              <c:f>'2022_Data'!$E$916</c:f>
              <c:numCache/>
            </c:numRef>
          </c:yVal>
          <c:bubbleSize>
            <c:numRef>
              <c:f>'2022_Data'!$G$916</c:f>
            </c:numRef>
          </c:bubbleSize>
        </c:ser>
        <c:ser>
          <c:idx val="916"/>
          <c:order val="916"/>
          <c:tx>
            <c:strRef>
              <c:f>'2022_Data'!$A$917</c:f>
            </c:strRef>
          </c:tx>
          <c:dLbls>
            <c:dLblPos val="ctr"/>
            <c:showLegendKey val="0"/>
            <c:showVal val="0"/>
            <c:showCatName val="0"/>
            <c:showSerName val="1"/>
            <c:showPercent val="0"/>
            <c:showBubbleSize val="0"/>
          </c:dLbls>
          <c:xVal>
            <c:strRef>
              <c:f>'2022_Data'!$F$917</c:f>
            </c:strRef>
          </c:xVal>
          <c:yVal>
            <c:numRef>
              <c:f>'2022_Data'!$E$917</c:f>
              <c:numCache/>
            </c:numRef>
          </c:yVal>
          <c:bubbleSize>
            <c:numRef>
              <c:f>'2022_Data'!$G$917</c:f>
            </c:numRef>
          </c:bubbleSize>
        </c:ser>
        <c:ser>
          <c:idx val="917"/>
          <c:order val="917"/>
          <c:tx>
            <c:strRef>
              <c:f>'2022_Data'!$A$918</c:f>
            </c:strRef>
          </c:tx>
          <c:dLbls>
            <c:dLblPos val="ctr"/>
            <c:showLegendKey val="0"/>
            <c:showVal val="0"/>
            <c:showCatName val="0"/>
            <c:showSerName val="1"/>
            <c:showPercent val="0"/>
            <c:showBubbleSize val="0"/>
          </c:dLbls>
          <c:xVal>
            <c:strRef>
              <c:f>'2022_Data'!$F$918</c:f>
            </c:strRef>
          </c:xVal>
          <c:yVal>
            <c:numRef>
              <c:f>'2022_Data'!$E$918</c:f>
              <c:numCache/>
            </c:numRef>
          </c:yVal>
          <c:bubbleSize>
            <c:numRef>
              <c:f>'2022_Data'!$G$918</c:f>
            </c:numRef>
          </c:bubbleSize>
        </c:ser>
        <c:ser>
          <c:idx val="918"/>
          <c:order val="918"/>
          <c:tx>
            <c:strRef>
              <c:f>'2022_Data'!$A$919</c:f>
            </c:strRef>
          </c:tx>
          <c:dLbls>
            <c:dLblPos val="ctr"/>
            <c:showLegendKey val="0"/>
            <c:showVal val="0"/>
            <c:showCatName val="0"/>
            <c:showSerName val="1"/>
            <c:showPercent val="0"/>
            <c:showBubbleSize val="0"/>
          </c:dLbls>
          <c:xVal>
            <c:strRef>
              <c:f>'2022_Data'!$F$919</c:f>
            </c:strRef>
          </c:xVal>
          <c:yVal>
            <c:numRef>
              <c:f>'2022_Data'!$E$919</c:f>
              <c:numCache/>
            </c:numRef>
          </c:yVal>
          <c:bubbleSize>
            <c:numRef>
              <c:f>'2022_Data'!$G$919</c:f>
            </c:numRef>
          </c:bubbleSize>
        </c:ser>
        <c:ser>
          <c:idx val="919"/>
          <c:order val="919"/>
          <c:tx>
            <c:strRef>
              <c:f>'2022_Data'!$A$920</c:f>
            </c:strRef>
          </c:tx>
          <c:dLbls>
            <c:dLblPos val="ctr"/>
            <c:showLegendKey val="0"/>
            <c:showVal val="0"/>
            <c:showCatName val="0"/>
            <c:showSerName val="1"/>
            <c:showPercent val="0"/>
            <c:showBubbleSize val="0"/>
          </c:dLbls>
          <c:xVal>
            <c:strRef>
              <c:f>'2022_Data'!$F$920</c:f>
            </c:strRef>
          </c:xVal>
          <c:yVal>
            <c:numRef>
              <c:f>'2022_Data'!$E$920</c:f>
              <c:numCache/>
            </c:numRef>
          </c:yVal>
          <c:bubbleSize>
            <c:numRef>
              <c:f>'2022_Data'!$G$920</c:f>
            </c:numRef>
          </c:bubbleSize>
        </c:ser>
        <c:ser>
          <c:idx val="920"/>
          <c:order val="920"/>
          <c:tx>
            <c:strRef>
              <c:f>'2022_Data'!$A$921</c:f>
            </c:strRef>
          </c:tx>
          <c:dLbls>
            <c:dLblPos val="ctr"/>
            <c:showLegendKey val="0"/>
            <c:showVal val="0"/>
            <c:showCatName val="0"/>
            <c:showSerName val="1"/>
            <c:showPercent val="0"/>
            <c:showBubbleSize val="0"/>
          </c:dLbls>
          <c:xVal>
            <c:strRef>
              <c:f>'2022_Data'!$F$921</c:f>
            </c:strRef>
          </c:xVal>
          <c:yVal>
            <c:numRef>
              <c:f>'2022_Data'!$E$921</c:f>
              <c:numCache/>
            </c:numRef>
          </c:yVal>
          <c:bubbleSize>
            <c:numRef>
              <c:f>'2022_Data'!$G$921</c:f>
            </c:numRef>
          </c:bubbleSize>
        </c:ser>
        <c:ser>
          <c:idx val="921"/>
          <c:order val="921"/>
          <c:tx>
            <c:strRef>
              <c:f>'2022_Data'!$A$922</c:f>
            </c:strRef>
          </c:tx>
          <c:dLbls>
            <c:dLblPos val="ctr"/>
            <c:showLegendKey val="0"/>
            <c:showVal val="0"/>
            <c:showCatName val="0"/>
            <c:showSerName val="1"/>
            <c:showPercent val="0"/>
            <c:showBubbleSize val="0"/>
          </c:dLbls>
          <c:xVal>
            <c:strRef>
              <c:f>'2022_Data'!$F$922</c:f>
            </c:strRef>
          </c:xVal>
          <c:yVal>
            <c:numRef>
              <c:f>'2022_Data'!$E$922</c:f>
              <c:numCache/>
            </c:numRef>
          </c:yVal>
          <c:bubbleSize>
            <c:numRef>
              <c:f>'2022_Data'!$G$922</c:f>
            </c:numRef>
          </c:bubbleSize>
        </c:ser>
        <c:ser>
          <c:idx val="922"/>
          <c:order val="922"/>
          <c:tx>
            <c:strRef>
              <c:f>'2022_Data'!$A$923</c:f>
            </c:strRef>
          </c:tx>
          <c:dLbls>
            <c:dLblPos val="ctr"/>
            <c:showLegendKey val="0"/>
            <c:showVal val="0"/>
            <c:showCatName val="0"/>
            <c:showSerName val="1"/>
            <c:showPercent val="0"/>
            <c:showBubbleSize val="0"/>
          </c:dLbls>
          <c:xVal>
            <c:strRef>
              <c:f>'2022_Data'!$F$923</c:f>
            </c:strRef>
          </c:xVal>
          <c:yVal>
            <c:numRef>
              <c:f>'2022_Data'!$E$923</c:f>
              <c:numCache/>
            </c:numRef>
          </c:yVal>
          <c:bubbleSize>
            <c:numRef>
              <c:f>'2022_Data'!$G$923</c:f>
            </c:numRef>
          </c:bubbleSize>
        </c:ser>
        <c:ser>
          <c:idx val="923"/>
          <c:order val="923"/>
          <c:tx>
            <c:strRef>
              <c:f>'2022_Data'!$A$924</c:f>
            </c:strRef>
          </c:tx>
          <c:dLbls>
            <c:dLblPos val="ctr"/>
            <c:showLegendKey val="0"/>
            <c:showVal val="0"/>
            <c:showCatName val="0"/>
            <c:showSerName val="1"/>
            <c:showPercent val="0"/>
            <c:showBubbleSize val="0"/>
          </c:dLbls>
          <c:xVal>
            <c:strRef>
              <c:f>'2022_Data'!$F$924</c:f>
            </c:strRef>
          </c:xVal>
          <c:yVal>
            <c:numRef>
              <c:f>'2022_Data'!$E$924</c:f>
              <c:numCache/>
            </c:numRef>
          </c:yVal>
          <c:bubbleSize>
            <c:numRef>
              <c:f>'2022_Data'!$G$924</c:f>
            </c:numRef>
          </c:bubbleSize>
        </c:ser>
        <c:ser>
          <c:idx val="924"/>
          <c:order val="924"/>
          <c:tx>
            <c:strRef>
              <c:f>'2022_Data'!$A$925</c:f>
            </c:strRef>
          </c:tx>
          <c:dLbls>
            <c:dLblPos val="ctr"/>
            <c:showLegendKey val="0"/>
            <c:showVal val="0"/>
            <c:showCatName val="0"/>
            <c:showSerName val="1"/>
            <c:showPercent val="0"/>
            <c:showBubbleSize val="0"/>
          </c:dLbls>
          <c:xVal>
            <c:strRef>
              <c:f>'2022_Data'!$F$925</c:f>
            </c:strRef>
          </c:xVal>
          <c:yVal>
            <c:numRef>
              <c:f>'2022_Data'!$E$925</c:f>
              <c:numCache/>
            </c:numRef>
          </c:yVal>
          <c:bubbleSize>
            <c:numRef>
              <c:f>'2022_Data'!$G$925</c:f>
            </c:numRef>
          </c:bubbleSize>
        </c:ser>
        <c:ser>
          <c:idx val="925"/>
          <c:order val="925"/>
          <c:tx>
            <c:strRef>
              <c:f>'2022_Data'!$A$926</c:f>
            </c:strRef>
          </c:tx>
          <c:dLbls>
            <c:dLblPos val="ctr"/>
            <c:showLegendKey val="0"/>
            <c:showVal val="0"/>
            <c:showCatName val="0"/>
            <c:showSerName val="1"/>
            <c:showPercent val="0"/>
            <c:showBubbleSize val="0"/>
          </c:dLbls>
          <c:xVal>
            <c:strRef>
              <c:f>'2022_Data'!$F$926</c:f>
            </c:strRef>
          </c:xVal>
          <c:yVal>
            <c:numRef>
              <c:f>'2022_Data'!$E$926</c:f>
              <c:numCache/>
            </c:numRef>
          </c:yVal>
          <c:bubbleSize>
            <c:numRef>
              <c:f>'2022_Data'!$G$926</c:f>
            </c:numRef>
          </c:bubbleSize>
        </c:ser>
        <c:ser>
          <c:idx val="926"/>
          <c:order val="926"/>
          <c:tx>
            <c:strRef>
              <c:f>'2022_Data'!$A$927</c:f>
            </c:strRef>
          </c:tx>
          <c:dLbls>
            <c:dLblPos val="ctr"/>
            <c:showLegendKey val="0"/>
            <c:showVal val="0"/>
            <c:showCatName val="0"/>
            <c:showSerName val="1"/>
            <c:showPercent val="0"/>
            <c:showBubbleSize val="0"/>
          </c:dLbls>
          <c:xVal>
            <c:strRef>
              <c:f>'2022_Data'!$F$927</c:f>
            </c:strRef>
          </c:xVal>
          <c:yVal>
            <c:numRef>
              <c:f>'2022_Data'!$E$927</c:f>
              <c:numCache/>
            </c:numRef>
          </c:yVal>
          <c:bubbleSize>
            <c:numRef>
              <c:f>'2022_Data'!$G$927</c:f>
            </c:numRef>
          </c:bubbleSize>
        </c:ser>
        <c:ser>
          <c:idx val="927"/>
          <c:order val="927"/>
          <c:tx>
            <c:strRef>
              <c:f>'2022_Data'!$A$928</c:f>
            </c:strRef>
          </c:tx>
          <c:dLbls>
            <c:dLblPos val="ctr"/>
            <c:showLegendKey val="0"/>
            <c:showVal val="0"/>
            <c:showCatName val="0"/>
            <c:showSerName val="1"/>
            <c:showPercent val="0"/>
            <c:showBubbleSize val="0"/>
          </c:dLbls>
          <c:xVal>
            <c:strRef>
              <c:f>'2022_Data'!$F$928</c:f>
            </c:strRef>
          </c:xVal>
          <c:yVal>
            <c:numRef>
              <c:f>'2022_Data'!$E$928</c:f>
              <c:numCache/>
            </c:numRef>
          </c:yVal>
          <c:bubbleSize>
            <c:numRef>
              <c:f>'2022_Data'!$G$928</c:f>
            </c:numRef>
          </c:bubbleSize>
        </c:ser>
        <c:ser>
          <c:idx val="928"/>
          <c:order val="928"/>
          <c:tx>
            <c:strRef>
              <c:f>'2022_Data'!$A$929</c:f>
            </c:strRef>
          </c:tx>
          <c:dLbls>
            <c:dLblPos val="ctr"/>
            <c:showLegendKey val="0"/>
            <c:showVal val="0"/>
            <c:showCatName val="0"/>
            <c:showSerName val="1"/>
            <c:showPercent val="0"/>
            <c:showBubbleSize val="0"/>
          </c:dLbls>
          <c:xVal>
            <c:strRef>
              <c:f>'2022_Data'!$F$929</c:f>
            </c:strRef>
          </c:xVal>
          <c:yVal>
            <c:numRef>
              <c:f>'2022_Data'!$E$929</c:f>
              <c:numCache/>
            </c:numRef>
          </c:yVal>
          <c:bubbleSize>
            <c:numRef>
              <c:f>'2022_Data'!$G$929</c:f>
            </c:numRef>
          </c:bubbleSize>
        </c:ser>
        <c:ser>
          <c:idx val="929"/>
          <c:order val="929"/>
          <c:tx>
            <c:strRef>
              <c:f>'2022_Data'!$A$930</c:f>
            </c:strRef>
          </c:tx>
          <c:dLbls>
            <c:dLblPos val="ctr"/>
            <c:showLegendKey val="0"/>
            <c:showVal val="0"/>
            <c:showCatName val="0"/>
            <c:showSerName val="1"/>
            <c:showPercent val="0"/>
            <c:showBubbleSize val="0"/>
          </c:dLbls>
          <c:xVal>
            <c:strRef>
              <c:f>'2022_Data'!$F$930</c:f>
            </c:strRef>
          </c:xVal>
          <c:yVal>
            <c:numRef>
              <c:f>'2022_Data'!$E$930</c:f>
              <c:numCache/>
            </c:numRef>
          </c:yVal>
          <c:bubbleSize>
            <c:numRef>
              <c:f>'2022_Data'!$G$930</c:f>
            </c:numRef>
          </c:bubbleSize>
        </c:ser>
        <c:ser>
          <c:idx val="930"/>
          <c:order val="930"/>
          <c:tx>
            <c:strRef>
              <c:f>'2022_Data'!$A$931</c:f>
            </c:strRef>
          </c:tx>
          <c:dLbls>
            <c:dLblPos val="ctr"/>
            <c:showLegendKey val="0"/>
            <c:showVal val="0"/>
            <c:showCatName val="0"/>
            <c:showSerName val="1"/>
            <c:showPercent val="0"/>
            <c:showBubbleSize val="0"/>
          </c:dLbls>
          <c:xVal>
            <c:strRef>
              <c:f>'2022_Data'!$F$931</c:f>
            </c:strRef>
          </c:xVal>
          <c:yVal>
            <c:numRef>
              <c:f>'2022_Data'!$E$931</c:f>
              <c:numCache/>
            </c:numRef>
          </c:yVal>
          <c:bubbleSize>
            <c:numRef>
              <c:f>'2022_Data'!$G$931</c:f>
            </c:numRef>
          </c:bubbleSize>
        </c:ser>
        <c:ser>
          <c:idx val="931"/>
          <c:order val="931"/>
          <c:tx>
            <c:strRef>
              <c:f>'2022_Data'!$A$932</c:f>
            </c:strRef>
          </c:tx>
          <c:dLbls>
            <c:dLblPos val="ctr"/>
            <c:showLegendKey val="0"/>
            <c:showVal val="0"/>
            <c:showCatName val="0"/>
            <c:showSerName val="1"/>
            <c:showPercent val="0"/>
            <c:showBubbleSize val="0"/>
          </c:dLbls>
          <c:xVal>
            <c:strRef>
              <c:f>'2022_Data'!$F$932</c:f>
            </c:strRef>
          </c:xVal>
          <c:yVal>
            <c:numRef>
              <c:f>'2022_Data'!$E$932</c:f>
              <c:numCache/>
            </c:numRef>
          </c:yVal>
          <c:bubbleSize>
            <c:numRef>
              <c:f>'2022_Data'!$G$932</c:f>
            </c:numRef>
          </c:bubbleSize>
        </c:ser>
        <c:ser>
          <c:idx val="932"/>
          <c:order val="932"/>
          <c:tx>
            <c:strRef>
              <c:f>'2022_Data'!$A$933</c:f>
            </c:strRef>
          </c:tx>
          <c:dLbls>
            <c:dLblPos val="ctr"/>
            <c:showLegendKey val="0"/>
            <c:showVal val="0"/>
            <c:showCatName val="0"/>
            <c:showSerName val="1"/>
            <c:showPercent val="0"/>
            <c:showBubbleSize val="0"/>
          </c:dLbls>
          <c:xVal>
            <c:strRef>
              <c:f>'2022_Data'!$F$933</c:f>
            </c:strRef>
          </c:xVal>
          <c:yVal>
            <c:numRef>
              <c:f>'2022_Data'!$E$933</c:f>
              <c:numCache/>
            </c:numRef>
          </c:yVal>
          <c:bubbleSize>
            <c:numRef>
              <c:f>'2022_Data'!$G$933</c:f>
            </c:numRef>
          </c:bubbleSize>
        </c:ser>
        <c:ser>
          <c:idx val="933"/>
          <c:order val="933"/>
          <c:tx>
            <c:strRef>
              <c:f>'2022_Data'!$A$934</c:f>
            </c:strRef>
          </c:tx>
          <c:dLbls>
            <c:dLblPos val="ctr"/>
            <c:showLegendKey val="0"/>
            <c:showVal val="0"/>
            <c:showCatName val="0"/>
            <c:showSerName val="1"/>
            <c:showPercent val="0"/>
            <c:showBubbleSize val="0"/>
          </c:dLbls>
          <c:xVal>
            <c:strRef>
              <c:f>'2022_Data'!$F$934</c:f>
            </c:strRef>
          </c:xVal>
          <c:yVal>
            <c:numRef>
              <c:f>'2022_Data'!$E$934</c:f>
              <c:numCache/>
            </c:numRef>
          </c:yVal>
          <c:bubbleSize>
            <c:numRef>
              <c:f>'2022_Data'!$G$934</c:f>
            </c:numRef>
          </c:bubbleSize>
        </c:ser>
        <c:ser>
          <c:idx val="934"/>
          <c:order val="934"/>
          <c:tx>
            <c:strRef>
              <c:f>'2022_Data'!$A$935</c:f>
            </c:strRef>
          </c:tx>
          <c:dLbls>
            <c:dLblPos val="ctr"/>
            <c:showLegendKey val="0"/>
            <c:showVal val="0"/>
            <c:showCatName val="0"/>
            <c:showSerName val="1"/>
            <c:showPercent val="0"/>
            <c:showBubbleSize val="0"/>
          </c:dLbls>
          <c:xVal>
            <c:strRef>
              <c:f>'2022_Data'!$F$935</c:f>
            </c:strRef>
          </c:xVal>
          <c:yVal>
            <c:numRef>
              <c:f>'2022_Data'!$E$935</c:f>
              <c:numCache/>
            </c:numRef>
          </c:yVal>
          <c:bubbleSize>
            <c:numRef>
              <c:f>'2022_Data'!$G$935</c:f>
            </c:numRef>
          </c:bubbleSize>
        </c:ser>
        <c:ser>
          <c:idx val="935"/>
          <c:order val="935"/>
          <c:tx>
            <c:strRef>
              <c:f>'2022_Data'!$A$936</c:f>
            </c:strRef>
          </c:tx>
          <c:dLbls>
            <c:dLblPos val="ctr"/>
            <c:showLegendKey val="0"/>
            <c:showVal val="0"/>
            <c:showCatName val="0"/>
            <c:showSerName val="1"/>
            <c:showPercent val="0"/>
            <c:showBubbleSize val="0"/>
          </c:dLbls>
          <c:xVal>
            <c:strRef>
              <c:f>'2022_Data'!$F$936</c:f>
            </c:strRef>
          </c:xVal>
          <c:yVal>
            <c:numRef>
              <c:f>'2022_Data'!$E$936</c:f>
              <c:numCache/>
            </c:numRef>
          </c:yVal>
          <c:bubbleSize>
            <c:numRef>
              <c:f>'2022_Data'!$G$936</c:f>
            </c:numRef>
          </c:bubbleSize>
        </c:ser>
        <c:ser>
          <c:idx val="936"/>
          <c:order val="936"/>
          <c:tx>
            <c:strRef>
              <c:f>'2022_Data'!$A$937</c:f>
            </c:strRef>
          </c:tx>
          <c:dLbls>
            <c:dLblPos val="ctr"/>
            <c:showLegendKey val="0"/>
            <c:showVal val="0"/>
            <c:showCatName val="0"/>
            <c:showSerName val="1"/>
            <c:showPercent val="0"/>
            <c:showBubbleSize val="0"/>
          </c:dLbls>
          <c:xVal>
            <c:strRef>
              <c:f>'2022_Data'!$F$937</c:f>
            </c:strRef>
          </c:xVal>
          <c:yVal>
            <c:numRef>
              <c:f>'2022_Data'!$E$937</c:f>
              <c:numCache/>
            </c:numRef>
          </c:yVal>
          <c:bubbleSize>
            <c:numRef>
              <c:f>'2022_Data'!$G$937</c:f>
            </c:numRef>
          </c:bubbleSize>
        </c:ser>
        <c:ser>
          <c:idx val="937"/>
          <c:order val="937"/>
          <c:tx>
            <c:strRef>
              <c:f>'2022_Data'!$A$938</c:f>
            </c:strRef>
          </c:tx>
          <c:dLbls>
            <c:dLblPos val="ctr"/>
            <c:showLegendKey val="0"/>
            <c:showVal val="0"/>
            <c:showCatName val="0"/>
            <c:showSerName val="1"/>
            <c:showPercent val="0"/>
            <c:showBubbleSize val="0"/>
          </c:dLbls>
          <c:xVal>
            <c:strRef>
              <c:f>'2022_Data'!$F$938</c:f>
            </c:strRef>
          </c:xVal>
          <c:yVal>
            <c:numRef>
              <c:f>'2022_Data'!$E$938</c:f>
              <c:numCache/>
            </c:numRef>
          </c:yVal>
          <c:bubbleSize>
            <c:numRef>
              <c:f>'2022_Data'!$G$938</c:f>
            </c:numRef>
          </c:bubbleSize>
        </c:ser>
        <c:ser>
          <c:idx val="938"/>
          <c:order val="938"/>
          <c:tx>
            <c:strRef>
              <c:f>'2022_Data'!$A$939</c:f>
            </c:strRef>
          </c:tx>
          <c:dLbls>
            <c:dLblPos val="ctr"/>
            <c:showLegendKey val="0"/>
            <c:showVal val="0"/>
            <c:showCatName val="0"/>
            <c:showSerName val="1"/>
            <c:showPercent val="0"/>
            <c:showBubbleSize val="0"/>
          </c:dLbls>
          <c:xVal>
            <c:strRef>
              <c:f>'2022_Data'!$F$939</c:f>
            </c:strRef>
          </c:xVal>
          <c:yVal>
            <c:numRef>
              <c:f>'2022_Data'!$E$939</c:f>
              <c:numCache/>
            </c:numRef>
          </c:yVal>
          <c:bubbleSize>
            <c:numRef>
              <c:f>'2022_Data'!$G$939</c:f>
            </c:numRef>
          </c:bubbleSize>
        </c:ser>
        <c:ser>
          <c:idx val="939"/>
          <c:order val="939"/>
          <c:tx>
            <c:strRef>
              <c:f>'2022_Data'!$A$940</c:f>
            </c:strRef>
          </c:tx>
          <c:dLbls>
            <c:dLblPos val="ctr"/>
            <c:showLegendKey val="0"/>
            <c:showVal val="0"/>
            <c:showCatName val="0"/>
            <c:showSerName val="1"/>
            <c:showPercent val="0"/>
            <c:showBubbleSize val="0"/>
          </c:dLbls>
          <c:xVal>
            <c:strRef>
              <c:f>'2022_Data'!$F$940</c:f>
            </c:strRef>
          </c:xVal>
          <c:yVal>
            <c:numRef>
              <c:f>'2022_Data'!$E$940</c:f>
              <c:numCache/>
            </c:numRef>
          </c:yVal>
          <c:bubbleSize>
            <c:numRef>
              <c:f>'2022_Data'!$G$940</c:f>
            </c:numRef>
          </c:bubbleSize>
        </c:ser>
        <c:ser>
          <c:idx val="940"/>
          <c:order val="940"/>
          <c:tx>
            <c:strRef>
              <c:f>'2022_Data'!$A$941</c:f>
            </c:strRef>
          </c:tx>
          <c:dLbls>
            <c:dLblPos val="ctr"/>
            <c:showLegendKey val="0"/>
            <c:showVal val="0"/>
            <c:showCatName val="0"/>
            <c:showSerName val="1"/>
            <c:showPercent val="0"/>
            <c:showBubbleSize val="0"/>
          </c:dLbls>
          <c:xVal>
            <c:strRef>
              <c:f>'2022_Data'!$F$941</c:f>
            </c:strRef>
          </c:xVal>
          <c:yVal>
            <c:numRef>
              <c:f>'2022_Data'!$E$941</c:f>
              <c:numCache/>
            </c:numRef>
          </c:yVal>
          <c:bubbleSize>
            <c:numRef>
              <c:f>'2022_Data'!$G$941</c:f>
            </c:numRef>
          </c:bubbleSize>
        </c:ser>
        <c:ser>
          <c:idx val="941"/>
          <c:order val="941"/>
          <c:tx>
            <c:strRef>
              <c:f>'2022_Data'!$A$942</c:f>
            </c:strRef>
          </c:tx>
          <c:dLbls>
            <c:dLblPos val="ctr"/>
            <c:showLegendKey val="0"/>
            <c:showVal val="0"/>
            <c:showCatName val="0"/>
            <c:showSerName val="1"/>
            <c:showPercent val="0"/>
            <c:showBubbleSize val="0"/>
          </c:dLbls>
          <c:xVal>
            <c:strRef>
              <c:f>'2022_Data'!$F$942</c:f>
            </c:strRef>
          </c:xVal>
          <c:yVal>
            <c:numRef>
              <c:f>'2022_Data'!$E$942</c:f>
              <c:numCache/>
            </c:numRef>
          </c:yVal>
          <c:bubbleSize>
            <c:numRef>
              <c:f>'2022_Data'!$G$942</c:f>
            </c:numRef>
          </c:bubbleSize>
        </c:ser>
        <c:ser>
          <c:idx val="942"/>
          <c:order val="942"/>
          <c:tx>
            <c:strRef>
              <c:f>'2022_Data'!$A$943</c:f>
            </c:strRef>
          </c:tx>
          <c:dLbls>
            <c:dLblPos val="ctr"/>
            <c:showLegendKey val="0"/>
            <c:showVal val="0"/>
            <c:showCatName val="0"/>
            <c:showSerName val="1"/>
            <c:showPercent val="0"/>
            <c:showBubbleSize val="0"/>
          </c:dLbls>
          <c:xVal>
            <c:strRef>
              <c:f>'2022_Data'!$F$943</c:f>
            </c:strRef>
          </c:xVal>
          <c:yVal>
            <c:numRef>
              <c:f>'2022_Data'!$E$943</c:f>
              <c:numCache/>
            </c:numRef>
          </c:yVal>
          <c:bubbleSize>
            <c:numRef>
              <c:f>'2022_Data'!$G$943</c:f>
            </c:numRef>
          </c:bubbleSize>
        </c:ser>
        <c:ser>
          <c:idx val="943"/>
          <c:order val="943"/>
          <c:tx>
            <c:strRef>
              <c:f>'2022_Data'!$A$944</c:f>
            </c:strRef>
          </c:tx>
          <c:dLbls>
            <c:dLblPos val="ctr"/>
            <c:showLegendKey val="0"/>
            <c:showVal val="0"/>
            <c:showCatName val="0"/>
            <c:showSerName val="1"/>
            <c:showPercent val="0"/>
            <c:showBubbleSize val="0"/>
          </c:dLbls>
          <c:xVal>
            <c:strRef>
              <c:f>'2022_Data'!$F$944</c:f>
            </c:strRef>
          </c:xVal>
          <c:yVal>
            <c:numRef>
              <c:f>'2022_Data'!$E$944</c:f>
              <c:numCache/>
            </c:numRef>
          </c:yVal>
          <c:bubbleSize>
            <c:numRef>
              <c:f>'2022_Data'!$G$944</c:f>
            </c:numRef>
          </c:bubbleSize>
        </c:ser>
        <c:ser>
          <c:idx val="944"/>
          <c:order val="944"/>
          <c:tx>
            <c:strRef>
              <c:f>'2022_Data'!$A$945</c:f>
            </c:strRef>
          </c:tx>
          <c:dLbls>
            <c:dLblPos val="ctr"/>
            <c:showLegendKey val="0"/>
            <c:showVal val="0"/>
            <c:showCatName val="0"/>
            <c:showSerName val="1"/>
            <c:showPercent val="0"/>
            <c:showBubbleSize val="0"/>
          </c:dLbls>
          <c:xVal>
            <c:strRef>
              <c:f>'2022_Data'!$F$945</c:f>
            </c:strRef>
          </c:xVal>
          <c:yVal>
            <c:numRef>
              <c:f>'2022_Data'!$E$945</c:f>
              <c:numCache/>
            </c:numRef>
          </c:yVal>
          <c:bubbleSize>
            <c:numRef>
              <c:f>'2022_Data'!$G$945</c:f>
            </c:numRef>
          </c:bubbleSize>
        </c:ser>
        <c:ser>
          <c:idx val="945"/>
          <c:order val="945"/>
          <c:tx>
            <c:strRef>
              <c:f>'2022_Data'!$A$946</c:f>
            </c:strRef>
          </c:tx>
          <c:dLbls>
            <c:dLblPos val="ctr"/>
            <c:showLegendKey val="0"/>
            <c:showVal val="0"/>
            <c:showCatName val="0"/>
            <c:showSerName val="1"/>
            <c:showPercent val="0"/>
            <c:showBubbleSize val="0"/>
          </c:dLbls>
          <c:xVal>
            <c:strRef>
              <c:f>'2022_Data'!$F$946</c:f>
            </c:strRef>
          </c:xVal>
          <c:yVal>
            <c:numRef>
              <c:f>'2022_Data'!$E$946</c:f>
              <c:numCache/>
            </c:numRef>
          </c:yVal>
          <c:bubbleSize>
            <c:numRef>
              <c:f>'2022_Data'!$G$946</c:f>
            </c:numRef>
          </c:bubbleSize>
        </c:ser>
        <c:ser>
          <c:idx val="946"/>
          <c:order val="946"/>
          <c:tx>
            <c:strRef>
              <c:f>'2022_Data'!$A$947</c:f>
            </c:strRef>
          </c:tx>
          <c:dLbls>
            <c:dLblPos val="ctr"/>
            <c:showLegendKey val="0"/>
            <c:showVal val="0"/>
            <c:showCatName val="0"/>
            <c:showSerName val="1"/>
            <c:showPercent val="0"/>
            <c:showBubbleSize val="0"/>
          </c:dLbls>
          <c:xVal>
            <c:strRef>
              <c:f>'2022_Data'!$F$947</c:f>
            </c:strRef>
          </c:xVal>
          <c:yVal>
            <c:numRef>
              <c:f>'2022_Data'!$E$947</c:f>
              <c:numCache/>
            </c:numRef>
          </c:yVal>
          <c:bubbleSize>
            <c:numRef>
              <c:f>'2022_Data'!$G$947</c:f>
            </c:numRef>
          </c:bubbleSize>
        </c:ser>
        <c:ser>
          <c:idx val="947"/>
          <c:order val="947"/>
          <c:tx>
            <c:strRef>
              <c:f>'2022_Data'!$A$948</c:f>
            </c:strRef>
          </c:tx>
          <c:dLbls>
            <c:dLblPos val="ctr"/>
            <c:showLegendKey val="0"/>
            <c:showVal val="0"/>
            <c:showCatName val="0"/>
            <c:showSerName val="1"/>
            <c:showPercent val="0"/>
            <c:showBubbleSize val="0"/>
          </c:dLbls>
          <c:xVal>
            <c:strRef>
              <c:f>'2022_Data'!$F$948</c:f>
            </c:strRef>
          </c:xVal>
          <c:yVal>
            <c:numRef>
              <c:f>'2022_Data'!$E$948</c:f>
              <c:numCache/>
            </c:numRef>
          </c:yVal>
          <c:bubbleSize>
            <c:numRef>
              <c:f>'2022_Data'!$G$948</c:f>
            </c:numRef>
          </c:bubbleSize>
        </c:ser>
        <c:ser>
          <c:idx val="948"/>
          <c:order val="948"/>
          <c:tx>
            <c:strRef>
              <c:f>'2022_Data'!$A$949</c:f>
            </c:strRef>
          </c:tx>
          <c:dLbls>
            <c:dLblPos val="ctr"/>
            <c:showLegendKey val="0"/>
            <c:showVal val="0"/>
            <c:showCatName val="0"/>
            <c:showSerName val="1"/>
            <c:showPercent val="0"/>
            <c:showBubbleSize val="0"/>
          </c:dLbls>
          <c:xVal>
            <c:strRef>
              <c:f>'2022_Data'!$F$949</c:f>
            </c:strRef>
          </c:xVal>
          <c:yVal>
            <c:numRef>
              <c:f>'2022_Data'!$E$949</c:f>
              <c:numCache/>
            </c:numRef>
          </c:yVal>
          <c:bubbleSize>
            <c:numRef>
              <c:f>'2022_Data'!$G$949</c:f>
            </c:numRef>
          </c:bubbleSize>
        </c:ser>
        <c:ser>
          <c:idx val="949"/>
          <c:order val="949"/>
          <c:tx>
            <c:strRef>
              <c:f>'2022_Data'!$A$950</c:f>
            </c:strRef>
          </c:tx>
          <c:dLbls>
            <c:dLblPos val="ctr"/>
            <c:showLegendKey val="0"/>
            <c:showVal val="0"/>
            <c:showCatName val="0"/>
            <c:showSerName val="1"/>
            <c:showPercent val="0"/>
            <c:showBubbleSize val="0"/>
          </c:dLbls>
          <c:xVal>
            <c:strRef>
              <c:f>'2022_Data'!$F$950</c:f>
            </c:strRef>
          </c:xVal>
          <c:yVal>
            <c:numRef>
              <c:f>'2022_Data'!$E$950</c:f>
              <c:numCache/>
            </c:numRef>
          </c:yVal>
          <c:bubbleSize>
            <c:numRef>
              <c:f>'2022_Data'!$G$950</c:f>
            </c:numRef>
          </c:bubbleSize>
        </c:ser>
        <c:ser>
          <c:idx val="950"/>
          <c:order val="950"/>
          <c:tx>
            <c:strRef>
              <c:f>'2022_Data'!$A$951</c:f>
            </c:strRef>
          </c:tx>
          <c:dLbls>
            <c:dLblPos val="ctr"/>
            <c:showLegendKey val="0"/>
            <c:showVal val="0"/>
            <c:showCatName val="0"/>
            <c:showSerName val="1"/>
            <c:showPercent val="0"/>
            <c:showBubbleSize val="0"/>
          </c:dLbls>
          <c:xVal>
            <c:strRef>
              <c:f>'2022_Data'!$F$951</c:f>
            </c:strRef>
          </c:xVal>
          <c:yVal>
            <c:numRef>
              <c:f>'2022_Data'!$E$951</c:f>
              <c:numCache/>
            </c:numRef>
          </c:yVal>
          <c:bubbleSize>
            <c:numRef>
              <c:f>'2022_Data'!$G$951</c:f>
            </c:numRef>
          </c:bubbleSize>
        </c:ser>
        <c:ser>
          <c:idx val="951"/>
          <c:order val="951"/>
          <c:tx>
            <c:strRef>
              <c:f>'2022_Data'!$A$952</c:f>
            </c:strRef>
          </c:tx>
          <c:dLbls>
            <c:dLblPos val="ctr"/>
            <c:showLegendKey val="0"/>
            <c:showVal val="0"/>
            <c:showCatName val="0"/>
            <c:showSerName val="1"/>
            <c:showPercent val="0"/>
            <c:showBubbleSize val="0"/>
          </c:dLbls>
          <c:xVal>
            <c:strRef>
              <c:f>'2022_Data'!$F$952</c:f>
            </c:strRef>
          </c:xVal>
          <c:yVal>
            <c:numRef>
              <c:f>'2022_Data'!$E$952</c:f>
              <c:numCache/>
            </c:numRef>
          </c:yVal>
          <c:bubbleSize>
            <c:numRef>
              <c:f>'2022_Data'!$G$952</c:f>
            </c:numRef>
          </c:bubbleSize>
        </c:ser>
        <c:ser>
          <c:idx val="952"/>
          <c:order val="952"/>
          <c:tx>
            <c:strRef>
              <c:f>'2022_Data'!$A$953</c:f>
            </c:strRef>
          </c:tx>
          <c:dLbls>
            <c:dLblPos val="ctr"/>
            <c:showLegendKey val="0"/>
            <c:showVal val="0"/>
            <c:showCatName val="0"/>
            <c:showSerName val="1"/>
            <c:showPercent val="0"/>
            <c:showBubbleSize val="0"/>
          </c:dLbls>
          <c:xVal>
            <c:strRef>
              <c:f>'2022_Data'!$F$953</c:f>
            </c:strRef>
          </c:xVal>
          <c:yVal>
            <c:numRef>
              <c:f>'2022_Data'!$E$953</c:f>
              <c:numCache/>
            </c:numRef>
          </c:yVal>
          <c:bubbleSize>
            <c:numRef>
              <c:f>'2022_Data'!$G$953</c:f>
            </c:numRef>
          </c:bubbleSize>
        </c:ser>
        <c:ser>
          <c:idx val="953"/>
          <c:order val="953"/>
          <c:tx>
            <c:strRef>
              <c:f>'2022_Data'!$A$954</c:f>
            </c:strRef>
          </c:tx>
          <c:dLbls>
            <c:dLblPos val="ctr"/>
            <c:showLegendKey val="0"/>
            <c:showVal val="0"/>
            <c:showCatName val="0"/>
            <c:showSerName val="1"/>
            <c:showPercent val="0"/>
            <c:showBubbleSize val="0"/>
          </c:dLbls>
          <c:xVal>
            <c:strRef>
              <c:f>'2022_Data'!$F$954</c:f>
            </c:strRef>
          </c:xVal>
          <c:yVal>
            <c:numRef>
              <c:f>'2022_Data'!$E$954</c:f>
              <c:numCache/>
            </c:numRef>
          </c:yVal>
          <c:bubbleSize>
            <c:numRef>
              <c:f>'2022_Data'!$G$954</c:f>
            </c:numRef>
          </c:bubbleSize>
        </c:ser>
        <c:ser>
          <c:idx val="954"/>
          <c:order val="954"/>
          <c:tx>
            <c:strRef>
              <c:f>'2022_Data'!$A$955</c:f>
            </c:strRef>
          </c:tx>
          <c:dLbls>
            <c:dLblPos val="ctr"/>
            <c:showLegendKey val="0"/>
            <c:showVal val="0"/>
            <c:showCatName val="0"/>
            <c:showSerName val="1"/>
            <c:showPercent val="0"/>
            <c:showBubbleSize val="0"/>
          </c:dLbls>
          <c:xVal>
            <c:strRef>
              <c:f>'2022_Data'!$F$955</c:f>
            </c:strRef>
          </c:xVal>
          <c:yVal>
            <c:numRef>
              <c:f>'2022_Data'!$E$955</c:f>
              <c:numCache/>
            </c:numRef>
          </c:yVal>
          <c:bubbleSize>
            <c:numRef>
              <c:f>'2022_Data'!$G$955</c:f>
            </c:numRef>
          </c:bubbleSize>
        </c:ser>
        <c:ser>
          <c:idx val="955"/>
          <c:order val="955"/>
          <c:tx>
            <c:strRef>
              <c:f>'2022_Data'!$A$956</c:f>
            </c:strRef>
          </c:tx>
          <c:dLbls>
            <c:dLblPos val="ctr"/>
            <c:showLegendKey val="0"/>
            <c:showVal val="0"/>
            <c:showCatName val="0"/>
            <c:showSerName val="1"/>
            <c:showPercent val="0"/>
            <c:showBubbleSize val="0"/>
          </c:dLbls>
          <c:xVal>
            <c:strRef>
              <c:f>'2022_Data'!$F$956</c:f>
            </c:strRef>
          </c:xVal>
          <c:yVal>
            <c:numRef>
              <c:f>'2022_Data'!$E$956</c:f>
              <c:numCache/>
            </c:numRef>
          </c:yVal>
          <c:bubbleSize>
            <c:numRef>
              <c:f>'2022_Data'!$G$956</c:f>
            </c:numRef>
          </c:bubbleSize>
        </c:ser>
        <c:ser>
          <c:idx val="956"/>
          <c:order val="956"/>
          <c:tx>
            <c:strRef>
              <c:f>'2022_Data'!$A$957</c:f>
            </c:strRef>
          </c:tx>
          <c:dLbls>
            <c:dLblPos val="ctr"/>
            <c:showLegendKey val="0"/>
            <c:showVal val="0"/>
            <c:showCatName val="0"/>
            <c:showSerName val="1"/>
            <c:showPercent val="0"/>
            <c:showBubbleSize val="0"/>
          </c:dLbls>
          <c:xVal>
            <c:strRef>
              <c:f>'2022_Data'!$F$957</c:f>
            </c:strRef>
          </c:xVal>
          <c:yVal>
            <c:numRef>
              <c:f>'2022_Data'!$E$957</c:f>
              <c:numCache/>
            </c:numRef>
          </c:yVal>
          <c:bubbleSize>
            <c:numRef>
              <c:f>'2022_Data'!$G$957</c:f>
            </c:numRef>
          </c:bubbleSize>
        </c:ser>
        <c:ser>
          <c:idx val="957"/>
          <c:order val="957"/>
          <c:tx>
            <c:strRef>
              <c:f>'2022_Data'!$A$958</c:f>
            </c:strRef>
          </c:tx>
          <c:dLbls>
            <c:dLblPos val="ctr"/>
            <c:showLegendKey val="0"/>
            <c:showVal val="0"/>
            <c:showCatName val="0"/>
            <c:showSerName val="1"/>
            <c:showPercent val="0"/>
            <c:showBubbleSize val="0"/>
          </c:dLbls>
          <c:xVal>
            <c:strRef>
              <c:f>'2022_Data'!$F$958</c:f>
            </c:strRef>
          </c:xVal>
          <c:yVal>
            <c:numRef>
              <c:f>'2022_Data'!$E$958</c:f>
              <c:numCache/>
            </c:numRef>
          </c:yVal>
          <c:bubbleSize>
            <c:numRef>
              <c:f>'2022_Data'!$G$958</c:f>
            </c:numRef>
          </c:bubbleSize>
        </c:ser>
        <c:ser>
          <c:idx val="958"/>
          <c:order val="958"/>
          <c:tx>
            <c:strRef>
              <c:f>'2022_Data'!$A$959</c:f>
            </c:strRef>
          </c:tx>
          <c:dLbls>
            <c:dLblPos val="ctr"/>
            <c:showLegendKey val="0"/>
            <c:showVal val="0"/>
            <c:showCatName val="0"/>
            <c:showSerName val="1"/>
            <c:showPercent val="0"/>
            <c:showBubbleSize val="0"/>
          </c:dLbls>
          <c:xVal>
            <c:strRef>
              <c:f>'2022_Data'!$F$959</c:f>
            </c:strRef>
          </c:xVal>
          <c:yVal>
            <c:numRef>
              <c:f>'2022_Data'!$E$959</c:f>
              <c:numCache/>
            </c:numRef>
          </c:yVal>
          <c:bubbleSize>
            <c:numRef>
              <c:f>'2022_Data'!$G$959</c:f>
            </c:numRef>
          </c:bubbleSize>
        </c:ser>
        <c:ser>
          <c:idx val="959"/>
          <c:order val="959"/>
          <c:tx>
            <c:strRef>
              <c:f>'2022_Data'!$A$960</c:f>
            </c:strRef>
          </c:tx>
          <c:dLbls>
            <c:dLblPos val="ctr"/>
            <c:showLegendKey val="0"/>
            <c:showVal val="0"/>
            <c:showCatName val="0"/>
            <c:showSerName val="1"/>
            <c:showPercent val="0"/>
            <c:showBubbleSize val="0"/>
          </c:dLbls>
          <c:xVal>
            <c:strRef>
              <c:f>'2022_Data'!$F$960</c:f>
            </c:strRef>
          </c:xVal>
          <c:yVal>
            <c:numRef>
              <c:f>'2022_Data'!$E$960</c:f>
              <c:numCache/>
            </c:numRef>
          </c:yVal>
          <c:bubbleSize>
            <c:numRef>
              <c:f>'2022_Data'!$G$960</c:f>
            </c:numRef>
          </c:bubbleSize>
        </c:ser>
        <c:ser>
          <c:idx val="960"/>
          <c:order val="960"/>
          <c:tx>
            <c:strRef>
              <c:f>'2022_Data'!$A$961</c:f>
            </c:strRef>
          </c:tx>
          <c:dLbls>
            <c:dLblPos val="ctr"/>
            <c:showLegendKey val="0"/>
            <c:showVal val="0"/>
            <c:showCatName val="0"/>
            <c:showSerName val="1"/>
            <c:showPercent val="0"/>
            <c:showBubbleSize val="0"/>
          </c:dLbls>
          <c:xVal>
            <c:strRef>
              <c:f>'2022_Data'!$F$961</c:f>
            </c:strRef>
          </c:xVal>
          <c:yVal>
            <c:numRef>
              <c:f>'2022_Data'!$E$961</c:f>
              <c:numCache/>
            </c:numRef>
          </c:yVal>
          <c:bubbleSize>
            <c:numRef>
              <c:f>'2022_Data'!$G$961</c:f>
            </c:numRef>
          </c:bubbleSize>
        </c:ser>
        <c:ser>
          <c:idx val="961"/>
          <c:order val="961"/>
          <c:tx>
            <c:strRef>
              <c:f>'2022_Data'!$A$962</c:f>
            </c:strRef>
          </c:tx>
          <c:dLbls>
            <c:dLblPos val="ctr"/>
            <c:showLegendKey val="0"/>
            <c:showVal val="0"/>
            <c:showCatName val="0"/>
            <c:showSerName val="1"/>
            <c:showPercent val="0"/>
            <c:showBubbleSize val="0"/>
          </c:dLbls>
          <c:xVal>
            <c:strRef>
              <c:f>'2022_Data'!$F$962</c:f>
            </c:strRef>
          </c:xVal>
          <c:yVal>
            <c:numRef>
              <c:f>'2022_Data'!$E$962</c:f>
              <c:numCache/>
            </c:numRef>
          </c:yVal>
          <c:bubbleSize>
            <c:numRef>
              <c:f>'2022_Data'!$G$962</c:f>
            </c:numRef>
          </c:bubbleSize>
        </c:ser>
        <c:ser>
          <c:idx val="962"/>
          <c:order val="962"/>
          <c:tx>
            <c:strRef>
              <c:f>'2022_Data'!$A$963</c:f>
            </c:strRef>
          </c:tx>
          <c:dLbls>
            <c:dLblPos val="ctr"/>
            <c:showLegendKey val="0"/>
            <c:showVal val="0"/>
            <c:showCatName val="0"/>
            <c:showSerName val="1"/>
            <c:showPercent val="0"/>
            <c:showBubbleSize val="0"/>
          </c:dLbls>
          <c:xVal>
            <c:strRef>
              <c:f>'2022_Data'!$F$963</c:f>
            </c:strRef>
          </c:xVal>
          <c:yVal>
            <c:numRef>
              <c:f>'2022_Data'!$E$963</c:f>
              <c:numCache/>
            </c:numRef>
          </c:yVal>
          <c:bubbleSize>
            <c:numRef>
              <c:f>'2022_Data'!$G$963</c:f>
            </c:numRef>
          </c:bubbleSize>
        </c:ser>
        <c:ser>
          <c:idx val="963"/>
          <c:order val="963"/>
          <c:tx>
            <c:strRef>
              <c:f>'2022_Data'!$A$964</c:f>
            </c:strRef>
          </c:tx>
          <c:dLbls>
            <c:dLblPos val="ctr"/>
            <c:showLegendKey val="0"/>
            <c:showVal val="0"/>
            <c:showCatName val="0"/>
            <c:showSerName val="1"/>
            <c:showPercent val="0"/>
            <c:showBubbleSize val="0"/>
          </c:dLbls>
          <c:xVal>
            <c:strRef>
              <c:f>'2022_Data'!$F$964</c:f>
            </c:strRef>
          </c:xVal>
          <c:yVal>
            <c:numRef>
              <c:f>'2022_Data'!$E$964</c:f>
              <c:numCache/>
            </c:numRef>
          </c:yVal>
          <c:bubbleSize>
            <c:numRef>
              <c:f>'2022_Data'!$G$964</c:f>
            </c:numRef>
          </c:bubbleSize>
        </c:ser>
        <c:ser>
          <c:idx val="964"/>
          <c:order val="964"/>
          <c:tx>
            <c:strRef>
              <c:f>'2022_Data'!$A$965</c:f>
            </c:strRef>
          </c:tx>
          <c:dLbls>
            <c:dLblPos val="ctr"/>
            <c:showLegendKey val="0"/>
            <c:showVal val="0"/>
            <c:showCatName val="0"/>
            <c:showSerName val="1"/>
            <c:showPercent val="0"/>
            <c:showBubbleSize val="0"/>
          </c:dLbls>
          <c:xVal>
            <c:strRef>
              <c:f>'2022_Data'!$F$965</c:f>
            </c:strRef>
          </c:xVal>
          <c:yVal>
            <c:numRef>
              <c:f>'2022_Data'!$E$965</c:f>
              <c:numCache/>
            </c:numRef>
          </c:yVal>
          <c:bubbleSize>
            <c:numRef>
              <c:f>'2022_Data'!$G$965</c:f>
            </c:numRef>
          </c:bubbleSize>
        </c:ser>
        <c:ser>
          <c:idx val="965"/>
          <c:order val="965"/>
          <c:tx>
            <c:strRef>
              <c:f>'2022_Data'!$A$966</c:f>
            </c:strRef>
          </c:tx>
          <c:dLbls>
            <c:dLblPos val="ctr"/>
            <c:showLegendKey val="0"/>
            <c:showVal val="0"/>
            <c:showCatName val="0"/>
            <c:showSerName val="1"/>
            <c:showPercent val="0"/>
            <c:showBubbleSize val="0"/>
          </c:dLbls>
          <c:xVal>
            <c:strRef>
              <c:f>'2022_Data'!$F$966</c:f>
            </c:strRef>
          </c:xVal>
          <c:yVal>
            <c:numRef>
              <c:f>'2022_Data'!$E$966</c:f>
              <c:numCache/>
            </c:numRef>
          </c:yVal>
          <c:bubbleSize>
            <c:numRef>
              <c:f>'2022_Data'!$G$966</c:f>
            </c:numRef>
          </c:bubbleSize>
        </c:ser>
        <c:ser>
          <c:idx val="966"/>
          <c:order val="966"/>
          <c:tx>
            <c:strRef>
              <c:f>'2022_Data'!$A$967</c:f>
            </c:strRef>
          </c:tx>
          <c:dLbls>
            <c:dLblPos val="ctr"/>
            <c:showLegendKey val="0"/>
            <c:showVal val="0"/>
            <c:showCatName val="0"/>
            <c:showSerName val="1"/>
            <c:showPercent val="0"/>
            <c:showBubbleSize val="0"/>
          </c:dLbls>
          <c:xVal>
            <c:strRef>
              <c:f>'2022_Data'!$F$967</c:f>
            </c:strRef>
          </c:xVal>
          <c:yVal>
            <c:numRef>
              <c:f>'2022_Data'!$E$967</c:f>
              <c:numCache/>
            </c:numRef>
          </c:yVal>
          <c:bubbleSize>
            <c:numRef>
              <c:f>'2022_Data'!$G$967</c:f>
            </c:numRef>
          </c:bubbleSize>
        </c:ser>
        <c:ser>
          <c:idx val="967"/>
          <c:order val="967"/>
          <c:tx>
            <c:strRef>
              <c:f>'2022_Data'!$A$968</c:f>
            </c:strRef>
          </c:tx>
          <c:dLbls>
            <c:dLblPos val="ctr"/>
            <c:showLegendKey val="0"/>
            <c:showVal val="0"/>
            <c:showCatName val="0"/>
            <c:showSerName val="1"/>
            <c:showPercent val="0"/>
            <c:showBubbleSize val="0"/>
          </c:dLbls>
          <c:xVal>
            <c:strRef>
              <c:f>'2022_Data'!$F$968</c:f>
            </c:strRef>
          </c:xVal>
          <c:yVal>
            <c:numRef>
              <c:f>'2022_Data'!$E$968</c:f>
              <c:numCache/>
            </c:numRef>
          </c:yVal>
          <c:bubbleSize>
            <c:numRef>
              <c:f>'2022_Data'!$G$968</c:f>
            </c:numRef>
          </c:bubbleSize>
        </c:ser>
        <c:ser>
          <c:idx val="968"/>
          <c:order val="968"/>
          <c:tx>
            <c:strRef>
              <c:f>'2022_Data'!$A$969</c:f>
            </c:strRef>
          </c:tx>
          <c:dLbls>
            <c:dLblPos val="ctr"/>
            <c:showLegendKey val="0"/>
            <c:showVal val="0"/>
            <c:showCatName val="0"/>
            <c:showSerName val="1"/>
            <c:showPercent val="0"/>
            <c:showBubbleSize val="0"/>
          </c:dLbls>
          <c:xVal>
            <c:strRef>
              <c:f>'2022_Data'!$F$969</c:f>
            </c:strRef>
          </c:xVal>
          <c:yVal>
            <c:numRef>
              <c:f>'2022_Data'!$E$969</c:f>
              <c:numCache/>
            </c:numRef>
          </c:yVal>
          <c:bubbleSize>
            <c:numRef>
              <c:f>'2022_Data'!$G$969</c:f>
            </c:numRef>
          </c:bubbleSize>
        </c:ser>
        <c:ser>
          <c:idx val="969"/>
          <c:order val="969"/>
          <c:tx>
            <c:strRef>
              <c:f>'2022_Data'!$A$970</c:f>
            </c:strRef>
          </c:tx>
          <c:dLbls>
            <c:dLblPos val="ctr"/>
            <c:showLegendKey val="0"/>
            <c:showVal val="0"/>
            <c:showCatName val="0"/>
            <c:showSerName val="1"/>
            <c:showPercent val="0"/>
            <c:showBubbleSize val="0"/>
          </c:dLbls>
          <c:xVal>
            <c:strRef>
              <c:f>'2022_Data'!$F$970</c:f>
            </c:strRef>
          </c:xVal>
          <c:yVal>
            <c:numRef>
              <c:f>'2022_Data'!$E$970</c:f>
              <c:numCache/>
            </c:numRef>
          </c:yVal>
          <c:bubbleSize>
            <c:numRef>
              <c:f>'2022_Data'!$G$970</c:f>
            </c:numRef>
          </c:bubbleSize>
        </c:ser>
        <c:ser>
          <c:idx val="970"/>
          <c:order val="970"/>
          <c:tx>
            <c:strRef>
              <c:f>'2022_Data'!$A$971</c:f>
            </c:strRef>
          </c:tx>
          <c:dLbls>
            <c:dLblPos val="ctr"/>
            <c:showLegendKey val="0"/>
            <c:showVal val="0"/>
            <c:showCatName val="0"/>
            <c:showSerName val="1"/>
            <c:showPercent val="0"/>
            <c:showBubbleSize val="0"/>
          </c:dLbls>
          <c:xVal>
            <c:strRef>
              <c:f>'2022_Data'!$F$971</c:f>
            </c:strRef>
          </c:xVal>
          <c:yVal>
            <c:numRef>
              <c:f>'2022_Data'!$E$971</c:f>
              <c:numCache/>
            </c:numRef>
          </c:yVal>
          <c:bubbleSize>
            <c:numRef>
              <c:f>'2022_Data'!$G$971</c:f>
            </c:numRef>
          </c:bubbleSize>
        </c:ser>
        <c:ser>
          <c:idx val="971"/>
          <c:order val="971"/>
          <c:tx>
            <c:strRef>
              <c:f>'2022_Data'!$A$972</c:f>
            </c:strRef>
          </c:tx>
          <c:dLbls>
            <c:dLblPos val="ctr"/>
            <c:showLegendKey val="0"/>
            <c:showVal val="0"/>
            <c:showCatName val="0"/>
            <c:showSerName val="1"/>
            <c:showPercent val="0"/>
            <c:showBubbleSize val="0"/>
          </c:dLbls>
          <c:xVal>
            <c:strRef>
              <c:f>'2022_Data'!$F$972</c:f>
            </c:strRef>
          </c:xVal>
          <c:yVal>
            <c:numRef>
              <c:f>'2022_Data'!$E$972</c:f>
              <c:numCache/>
            </c:numRef>
          </c:yVal>
          <c:bubbleSize>
            <c:numRef>
              <c:f>'2022_Data'!$G$972</c:f>
            </c:numRef>
          </c:bubbleSize>
        </c:ser>
        <c:ser>
          <c:idx val="972"/>
          <c:order val="972"/>
          <c:tx>
            <c:strRef>
              <c:f>'2022_Data'!$A$973</c:f>
            </c:strRef>
          </c:tx>
          <c:dLbls>
            <c:dLblPos val="ctr"/>
            <c:showLegendKey val="0"/>
            <c:showVal val="0"/>
            <c:showCatName val="0"/>
            <c:showSerName val="1"/>
            <c:showPercent val="0"/>
            <c:showBubbleSize val="0"/>
          </c:dLbls>
          <c:xVal>
            <c:strRef>
              <c:f>'2022_Data'!$F$973</c:f>
            </c:strRef>
          </c:xVal>
          <c:yVal>
            <c:numRef>
              <c:f>'2022_Data'!$E$973</c:f>
              <c:numCache/>
            </c:numRef>
          </c:yVal>
          <c:bubbleSize>
            <c:numRef>
              <c:f>'2022_Data'!$G$973</c:f>
            </c:numRef>
          </c:bubbleSize>
        </c:ser>
        <c:ser>
          <c:idx val="973"/>
          <c:order val="973"/>
          <c:tx>
            <c:strRef>
              <c:f>'2022_Data'!$A$974</c:f>
            </c:strRef>
          </c:tx>
          <c:dLbls>
            <c:dLblPos val="ctr"/>
            <c:showLegendKey val="0"/>
            <c:showVal val="0"/>
            <c:showCatName val="0"/>
            <c:showSerName val="1"/>
            <c:showPercent val="0"/>
            <c:showBubbleSize val="0"/>
          </c:dLbls>
          <c:xVal>
            <c:strRef>
              <c:f>'2022_Data'!$F$974</c:f>
            </c:strRef>
          </c:xVal>
          <c:yVal>
            <c:numRef>
              <c:f>'2022_Data'!$E$974</c:f>
              <c:numCache/>
            </c:numRef>
          </c:yVal>
          <c:bubbleSize>
            <c:numRef>
              <c:f>'2022_Data'!$G$974</c:f>
            </c:numRef>
          </c:bubbleSize>
        </c:ser>
        <c:ser>
          <c:idx val="974"/>
          <c:order val="974"/>
          <c:tx>
            <c:strRef>
              <c:f>'2022_Data'!$A$975</c:f>
            </c:strRef>
          </c:tx>
          <c:dLbls>
            <c:dLblPos val="ctr"/>
            <c:showLegendKey val="0"/>
            <c:showVal val="0"/>
            <c:showCatName val="0"/>
            <c:showSerName val="1"/>
            <c:showPercent val="0"/>
            <c:showBubbleSize val="0"/>
          </c:dLbls>
          <c:xVal>
            <c:strRef>
              <c:f>'2022_Data'!$F$975</c:f>
            </c:strRef>
          </c:xVal>
          <c:yVal>
            <c:numRef>
              <c:f>'2022_Data'!$E$975</c:f>
              <c:numCache/>
            </c:numRef>
          </c:yVal>
          <c:bubbleSize>
            <c:numRef>
              <c:f>'2022_Data'!$G$975</c:f>
            </c:numRef>
          </c:bubbleSize>
        </c:ser>
        <c:ser>
          <c:idx val="975"/>
          <c:order val="975"/>
          <c:tx>
            <c:strRef>
              <c:f>'2022_Data'!$A$976</c:f>
            </c:strRef>
          </c:tx>
          <c:dLbls>
            <c:dLblPos val="ctr"/>
            <c:showLegendKey val="0"/>
            <c:showVal val="0"/>
            <c:showCatName val="0"/>
            <c:showSerName val="1"/>
            <c:showPercent val="0"/>
            <c:showBubbleSize val="0"/>
          </c:dLbls>
          <c:xVal>
            <c:strRef>
              <c:f>'2022_Data'!$F$976</c:f>
            </c:strRef>
          </c:xVal>
          <c:yVal>
            <c:numRef>
              <c:f>'2022_Data'!$E$976</c:f>
              <c:numCache/>
            </c:numRef>
          </c:yVal>
          <c:bubbleSize>
            <c:numRef>
              <c:f>'2022_Data'!$G$976</c:f>
            </c:numRef>
          </c:bubbleSize>
        </c:ser>
        <c:ser>
          <c:idx val="976"/>
          <c:order val="976"/>
          <c:tx>
            <c:strRef>
              <c:f>'2022_Data'!$A$977</c:f>
            </c:strRef>
          </c:tx>
          <c:dLbls>
            <c:dLblPos val="ctr"/>
            <c:showLegendKey val="0"/>
            <c:showVal val="0"/>
            <c:showCatName val="0"/>
            <c:showSerName val="1"/>
            <c:showPercent val="0"/>
            <c:showBubbleSize val="0"/>
          </c:dLbls>
          <c:xVal>
            <c:strRef>
              <c:f>'2022_Data'!$F$977</c:f>
            </c:strRef>
          </c:xVal>
          <c:yVal>
            <c:numRef>
              <c:f>'2022_Data'!$E$977</c:f>
              <c:numCache/>
            </c:numRef>
          </c:yVal>
          <c:bubbleSize>
            <c:numRef>
              <c:f>'2022_Data'!$G$977</c:f>
            </c:numRef>
          </c:bubbleSize>
        </c:ser>
        <c:ser>
          <c:idx val="977"/>
          <c:order val="977"/>
          <c:tx>
            <c:strRef>
              <c:f>'2022_Data'!$A$978</c:f>
            </c:strRef>
          </c:tx>
          <c:dLbls>
            <c:dLblPos val="ctr"/>
            <c:showLegendKey val="0"/>
            <c:showVal val="0"/>
            <c:showCatName val="0"/>
            <c:showSerName val="1"/>
            <c:showPercent val="0"/>
            <c:showBubbleSize val="0"/>
          </c:dLbls>
          <c:xVal>
            <c:strRef>
              <c:f>'2022_Data'!$F$978</c:f>
            </c:strRef>
          </c:xVal>
          <c:yVal>
            <c:numRef>
              <c:f>'2022_Data'!$E$978</c:f>
              <c:numCache/>
            </c:numRef>
          </c:yVal>
          <c:bubbleSize>
            <c:numRef>
              <c:f>'2022_Data'!$G$978</c:f>
            </c:numRef>
          </c:bubbleSize>
        </c:ser>
        <c:ser>
          <c:idx val="978"/>
          <c:order val="978"/>
          <c:tx>
            <c:strRef>
              <c:f>'2022_Data'!$A$979</c:f>
            </c:strRef>
          </c:tx>
          <c:dLbls>
            <c:dLblPos val="ctr"/>
            <c:showLegendKey val="0"/>
            <c:showVal val="0"/>
            <c:showCatName val="0"/>
            <c:showSerName val="1"/>
            <c:showPercent val="0"/>
            <c:showBubbleSize val="0"/>
          </c:dLbls>
          <c:xVal>
            <c:strRef>
              <c:f>'2022_Data'!$F$979</c:f>
            </c:strRef>
          </c:xVal>
          <c:yVal>
            <c:numRef>
              <c:f>'2022_Data'!$E$979</c:f>
              <c:numCache/>
            </c:numRef>
          </c:yVal>
          <c:bubbleSize>
            <c:numRef>
              <c:f>'2022_Data'!$G$979</c:f>
            </c:numRef>
          </c:bubbleSize>
        </c:ser>
        <c:ser>
          <c:idx val="979"/>
          <c:order val="979"/>
          <c:tx>
            <c:strRef>
              <c:f>'2022_Data'!$A$980</c:f>
            </c:strRef>
          </c:tx>
          <c:dLbls>
            <c:dLblPos val="ctr"/>
            <c:showLegendKey val="0"/>
            <c:showVal val="0"/>
            <c:showCatName val="0"/>
            <c:showSerName val="1"/>
            <c:showPercent val="0"/>
            <c:showBubbleSize val="0"/>
          </c:dLbls>
          <c:xVal>
            <c:strRef>
              <c:f>'2022_Data'!$F$980</c:f>
            </c:strRef>
          </c:xVal>
          <c:yVal>
            <c:numRef>
              <c:f>'2022_Data'!$E$980</c:f>
              <c:numCache/>
            </c:numRef>
          </c:yVal>
          <c:bubbleSize>
            <c:numRef>
              <c:f>'2022_Data'!$G$980</c:f>
            </c:numRef>
          </c:bubbleSize>
        </c:ser>
        <c:ser>
          <c:idx val="980"/>
          <c:order val="980"/>
          <c:tx>
            <c:strRef>
              <c:f>'2022_Data'!$A$981</c:f>
            </c:strRef>
          </c:tx>
          <c:dLbls>
            <c:dLblPos val="ctr"/>
            <c:showLegendKey val="0"/>
            <c:showVal val="0"/>
            <c:showCatName val="0"/>
            <c:showSerName val="1"/>
            <c:showPercent val="0"/>
            <c:showBubbleSize val="0"/>
          </c:dLbls>
          <c:xVal>
            <c:strRef>
              <c:f>'2022_Data'!$F$981</c:f>
            </c:strRef>
          </c:xVal>
          <c:yVal>
            <c:numRef>
              <c:f>'2022_Data'!$E$981</c:f>
              <c:numCache/>
            </c:numRef>
          </c:yVal>
          <c:bubbleSize>
            <c:numRef>
              <c:f>'2022_Data'!$G$981</c:f>
            </c:numRef>
          </c:bubbleSize>
        </c:ser>
        <c:ser>
          <c:idx val="981"/>
          <c:order val="981"/>
          <c:tx>
            <c:strRef>
              <c:f>'2022_Data'!$A$982</c:f>
            </c:strRef>
          </c:tx>
          <c:dLbls>
            <c:dLblPos val="ctr"/>
            <c:showLegendKey val="0"/>
            <c:showVal val="0"/>
            <c:showCatName val="0"/>
            <c:showSerName val="1"/>
            <c:showPercent val="0"/>
            <c:showBubbleSize val="0"/>
          </c:dLbls>
          <c:xVal>
            <c:strRef>
              <c:f>'2022_Data'!$F$982</c:f>
            </c:strRef>
          </c:xVal>
          <c:yVal>
            <c:numRef>
              <c:f>'2022_Data'!$E$982</c:f>
              <c:numCache/>
            </c:numRef>
          </c:yVal>
          <c:bubbleSize>
            <c:numRef>
              <c:f>'2022_Data'!$G$982</c:f>
            </c:numRef>
          </c:bubbleSize>
        </c:ser>
        <c:ser>
          <c:idx val="982"/>
          <c:order val="982"/>
          <c:tx>
            <c:strRef>
              <c:f>'2022_Data'!$A$983</c:f>
            </c:strRef>
          </c:tx>
          <c:dLbls>
            <c:dLblPos val="ctr"/>
            <c:showLegendKey val="0"/>
            <c:showVal val="0"/>
            <c:showCatName val="0"/>
            <c:showSerName val="1"/>
            <c:showPercent val="0"/>
            <c:showBubbleSize val="0"/>
          </c:dLbls>
          <c:xVal>
            <c:strRef>
              <c:f>'2022_Data'!$F$983</c:f>
            </c:strRef>
          </c:xVal>
          <c:yVal>
            <c:numRef>
              <c:f>'2022_Data'!$E$983</c:f>
              <c:numCache/>
            </c:numRef>
          </c:yVal>
          <c:bubbleSize>
            <c:numRef>
              <c:f>'2022_Data'!$G$983</c:f>
            </c:numRef>
          </c:bubbleSize>
        </c:ser>
        <c:ser>
          <c:idx val="983"/>
          <c:order val="983"/>
          <c:tx>
            <c:strRef>
              <c:f>'2022_Data'!$A$984</c:f>
            </c:strRef>
          </c:tx>
          <c:dLbls>
            <c:dLblPos val="ctr"/>
            <c:showLegendKey val="0"/>
            <c:showVal val="0"/>
            <c:showCatName val="0"/>
            <c:showSerName val="1"/>
            <c:showPercent val="0"/>
            <c:showBubbleSize val="0"/>
          </c:dLbls>
          <c:xVal>
            <c:strRef>
              <c:f>'2022_Data'!$F$984</c:f>
            </c:strRef>
          </c:xVal>
          <c:yVal>
            <c:numRef>
              <c:f>'2022_Data'!$E$984</c:f>
              <c:numCache/>
            </c:numRef>
          </c:yVal>
          <c:bubbleSize>
            <c:numRef>
              <c:f>'2022_Data'!$G$984</c:f>
            </c:numRef>
          </c:bubbleSize>
        </c:ser>
        <c:ser>
          <c:idx val="984"/>
          <c:order val="984"/>
          <c:tx>
            <c:strRef>
              <c:f>'2022_Data'!$A$985</c:f>
            </c:strRef>
          </c:tx>
          <c:dLbls>
            <c:dLblPos val="ctr"/>
            <c:showLegendKey val="0"/>
            <c:showVal val="0"/>
            <c:showCatName val="0"/>
            <c:showSerName val="1"/>
            <c:showPercent val="0"/>
            <c:showBubbleSize val="0"/>
          </c:dLbls>
          <c:xVal>
            <c:strRef>
              <c:f>'2022_Data'!$F$985</c:f>
            </c:strRef>
          </c:xVal>
          <c:yVal>
            <c:numRef>
              <c:f>'2022_Data'!$E$985</c:f>
              <c:numCache/>
            </c:numRef>
          </c:yVal>
          <c:bubbleSize>
            <c:numRef>
              <c:f>'2022_Data'!$G$985</c:f>
            </c:numRef>
          </c:bubbleSize>
        </c:ser>
        <c:ser>
          <c:idx val="985"/>
          <c:order val="985"/>
          <c:tx>
            <c:strRef>
              <c:f>'2022_Data'!$A$986</c:f>
            </c:strRef>
          </c:tx>
          <c:dLbls>
            <c:dLblPos val="ctr"/>
            <c:showLegendKey val="0"/>
            <c:showVal val="0"/>
            <c:showCatName val="0"/>
            <c:showSerName val="1"/>
            <c:showPercent val="0"/>
            <c:showBubbleSize val="0"/>
          </c:dLbls>
          <c:xVal>
            <c:strRef>
              <c:f>'2022_Data'!$F$986</c:f>
            </c:strRef>
          </c:xVal>
          <c:yVal>
            <c:numRef>
              <c:f>'2022_Data'!$E$986</c:f>
              <c:numCache/>
            </c:numRef>
          </c:yVal>
          <c:bubbleSize>
            <c:numRef>
              <c:f>'2022_Data'!$G$986</c:f>
            </c:numRef>
          </c:bubbleSize>
        </c:ser>
        <c:ser>
          <c:idx val="986"/>
          <c:order val="986"/>
          <c:tx>
            <c:strRef>
              <c:f>'2022_Data'!$A$987</c:f>
            </c:strRef>
          </c:tx>
          <c:dLbls>
            <c:dLblPos val="ctr"/>
            <c:showLegendKey val="0"/>
            <c:showVal val="0"/>
            <c:showCatName val="0"/>
            <c:showSerName val="1"/>
            <c:showPercent val="0"/>
            <c:showBubbleSize val="0"/>
          </c:dLbls>
          <c:xVal>
            <c:strRef>
              <c:f>'2022_Data'!$F$987</c:f>
            </c:strRef>
          </c:xVal>
          <c:yVal>
            <c:numRef>
              <c:f>'2022_Data'!$E$987</c:f>
              <c:numCache/>
            </c:numRef>
          </c:yVal>
          <c:bubbleSize>
            <c:numRef>
              <c:f>'2022_Data'!$G$987</c:f>
            </c:numRef>
          </c:bubbleSize>
        </c:ser>
        <c:ser>
          <c:idx val="987"/>
          <c:order val="987"/>
          <c:tx>
            <c:strRef>
              <c:f>'2022_Data'!$A$988</c:f>
            </c:strRef>
          </c:tx>
          <c:dLbls>
            <c:dLblPos val="ctr"/>
            <c:showLegendKey val="0"/>
            <c:showVal val="0"/>
            <c:showCatName val="0"/>
            <c:showSerName val="1"/>
            <c:showPercent val="0"/>
            <c:showBubbleSize val="0"/>
          </c:dLbls>
          <c:xVal>
            <c:strRef>
              <c:f>'2022_Data'!$F$988</c:f>
            </c:strRef>
          </c:xVal>
          <c:yVal>
            <c:numRef>
              <c:f>'2022_Data'!$E$988</c:f>
              <c:numCache/>
            </c:numRef>
          </c:yVal>
          <c:bubbleSize>
            <c:numRef>
              <c:f>'2022_Data'!$G$988</c:f>
            </c:numRef>
          </c:bubbleSize>
        </c:ser>
        <c:ser>
          <c:idx val="988"/>
          <c:order val="988"/>
          <c:tx>
            <c:strRef>
              <c:f>'2022_Data'!$A$989</c:f>
            </c:strRef>
          </c:tx>
          <c:dLbls>
            <c:dLblPos val="ctr"/>
            <c:showLegendKey val="0"/>
            <c:showVal val="0"/>
            <c:showCatName val="0"/>
            <c:showSerName val="1"/>
            <c:showPercent val="0"/>
            <c:showBubbleSize val="0"/>
          </c:dLbls>
          <c:xVal>
            <c:strRef>
              <c:f>'2022_Data'!$F$989</c:f>
            </c:strRef>
          </c:xVal>
          <c:yVal>
            <c:numRef>
              <c:f>'2022_Data'!$E$989</c:f>
              <c:numCache/>
            </c:numRef>
          </c:yVal>
          <c:bubbleSize>
            <c:numRef>
              <c:f>'2022_Data'!$G$989</c:f>
            </c:numRef>
          </c:bubbleSize>
        </c:ser>
        <c:ser>
          <c:idx val="989"/>
          <c:order val="989"/>
          <c:tx>
            <c:strRef>
              <c:f>'2022_Data'!$A$990</c:f>
            </c:strRef>
          </c:tx>
          <c:dLbls>
            <c:dLblPos val="ctr"/>
            <c:showLegendKey val="0"/>
            <c:showVal val="0"/>
            <c:showCatName val="0"/>
            <c:showSerName val="1"/>
            <c:showPercent val="0"/>
            <c:showBubbleSize val="0"/>
          </c:dLbls>
          <c:xVal>
            <c:strRef>
              <c:f>'2022_Data'!$F$990</c:f>
            </c:strRef>
          </c:xVal>
          <c:yVal>
            <c:numRef>
              <c:f>'2022_Data'!$E$990</c:f>
              <c:numCache/>
            </c:numRef>
          </c:yVal>
          <c:bubbleSize>
            <c:numRef>
              <c:f>'2022_Data'!$G$990</c:f>
            </c:numRef>
          </c:bubbleSize>
        </c:ser>
        <c:ser>
          <c:idx val="990"/>
          <c:order val="990"/>
          <c:tx>
            <c:strRef>
              <c:f>'2022_Data'!$A$991</c:f>
            </c:strRef>
          </c:tx>
          <c:dLbls>
            <c:dLblPos val="ctr"/>
            <c:showLegendKey val="0"/>
            <c:showVal val="0"/>
            <c:showCatName val="0"/>
            <c:showSerName val="1"/>
            <c:showPercent val="0"/>
            <c:showBubbleSize val="0"/>
          </c:dLbls>
          <c:xVal>
            <c:strRef>
              <c:f>'2022_Data'!$F$991</c:f>
            </c:strRef>
          </c:xVal>
          <c:yVal>
            <c:numRef>
              <c:f>'2022_Data'!$E$991</c:f>
              <c:numCache/>
            </c:numRef>
          </c:yVal>
          <c:bubbleSize>
            <c:numRef>
              <c:f>'2022_Data'!$G$991</c:f>
            </c:numRef>
          </c:bubbleSize>
        </c:ser>
        <c:ser>
          <c:idx val="991"/>
          <c:order val="991"/>
          <c:tx>
            <c:strRef>
              <c:f>'2022_Data'!$A$992</c:f>
            </c:strRef>
          </c:tx>
          <c:dLbls>
            <c:dLblPos val="ctr"/>
            <c:showLegendKey val="0"/>
            <c:showVal val="0"/>
            <c:showCatName val="0"/>
            <c:showSerName val="1"/>
            <c:showPercent val="0"/>
            <c:showBubbleSize val="0"/>
          </c:dLbls>
          <c:xVal>
            <c:strRef>
              <c:f>'2022_Data'!$F$992</c:f>
            </c:strRef>
          </c:xVal>
          <c:yVal>
            <c:numRef>
              <c:f>'2022_Data'!$E$992</c:f>
              <c:numCache/>
            </c:numRef>
          </c:yVal>
          <c:bubbleSize>
            <c:numRef>
              <c:f>'2022_Data'!$G$992</c:f>
            </c:numRef>
          </c:bubbleSize>
        </c:ser>
        <c:ser>
          <c:idx val="992"/>
          <c:order val="992"/>
          <c:tx>
            <c:strRef>
              <c:f>'2022_Data'!$A$993</c:f>
            </c:strRef>
          </c:tx>
          <c:dLbls>
            <c:dLblPos val="ctr"/>
            <c:showLegendKey val="0"/>
            <c:showVal val="0"/>
            <c:showCatName val="0"/>
            <c:showSerName val="1"/>
            <c:showPercent val="0"/>
            <c:showBubbleSize val="0"/>
          </c:dLbls>
          <c:xVal>
            <c:strRef>
              <c:f>'2022_Data'!$F$993</c:f>
            </c:strRef>
          </c:xVal>
          <c:yVal>
            <c:numRef>
              <c:f>'2022_Data'!$E$993</c:f>
              <c:numCache/>
            </c:numRef>
          </c:yVal>
          <c:bubbleSize>
            <c:numRef>
              <c:f>'2022_Data'!$G$993</c:f>
            </c:numRef>
          </c:bubbleSize>
        </c:ser>
        <c:ser>
          <c:idx val="993"/>
          <c:order val="993"/>
          <c:tx>
            <c:strRef>
              <c:f>'2022_Data'!$A$994</c:f>
            </c:strRef>
          </c:tx>
          <c:dLbls>
            <c:dLblPos val="ctr"/>
            <c:showLegendKey val="0"/>
            <c:showVal val="0"/>
            <c:showCatName val="0"/>
            <c:showSerName val="1"/>
            <c:showPercent val="0"/>
            <c:showBubbleSize val="0"/>
          </c:dLbls>
          <c:xVal>
            <c:strRef>
              <c:f>'2022_Data'!$F$994</c:f>
            </c:strRef>
          </c:xVal>
          <c:yVal>
            <c:numRef>
              <c:f>'2022_Data'!$E$994</c:f>
              <c:numCache/>
            </c:numRef>
          </c:yVal>
          <c:bubbleSize>
            <c:numRef>
              <c:f>'2022_Data'!$G$994</c:f>
            </c:numRef>
          </c:bubbleSize>
        </c:ser>
        <c:ser>
          <c:idx val="994"/>
          <c:order val="994"/>
          <c:tx>
            <c:strRef>
              <c:f>'2022_Data'!$A$995</c:f>
            </c:strRef>
          </c:tx>
          <c:dLbls>
            <c:dLblPos val="ctr"/>
            <c:showLegendKey val="0"/>
            <c:showVal val="0"/>
            <c:showCatName val="0"/>
            <c:showSerName val="1"/>
            <c:showPercent val="0"/>
            <c:showBubbleSize val="0"/>
          </c:dLbls>
          <c:xVal>
            <c:strRef>
              <c:f>'2022_Data'!$F$995</c:f>
            </c:strRef>
          </c:xVal>
          <c:yVal>
            <c:numRef>
              <c:f>'2022_Data'!$E$995</c:f>
              <c:numCache/>
            </c:numRef>
          </c:yVal>
          <c:bubbleSize>
            <c:numRef>
              <c:f>'2022_Data'!$G$995</c:f>
            </c:numRef>
          </c:bubbleSize>
        </c:ser>
        <c:ser>
          <c:idx val="995"/>
          <c:order val="995"/>
          <c:tx>
            <c:strRef>
              <c:f>'2022_Data'!$A$996</c:f>
            </c:strRef>
          </c:tx>
          <c:dLbls>
            <c:dLblPos val="ctr"/>
            <c:showLegendKey val="0"/>
            <c:showVal val="0"/>
            <c:showCatName val="0"/>
            <c:showSerName val="1"/>
            <c:showPercent val="0"/>
            <c:showBubbleSize val="0"/>
          </c:dLbls>
          <c:xVal>
            <c:strRef>
              <c:f>'2022_Data'!$F$996</c:f>
            </c:strRef>
          </c:xVal>
          <c:yVal>
            <c:numRef>
              <c:f>'2022_Data'!$E$996</c:f>
              <c:numCache/>
            </c:numRef>
          </c:yVal>
          <c:bubbleSize>
            <c:numRef>
              <c:f>'2022_Data'!$G$996</c:f>
            </c:numRef>
          </c:bubbleSize>
        </c:ser>
        <c:ser>
          <c:idx val="996"/>
          <c:order val="996"/>
          <c:tx>
            <c:strRef>
              <c:f>'2022_Data'!$A$997</c:f>
            </c:strRef>
          </c:tx>
          <c:dLbls>
            <c:dLblPos val="ctr"/>
            <c:showLegendKey val="0"/>
            <c:showVal val="0"/>
            <c:showCatName val="0"/>
            <c:showSerName val="1"/>
            <c:showPercent val="0"/>
            <c:showBubbleSize val="0"/>
          </c:dLbls>
          <c:xVal>
            <c:strRef>
              <c:f>'2022_Data'!$F$997</c:f>
            </c:strRef>
          </c:xVal>
          <c:yVal>
            <c:numRef>
              <c:f>'2022_Data'!$E$997</c:f>
              <c:numCache/>
            </c:numRef>
          </c:yVal>
          <c:bubbleSize>
            <c:numRef>
              <c:f>'2022_Data'!$G$997</c:f>
            </c:numRef>
          </c:bubbleSize>
        </c:ser>
        <c:ser>
          <c:idx val="997"/>
          <c:order val="997"/>
          <c:tx>
            <c:strRef>
              <c:f>'2022_Data'!$A$998</c:f>
            </c:strRef>
          </c:tx>
          <c:dLbls>
            <c:dLblPos val="ctr"/>
            <c:showLegendKey val="0"/>
            <c:showVal val="0"/>
            <c:showCatName val="0"/>
            <c:showSerName val="1"/>
            <c:showPercent val="0"/>
            <c:showBubbleSize val="0"/>
          </c:dLbls>
          <c:xVal>
            <c:strRef>
              <c:f>'2022_Data'!$F$998</c:f>
            </c:strRef>
          </c:xVal>
          <c:yVal>
            <c:numRef>
              <c:f>'2022_Data'!$E$998</c:f>
              <c:numCache/>
            </c:numRef>
          </c:yVal>
          <c:bubbleSize>
            <c:numRef>
              <c:f>'2022_Data'!$G$998</c:f>
            </c:numRef>
          </c:bubbleSize>
        </c:ser>
        <c:ser>
          <c:idx val="998"/>
          <c:order val="998"/>
          <c:tx>
            <c:strRef>
              <c:f>'2022_Data'!$A$999</c:f>
            </c:strRef>
          </c:tx>
          <c:dLbls>
            <c:dLblPos val="ctr"/>
            <c:showLegendKey val="0"/>
            <c:showVal val="0"/>
            <c:showCatName val="0"/>
            <c:showSerName val="1"/>
            <c:showPercent val="0"/>
            <c:showBubbleSize val="0"/>
          </c:dLbls>
          <c:xVal>
            <c:strRef>
              <c:f>'2022_Data'!$F$999</c:f>
            </c:strRef>
          </c:xVal>
          <c:yVal>
            <c:numRef>
              <c:f>'2022_Data'!$E$999</c:f>
              <c:numCache/>
            </c:numRef>
          </c:yVal>
          <c:bubbleSize>
            <c:numRef>
              <c:f>'2022_Data'!$G$999</c:f>
            </c:numRef>
          </c:bubbleSize>
        </c:ser>
        <c:ser>
          <c:idx val="999"/>
          <c:order val="999"/>
          <c:tx>
            <c:strRef>
              <c:f>'2022_Data'!$A$1000</c:f>
            </c:strRef>
          </c:tx>
          <c:dLbls>
            <c:dLblPos val="ctr"/>
            <c:showLegendKey val="0"/>
            <c:showVal val="0"/>
            <c:showCatName val="0"/>
            <c:showSerName val="1"/>
            <c:showPercent val="0"/>
            <c:showBubbleSize val="0"/>
          </c:dLbls>
          <c:xVal>
            <c:strRef>
              <c:f>'2022_Data'!$F$1000</c:f>
            </c:strRef>
          </c:xVal>
          <c:yVal>
            <c:numRef>
              <c:f>'2022_Data'!$E$1000</c:f>
              <c:numCache/>
            </c:numRef>
          </c:yVal>
          <c:bubbleSize>
            <c:numRef>
              <c:f>'2022_Data'!$G$1000</c:f>
            </c:numRef>
          </c:bubbleSize>
        </c:ser>
        <c:axId val="380503689"/>
        <c:axId val="191944821"/>
      </c:bubbleChart>
      <c:valAx>
        <c:axId val="3805036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Investment ($ million)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1944821"/>
      </c:valAx>
      <c:valAx>
        <c:axId val="19194482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Annual Generation (GWh)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8050368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Wind Annual Generation by State (2024)</a:t>
            </a:r>
          </a:p>
        </c:rich>
      </c:tx>
      <c:overlay val="0"/>
    </c:title>
    <c:plotArea>
      <c:layout/>
      <c:stockChart>
        <c:ser>
          <c:idx val="0"/>
          <c:order val="0"/>
          <c:tx>
            <c:strRef>
              <c:f>Wind_2024!$L$1</c:f>
            </c:strRef>
          </c:tx>
          <c:spPr>
            <a:ln cmpd="sng">
              <a:noFill/>
            </a:ln>
          </c:spPr>
          <c:marker>
            <c:symbol val="none"/>
          </c:marker>
          <c:cat>
            <c:strRef>
              <c:f>Wind_2024!$J$2</c:f>
            </c:strRef>
          </c:cat>
          <c:val>
            <c:numRef>
              <c:f>Wind_2024!$L$2</c:f>
              <c:numCache/>
            </c:numRef>
          </c:val>
          <c:smooth val="0"/>
        </c:ser>
        <c:ser>
          <c:idx val="1"/>
          <c:order val="1"/>
          <c:tx>
            <c:strRef>
              <c:f>Wind_2024!$N$1</c:f>
            </c:strRef>
          </c:tx>
          <c:spPr>
            <a:ln cmpd="sng">
              <a:noFill/>
            </a:ln>
          </c:spPr>
          <c:marker>
            <c:symbol val="none"/>
          </c:marker>
          <c:cat>
            <c:strRef>
              <c:f>Wind_2024!$J$2</c:f>
            </c:strRef>
          </c:cat>
          <c:val>
            <c:numRef>
              <c:f>Wind_2024!$N$2</c:f>
              <c:numCache/>
            </c:numRef>
          </c:val>
          <c:smooth val="0"/>
        </c:ser>
        <c:ser>
          <c:idx val="2"/>
          <c:order val="2"/>
          <c:tx>
            <c:strRef>
              <c:f>Wind_2024!$K$1</c:f>
            </c:strRef>
          </c:tx>
          <c:spPr>
            <a:ln cmpd="sng">
              <a:noFill/>
            </a:ln>
          </c:spPr>
          <c:marker>
            <c:symbol val="none"/>
          </c:marker>
          <c:cat>
            <c:strRef>
              <c:f>Wind_2024!$J$2</c:f>
            </c:strRef>
          </c:cat>
          <c:val>
            <c:numRef>
              <c:f>Wind_2024!$K$2</c:f>
              <c:numCache/>
            </c:numRef>
          </c:val>
          <c:smooth val="0"/>
        </c:ser>
        <c:ser>
          <c:idx val="3"/>
          <c:order val="3"/>
          <c:tx>
            <c:strRef>
              <c:f>Wind_2024!$M$1</c:f>
            </c:strRef>
          </c:tx>
          <c:spPr>
            <a:ln cmpd="sng">
              <a:noFill/>
            </a:ln>
          </c:spPr>
          <c:marker>
            <c:symbol val="none"/>
          </c:marker>
          <c:cat>
            <c:strRef>
              <c:f>Wind_2024!$J$2</c:f>
            </c:strRef>
          </c:cat>
          <c:val>
            <c:numRef>
              <c:f>Wind_2024!$M$2</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469673982"/>
        <c:axId val="603167553"/>
      </c:stockChart>
      <c:dateAx>
        <c:axId val="1469673982"/>
        <c:scaling>
          <c:orientation val="minMax"/>
        </c:scaling>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03167553"/>
      </c:dateAx>
      <c:valAx>
        <c:axId val="6031675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69673982"/>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5 U.S. States by Biomass Installed Capacity (2024)</a:t>
            </a:r>
          </a:p>
        </c:rich>
      </c:tx>
      <c:overlay val="0"/>
    </c:title>
    <c:plotArea>
      <c:layout/>
      <c:barChart>
        <c:barDir val="col"/>
        <c:ser>
          <c:idx val="0"/>
          <c:order val="0"/>
          <c:tx>
            <c:strRef>
              <c:f>'Solutions Sheet'!$D$1:$D$2</c:f>
            </c:strRef>
          </c:tx>
          <c:spPr>
            <a:solidFill>
              <a:schemeClr val="accent1"/>
            </a:solidFill>
            <a:ln cmpd="sng">
              <a:noFill/>
            </a:ln>
          </c:spPr>
          <c:dLbls>
            <c:numFmt formatCode="General" sourceLinked="1"/>
            <c:txPr>
              <a:bodyPr/>
              <a:lstStyle/>
              <a:p>
                <a:pPr lvl="0">
                  <a:defRPr/>
                </a:pPr>
              </a:p>
            </c:txPr>
            <c:showLegendKey val="0"/>
            <c:showVal val="1"/>
            <c:showCatName val="0"/>
            <c:showSerName val="0"/>
            <c:showPercent val="0"/>
            <c:showBubbleSize val="0"/>
          </c:dLbls>
          <c:cat>
            <c:strRef>
              <c:f>'Solutions Sheet'!$A$3:$A$7</c:f>
            </c:strRef>
          </c:cat>
          <c:val>
            <c:numRef>
              <c:f>'Solutions Sheet'!$D$3:$D$7</c:f>
              <c:numCache/>
            </c:numRef>
          </c:val>
        </c:ser>
        <c:axId val="1820896050"/>
        <c:axId val="789046962"/>
      </c:barChart>
      <c:catAx>
        <c:axId val="18208960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State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9046962"/>
      </c:catAx>
      <c:valAx>
        <c:axId val="7890469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Installed Capacity (MW)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0896050"/>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California Renewable Energy Capacity Mix (2020–2024)</a:t>
            </a:r>
          </a:p>
        </c:rich>
      </c:tx>
      <c:overlay val="0"/>
    </c:title>
    <c:plotArea>
      <c:layout/>
      <c:areaChart>
        <c:grouping val="percentStacked"/>
        <c:ser>
          <c:idx val="0"/>
          <c:order val="0"/>
          <c:tx>
            <c:strRef>
              <c:f>'Pivot Table 1'!$B$1:$B$2</c:f>
            </c:strRef>
          </c:tx>
          <c:spPr>
            <a:solidFill>
              <a:srgbClr val="156082">
                <a:alpha val="30000"/>
              </a:srgbClr>
            </a:solidFill>
            <a:ln cmpd="sng">
              <a:solidFill>
                <a:srgbClr val="156082"/>
              </a:solidFill>
            </a:ln>
          </c:spPr>
          <c:cat>
            <c:strRef>
              <c:f>'Pivot Table 1'!$A$3:$A$7</c:f>
            </c:strRef>
          </c:cat>
          <c:val>
            <c:numRef>
              <c:f>'Pivot Table 1'!$B$3:$B$7</c:f>
              <c:numCache/>
            </c:numRef>
          </c:val>
        </c:ser>
        <c:ser>
          <c:idx val="1"/>
          <c:order val="1"/>
          <c:tx>
            <c:strRef>
              <c:f>'Pivot Table 1'!$C$1:$C$2</c:f>
            </c:strRef>
          </c:tx>
          <c:spPr>
            <a:solidFill>
              <a:srgbClr val="E97132">
                <a:alpha val="30000"/>
              </a:srgbClr>
            </a:solidFill>
            <a:ln cmpd="sng">
              <a:solidFill>
                <a:srgbClr val="E97132"/>
              </a:solidFill>
            </a:ln>
          </c:spPr>
          <c:cat>
            <c:strRef>
              <c:f>'Pivot Table 1'!$A$3:$A$7</c:f>
            </c:strRef>
          </c:cat>
          <c:val>
            <c:numRef>
              <c:f>'Pivot Table 1'!$C$3:$C$7</c:f>
              <c:numCache/>
            </c:numRef>
          </c:val>
        </c:ser>
        <c:ser>
          <c:idx val="2"/>
          <c:order val="2"/>
          <c:tx>
            <c:strRef>
              <c:f>'Pivot Table 1'!$D$1:$D$2</c:f>
            </c:strRef>
          </c:tx>
          <c:spPr>
            <a:solidFill>
              <a:srgbClr val="196B24">
                <a:alpha val="30000"/>
              </a:srgbClr>
            </a:solidFill>
            <a:ln cmpd="sng">
              <a:solidFill>
                <a:srgbClr val="196B24"/>
              </a:solidFill>
            </a:ln>
          </c:spPr>
          <c:cat>
            <c:strRef>
              <c:f>'Pivot Table 1'!$A$3:$A$7</c:f>
            </c:strRef>
          </c:cat>
          <c:val>
            <c:numRef>
              <c:f>'Pivot Table 1'!$D$3:$D$7</c:f>
              <c:numCache/>
            </c:numRef>
          </c:val>
        </c:ser>
        <c:ser>
          <c:idx val="3"/>
          <c:order val="3"/>
          <c:tx>
            <c:strRef>
              <c:f>'Pivot Table 1'!$E$1:$E$2</c:f>
            </c:strRef>
          </c:tx>
          <c:spPr>
            <a:solidFill>
              <a:srgbClr val="0F9ED5">
                <a:alpha val="30000"/>
              </a:srgbClr>
            </a:solidFill>
            <a:ln cmpd="sng">
              <a:solidFill>
                <a:srgbClr val="0F9ED5"/>
              </a:solidFill>
            </a:ln>
          </c:spPr>
          <c:cat>
            <c:strRef>
              <c:f>'Pivot Table 1'!$A$3:$A$7</c:f>
            </c:strRef>
          </c:cat>
          <c:val>
            <c:numRef>
              <c:f>'Pivot Table 1'!$E$3:$E$7</c:f>
              <c:numCache/>
            </c:numRef>
          </c:val>
        </c:ser>
        <c:ser>
          <c:idx val="4"/>
          <c:order val="4"/>
          <c:tx>
            <c:strRef>
              <c:f>'Pivot Table 1'!$F$1:$F$2</c:f>
            </c:strRef>
          </c:tx>
          <c:spPr>
            <a:solidFill>
              <a:srgbClr val="A02B93">
                <a:alpha val="30000"/>
              </a:srgbClr>
            </a:solidFill>
            <a:ln cmpd="sng">
              <a:solidFill>
                <a:srgbClr val="A02B93"/>
              </a:solidFill>
            </a:ln>
          </c:spPr>
          <c:cat>
            <c:strRef>
              <c:f>'Pivot Table 1'!$A$3:$A$7</c:f>
            </c:strRef>
          </c:cat>
          <c:val>
            <c:numRef>
              <c:f>'Pivot Table 1'!$F$3:$F$7</c:f>
              <c:numCache/>
            </c:numRef>
          </c:val>
        </c:ser>
        <c:axId val="287312538"/>
        <c:axId val="2008977074"/>
      </c:areaChart>
      <c:catAx>
        <c:axId val="2873125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08977074"/>
      </c:catAx>
      <c:valAx>
        <c:axId val="20089770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Share of Total Installed Capacity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87312538"/>
      </c:valAx>
    </c:plotArea>
    <c:legend>
      <c:legendPos val="t"/>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Installed Capacity vs. Annual Generation</a:t>
            </a:r>
          </a:p>
        </c:rich>
      </c:tx>
      <c:overlay val="0"/>
    </c:title>
    <c:plotArea>
      <c:layout/>
      <c:scatterChart>
        <c:scatterStyle val="lineMarker"/>
        <c:varyColors val="0"/>
        <c:ser>
          <c:idx val="0"/>
          <c:order val="0"/>
          <c:tx>
            <c:strRef>
              <c:f>'2022_Data'!$E$1</c:f>
            </c:strRef>
          </c:tx>
          <c:spPr>
            <a:ln>
              <a:noFill/>
            </a:ln>
          </c:spPr>
          <c:marker>
            <c:symbol val="circle"/>
            <c:size val="7"/>
            <c:spPr>
              <a:solidFill>
                <a:schemeClr val="accent1"/>
              </a:solidFill>
              <a:ln cmpd="sng">
                <a:solidFill>
                  <a:schemeClr val="accent1"/>
                </a:solidFill>
              </a:ln>
            </c:spPr>
          </c:marker>
          <c:xVal>
            <c:numRef>
              <c:f>'2022_Data'!$D$2:$D$1000</c:f>
            </c:numRef>
          </c:xVal>
          <c:yVal>
            <c:numRef>
              <c:f>'2022_Data'!$E$2:$E$1000</c:f>
              <c:numCache/>
            </c:numRef>
          </c:yVal>
        </c:ser>
        <c:dLbls>
          <c:showLegendKey val="0"/>
          <c:showVal val="0"/>
          <c:showCatName val="0"/>
          <c:showSerName val="0"/>
          <c:showPercent val="0"/>
          <c:showBubbleSize val="0"/>
        </c:dLbls>
        <c:axId val="2059087213"/>
        <c:axId val="1450653385"/>
      </c:scatterChart>
      <c:valAx>
        <c:axId val="205908721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Installed Capacity (MW)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0653385"/>
      </c:valAx>
      <c:valAx>
        <c:axId val="145065338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Annual Generation (GWh)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59087213"/>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2022 Investment Return: Generation vs. Capital ($M)</a:t>
            </a:r>
          </a:p>
        </c:rich>
      </c:tx>
      <c:overlay val="0"/>
    </c:title>
    <c:plotArea>
      <c:layout/>
      <c:bubbleChart>
        <c:ser>
          <c:idx val="0"/>
          <c:order val="0"/>
          <c:tx>
            <c:strRef>
              <c:f>'2022_Data'!$A$2</c:f>
            </c:strRef>
          </c:tx>
          <c:dLbls>
            <c:dLblPos val="ctr"/>
            <c:showLegendKey val="0"/>
            <c:showVal val="0"/>
            <c:showCatName val="0"/>
            <c:showSerName val="1"/>
            <c:showPercent val="0"/>
            <c:showBubbleSize val="0"/>
          </c:dLbls>
          <c:xVal>
            <c:strRef>
              <c:f>'2022_Data'!$F$2</c:f>
            </c:strRef>
          </c:xVal>
          <c:yVal>
            <c:numRef>
              <c:f>'2022_Data'!$E$2</c:f>
              <c:numCache/>
            </c:numRef>
          </c:yVal>
          <c:bubbleSize>
            <c:numRef>
              <c:f>'2022_Data'!$G$2</c:f>
            </c:numRef>
          </c:bubbleSize>
        </c:ser>
        <c:ser>
          <c:idx val="1"/>
          <c:order val="1"/>
          <c:tx>
            <c:strRef>
              <c:f>'2022_Data'!$A$3</c:f>
            </c:strRef>
          </c:tx>
          <c:dLbls>
            <c:dLblPos val="ctr"/>
            <c:showLegendKey val="0"/>
            <c:showVal val="0"/>
            <c:showCatName val="0"/>
            <c:showSerName val="1"/>
            <c:showPercent val="0"/>
            <c:showBubbleSize val="0"/>
          </c:dLbls>
          <c:xVal>
            <c:strRef>
              <c:f>'2022_Data'!$F$3</c:f>
            </c:strRef>
          </c:xVal>
          <c:yVal>
            <c:numRef>
              <c:f>'2022_Data'!$E$3</c:f>
              <c:numCache/>
            </c:numRef>
          </c:yVal>
          <c:bubbleSize>
            <c:numRef>
              <c:f>'2022_Data'!$G$3</c:f>
            </c:numRef>
          </c:bubbleSize>
        </c:ser>
        <c:ser>
          <c:idx val="2"/>
          <c:order val="2"/>
          <c:tx>
            <c:strRef>
              <c:f>'2022_Data'!$A$4</c:f>
            </c:strRef>
          </c:tx>
          <c:dLbls>
            <c:dLblPos val="ctr"/>
            <c:showLegendKey val="0"/>
            <c:showVal val="0"/>
            <c:showCatName val="0"/>
            <c:showSerName val="1"/>
            <c:showPercent val="0"/>
            <c:showBubbleSize val="0"/>
          </c:dLbls>
          <c:xVal>
            <c:strRef>
              <c:f>'2022_Data'!$F$4</c:f>
            </c:strRef>
          </c:xVal>
          <c:yVal>
            <c:numRef>
              <c:f>'2022_Data'!$E$4</c:f>
              <c:numCache/>
            </c:numRef>
          </c:yVal>
          <c:bubbleSize>
            <c:numRef>
              <c:f>'2022_Data'!$G$4</c:f>
            </c:numRef>
          </c:bubbleSize>
        </c:ser>
        <c:ser>
          <c:idx val="3"/>
          <c:order val="3"/>
          <c:tx>
            <c:strRef>
              <c:f>'2022_Data'!$A$5</c:f>
            </c:strRef>
          </c:tx>
          <c:dLbls>
            <c:dLblPos val="ctr"/>
            <c:showLegendKey val="0"/>
            <c:showVal val="0"/>
            <c:showCatName val="0"/>
            <c:showSerName val="1"/>
            <c:showPercent val="0"/>
            <c:showBubbleSize val="0"/>
          </c:dLbls>
          <c:xVal>
            <c:strRef>
              <c:f>'2022_Data'!$F$5</c:f>
            </c:strRef>
          </c:xVal>
          <c:yVal>
            <c:numRef>
              <c:f>'2022_Data'!$E$5</c:f>
              <c:numCache/>
            </c:numRef>
          </c:yVal>
          <c:bubbleSize>
            <c:numRef>
              <c:f>'2022_Data'!$G$5</c:f>
            </c:numRef>
          </c:bubbleSize>
        </c:ser>
        <c:ser>
          <c:idx val="4"/>
          <c:order val="4"/>
          <c:tx>
            <c:strRef>
              <c:f>'2022_Data'!$A$6</c:f>
            </c:strRef>
          </c:tx>
          <c:dLbls>
            <c:dLblPos val="ctr"/>
            <c:showLegendKey val="0"/>
            <c:showVal val="0"/>
            <c:showCatName val="0"/>
            <c:showSerName val="1"/>
            <c:showPercent val="0"/>
            <c:showBubbleSize val="0"/>
          </c:dLbls>
          <c:xVal>
            <c:strRef>
              <c:f>'2022_Data'!$F$6</c:f>
            </c:strRef>
          </c:xVal>
          <c:yVal>
            <c:numRef>
              <c:f>'2022_Data'!$E$6</c:f>
              <c:numCache/>
            </c:numRef>
          </c:yVal>
          <c:bubbleSize>
            <c:numRef>
              <c:f>'2022_Data'!$G$6</c:f>
            </c:numRef>
          </c:bubbleSize>
        </c:ser>
        <c:ser>
          <c:idx val="5"/>
          <c:order val="5"/>
          <c:tx>
            <c:strRef>
              <c:f>'2022_Data'!$A$7</c:f>
            </c:strRef>
          </c:tx>
          <c:dLbls>
            <c:dLblPos val="ctr"/>
            <c:showLegendKey val="0"/>
            <c:showVal val="0"/>
            <c:showCatName val="0"/>
            <c:showSerName val="1"/>
            <c:showPercent val="0"/>
            <c:showBubbleSize val="0"/>
          </c:dLbls>
          <c:xVal>
            <c:strRef>
              <c:f>'2022_Data'!$F$7</c:f>
            </c:strRef>
          </c:xVal>
          <c:yVal>
            <c:numRef>
              <c:f>'2022_Data'!$E$7</c:f>
              <c:numCache/>
            </c:numRef>
          </c:yVal>
          <c:bubbleSize>
            <c:numRef>
              <c:f>'2022_Data'!$G$7</c:f>
            </c:numRef>
          </c:bubbleSize>
        </c:ser>
        <c:ser>
          <c:idx val="6"/>
          <c:order val="6"/>
          <c:tx>
            <c:strRef>
              <c:f>'2022_Data'!$A$8</c:f>
            </c:strRef>
          </c:tx>
          <c:dLbls>
            <c:dLblPos val="ctr"/>
            <c:showLegendKey val="0"/>
            <c:showVal val="0"/>
            <c:showCatName val="0"/>
            <c:showSerName val="1"/>
            <c:showPercent val="0"/>
            <c:showBubbleSize val="0"/>
          </c:dLbls>
          <c:xVal>
            <c:strRef>
              <c:f>'2022_Data'!$F$8</c:f>
            </c:strRef>
          </c:xVal>
          <c:yVal>
            <c:numRef>
              <c:f>'2022_Data'!$E$8</c:f>
              <c:numCache/>
            </c:numRef>
          </c:yVal>
          <c:bubbleSize>
            <c:numRef>
              <c:f>'2022_Data'!$G$8</c:f>
            </c:numRef>
          </c:bubbleSize>
        </c:ser>
        <c:ser>
          <c:idx val="7"/>
          <c:order val="7"/>
          <c:tx>
            <c:strRef>
              <c:f>'2022_Data'!$A$9</c:f>
            </c:strRef>
          </c:tx>
          <c:dLbls>
            <c:dLblPos val="ctr"/>
            <c:showLegendKey val="0"/>
            <c:showVal val="0"/>
            <c:showCatName val="0"/>
            <c:showSerName val="1"/>
            <c:showPercent val="0"/>
            <c:showBubbleSize val="0"/>
          </c:dLbls>
          <c:xVal>
            <c:strRef>
              <c:f>'2022_Data'!$F$9</c:f>
            </c:strRef>
          </c:xVal>
          <c:yVal>
            <c:numRef>
              <c:f>'2022_Data'!$E$9</c:f>
              <c:numCache/>
            </c:numRef>
          </c:yVal>
          <c:bubbleSize>
            <c:numRef>
              <c:f>'2022_Data'!$G$9</c:f>
            </c:numRef>
          </c:bubbleSize>
        </c:ser>
        <c:ser>
          <c:idx val="8"/>
          <c:order val="8"/>
          <c:tx>
            <c:strRef>
              <c:f>'2022_Data'!$A$10</c:f>
            </c:strRef>
          </c:tx>
          <c:dLbls>
            <c:dLblPos val="ctr"/>
            <c:showLegendKey val="0"/>
            <c:showVal val="0"/>
            <c:showCatName val="0"/>
            <c:showSerName val="1"/>
            <c:showPercent val="0"/>
            <c:showBubbleSize val="0"/>
          </c:dLbls>
          <c:xVal>
            <c:strRef>
              <c:f>'2022_Data'!$F$10</c:f>
            </c:strRef>
          </c:xVal>
          <c:yVal>
            <c:numRef>
              <c:f>'2022_Data'!$E$10</c:f>
              <c:numCache/>
            </c:numRef>
          </c:yVal>
          <c:bubbleSize>
            <c:numRef>
              <c:f>'2022_Data'!$G$10</c:f>
            </c:numRef>
          </c:bubbleSize>
        </c:ser>
        <c:ser>
          <c:idx val="9"/>
          <c:order val="9"/>
          <c:tx>
            <c:strRef>
              <c:f>'2022_Data'!$A$11</c:f>
            </c:strRef>
          </c:tx>
          <c:dLbls>
            <c:dLblPos val="ctr"/>
            <c:showLegendKey val="0"/>
            <c:showVal val="0"/>
            <c:showCatName val="0"/>
            <c:showSerName val="1"/>
            <c:showPercent val="0"/>
            <c:showBubbleSize val="0"/>
          </c:dLbls>
          <c:xVal>
            <c:strRef>
              <c:f>'2022_Data'!$F$11</c:f>
            </c:strRef>
          </c:xVal>
          <c:yVal>
            <c:numRef>
              <c:f>'2022_Data'!$E$11</c:f>
              <c:numCache/>
            </c:numRef>
          </c:yVal>
          <c:bubbleSize>
            <c:numRef>
              <c:f>'2022_Data'!$G$11</c:f>
            </c:numRef>
          </c:bubbleSize>
        </c:ser>
        <c:ser>
          <c:idx val="10"/>
          <c:order val="10"/>
          <c:tx>
            <c:strRef>
              <c:f>'2022_Data'!$A$12</c:f>
            </c:strRef>
          </c:tx>
          <c:dLbls>
            <c:dLblPos val="ctr"/>
            <c:showLegendKey val="0"/>
            <c:showVal val="0"/>
            <c:showCatName val="0"/>
            <c:showSerName val="1"/>
            <c:showPercent val="0"/>
            <c:showBubbleSize val="0"/>
          </c:dLbls>
          <c:xVal>
            <c:strRef>
              <c:f>'2022_Data'!$F$12</c:f>
            </c:strRef>
          </c:xVal>
          <c:yVal>
            <c:numRef>
              <c:f>'2022_Data'!$E$12</c:f>
              <c:numCache/>
            </c:numRef>
          </c:yVal>
          <c:bubbleSize>
            <c:numRef>
              <c:f>'2022_Data'!$G$12</c:f>
            </c:numRef>
          </c:bubbleSize>
        </c:ser>
        <c:ser>
          <c:idx val="11"/>
          <c:order val="11"/>
          <c:tx>
            <c:strRef>
              <c:f>'2022_Data'!$A$13</c:f>
            </c:strRef>
          </c:tx>
          <c:dLbls>
            <c:dLblPos val="ctr"/>
            <c:showLegendKey val="0"/>
            <c:showVal val="0"/>
            <c:showCatName val="0"/>
            <c:showSerName val="1"/>
            <c:showPercent val="0"/>
            <c:showBubbleSize val="0"/>
          </c:dLbls>
          <c:xVal>
            <c:strRef>
              <c:f>'2022_Data'!$F$13</c:f>
            </c:strRef>
          </c:xVal>
          <c:yVal>
            <c:numRef>
              <c:f>'2022_Data'!$E$13</c:f>
              <c:numCache/>
            </c:numRef>
          </c:yVal>
          <c:bubbleSize>
            <c:numRef>
              <c:f>'2022_Data'!$G$13</c:f>
            </c:numRef>
          </c:bubbleSize>
        </c:ser>
        <c:ser>
          <c:idx val="12"/>
          <c:order val="12"/>
          <c:tx>
            <c:strRef>
              <c:f>'2022_Data'!$A$14</c:f>
            </c:strRef>
          </c:tx>
          <c:dLbls>
            <c:dLblPos val="ctr"/>
            <c:showLegendKey val="0"/>
            <c:showVal val="0"/>
            <c:showCatName val="0"/>
            <c:showSerName val="1"/>
            <c:showPercent val="0"/>
            <c:showBubbleSize val="0"/>
          </c:dLbls>
          <c:xVal>
            <c:strRef>
              <c:f>'2022_Data'!$F$14</c:f>
            </c:strRef>
          </c:xVal>
          <c:yVal>
            <c:numRef>
              <c:f>'2022_Data'!$E$14</c:f>
              <c:numCache/>
            </c:numRef>
          </c:yVal>
          <c:bubbleSize>
            <c:numRef>
              <c:f>'2022_Data'!$G$14</c:f>
            </c:numRef>
          </c:bubbleSize>
        </c:ser>
        <c:ser>
          <c:idx val="13"/>
          <c:order val="13"/>
          <c:tx>
            <c:strRef>
              <c:f>'2022_Data'!$A$15</c:f>
            </c:strRef>
          </c:tx>
          <c:dLbls>
            <c:dLblPos val="ctr"/>
            <c:showLegendKey val="0"/>
            <c:showVal val="0"/>
            <c:showCatName val="0"/>
            <c:showSerName val="1"/>
            <c:showPercent val="0"/>
            <c:showBubbleSize val="0"/>
          </c:dLbls>
          <c:xVal>
            <c:strRef>
              <c:f>'2022_Data'!$F$15</c:f>
            </c:strRef>
          </c:xVal>
          <c:yVal>
            <c:numRef>
              <c:f>'2022_Data'!$E$15</c:f>
              <c:numCache/>
            </c:numRef>
          </c:yVal>
          <c:bubbleSize>
            <c:numRef>
              <c:f>'2022_Data'!$G$15</c:f>
            </c:numRef>
          </c:bubbleSize>
        </c:ser>
        <c:ser>
          <c:idx val="14"/>
          <c:order val="14"/>
          <c:tx>
            <c:strRef>
              <c:f>'2022_Data'!$A$16</c:f>
            </c:strRef>
          </c:tx>
          <c:dLbls>
            <c:dLblPos val="ctr"/>
            <c:showLegendKey val="0"/>
            <c:showVal val="0"/>
            <c:showCatName val="0"/>
            <c:showSerName val="1"/>
            <c:showPercent val="0"/>
            <c:showBubbleSize val="0"/>
          </c:dLbls>
          <c:xVal>
            <c:strRef>
              <c:f>'2022_Data'!$F$16</c:f>
            </c:strRef>
          </c:xVal>
          <c:yVal>
            <c:numRef>
              <c:f>'2022_Data'!$E$16</c:f>
              <c:numCache/>
            </c:numRef>
          </c:yVal>
          <c:bubbleSize>
            <c:numRef>
              <c:f>'2022_Data'!$G$16</c:f>
            </c:numRef>
          </c:bubbleSize>
        </c:ser>
        <c:ser>
          <c:idx val="15"/>
          <c:order val="15"/>
          <c:tx>
            <c:strRef>
              <c:f>'2022_Data'!$A$17</c:f>
            </c:strRef>
          </c:tx>
          <c:dLbls>
            <c:dLblPos val="ctr"/>
            <c:showLegendKey val="0"/>
            <c:showVal val="0"/>
            <c:showCatName val="0"/>
            <c:showSerName val="1"/>
            <c:showPercent val="0"/>
            <c:showBubbleSize val="0"/>
          </c:dLbls>
          <c:xVal>
            <c:strRef>
              <c:f>'2022_Data'!$F$17</c:f>
            </c:strRef>
          </c:xVal>
          <c:yVal>
            <c:numRef>
              <c:f>'2022_Data'!$E$17</c:f>
              <c:numCache/>
            </c:numRef>
          </c:yVal>
          <c:bubbleSize>
            <c:numRef>
              <c:f>'2022_Data'!$G$17</c:f>
            </c:numRef>
          </c:bubbleSize>
        </c:ser>
        <c:ser>
          <c:idx val="16"/>
          <c:order val="16"/>
          <c:tx>
            <c:strRef>
              <c:f>'2022_Data'!$A$18</c:f>
            </c:strRef>
          </c:tx>
          <c:dLbls>
            <c:dLblPos val="ctr"/>
            <c:showLegendKey val="0"/>
            <c:showVal val="0"/>
            <c:showCatName val="0"/>
            <c:showSerName val="1"/>
            <c:showPercent val="0"/>
            <c:showBubbleSize val="0"/>
          </c:dLbls>
          <c:xVal>
            <c:strRef>
              <c:f>'2022_Data'!$F$18</c:f>
            </c:strRef>
          </c:xVal>
          <c:yVal>
            <c:numRef>
              <c:f>'2022_Data'!$E$18</c:f>
              <c:numCache/>
            </c:numRef>
          </c:yVal>
          <c:bubbleSize>
            <c:numRef>
              <c:f>'2022_Data'!$G$18</c:f>
            </c:numRef>
          </c:bubbleSize>
        </c:ser>
        <c:ser>
          <c:idx val="17"/>
          <c:order val="17"/>
          <c:tx>
            <c:strRef>
              <c:f>'2022_Data'!$A$19</c:f>
            </c:strRef>
          </c:tx>
          <c:dLbls>
            <c:dLblPos val="ctr"/>
            <c:showLegendKey val="0"/>
            <c:showVal val="0"/>
            <c:showCatName val="0"/>
            <c:showSerName val="1"/>
            <c:showPercent val="0"/>
            <c:showBubbleSize val="0"/>
          </c:dLbls>
          <c:xVal>
            <c:strRef>
              <c:f>'2022_Data'!$F$19</c:f>
            </c:strRef>
          </c:xVal>
          <c:yVal>
            <c:numRef>
              <c:f>'2022_Data'!$E$19</c:f>
              <c:numCache/>
            </c:numRef>
          </c:yVal>
          <c:bubbleSize>
            <c:numRef>
              <c:f>'2022_Data'!$G$19</c:f>
            </c:numRef>
          </c:bubbleSize>
        </c:ser>
        <c:ser>
          <c:idx val="18"/>
          <c:order val="18"/>
          <c:tx>
            <c:strRef>
              <c:f>'2022_Data'!$A$20</c:f>
            </c:strRef>
          </c:tx>
          <c:dLbls>
            <c:dLblPos val="ctr"/>
            <c:showLegendKey val="0"/>
            <c:showVal val="0"/>
            <c:showCatName val="0"/>
            <c:showSerName val="1"/>
            <c:showPercent val="0"/>
            <c:showBubbleSize val="0"/>
          </c:dLbls>
          <c:xVal>
            <c:strRef>
              <c:f>'2022_Data'!$F$20</c:f>
            </c:strRef>
          </c:xVal>
          <c:yVal>
            <c:numRef>
              <c:f>'2022_Data'!$E$20</c:f>
              <c:numCache/>
            </c:numRef>
          </c:yVal>
          <c:bubbleSize>
            <c:numRef>
              <c:f>'2022_Data'!$G$20</c:f>
            </c:numRef>
          </c:bubbleSize>
        </c:ser>
        <c:ser>
          <c:idx val="19"/>
          <c:order val="19"/>
          <c:tx>
            <c:strRef>
              <c:f>'2022_Data'!$A$21</c:f>
            </c:strRef>
          </c:tx>
          <c:dLbls>
            <c:dLblPos val="ctr"/>
            <c:showLegendKey val="0"/>
            <c:showVal val="0"/>
            <c:showCatName val="0"/>
            <c:showSerName val="1"/>
            <c:showPercent val="0"/>
            <c:showBubbleSize val="0"/>
          </c:dLbls>
          <c:xVal>
            <c:strRef>
              <c:f>'2022_Data'!$F$21</c:f>
            </c:strRef>
          </c:xVal>
          <c:yVal>
            <c:numRef>
              <c:f>'2022_Data'!$E$21</c:f>
              <c:numCache/>
            </c:numRef>
          </c:yVal>
          <c:bubbleSize>
            <c:numRef>
              <c:f>'2022_Data'!$G$21</c:f>
            </c:numRef>
          </c:bubbleSize>
        </c:ser>
        <c:ser>
          <c:idx val="20"/>
          <c:order val="20"/>
          <c:tx>
            <c:strRef>
              <c:f>'2022_Data'!$A$22</c:f>
            </c:strRef>
          </c:tx>
          <c:dLbls>
            <c:dLblPos val="ctr"/>
            <c:showLegendKey val="0"/>
            <c:showVal val="0"/>
            <c:showCatName val="0"/>
            <c:showSerName val="1"/>
            <c:showPercent val="0"/>
            <c:showBubbleSize val="0"/>
          </c:dLbls>
          <c:xVal>
            <c:strRef>
              <c:f>'2022_Data'!$F$22</c:f>
            </c:strRef>
          </c:xVal>
          <c:yVal>
            <c:numRef>
              <c:f>'2022_Data'!$E$22</c:f>
              <c:numCache/>
            </c:numRef>
          </c:yVal>
          <c:bubbleSize>
            <c:numRef>
              <c:f>'2022_Data'!$G$22</c:f>
            </c:numRef>
          </c:bubbleSize>
        </c:ser>
        <c:ser>
          <c:idx val="21"/>
          <c:order val="21"/>
          <c:tx>
            <c:strRef>
              <c:f>'2022_Data'!$A$23</c:f>
            </c:strRef>
          </c:tx>
          <c:dLbls>
            <c:dLblPos val="ctr"/>
            <c:showLegendKey val="0"/>
            <c:showVal val="0"/>
            <c:showCatName val="0"/>
            <c:showSerName val="1"/>
            <c:showPercent val="0"/>
            <c:showBubbleSize val="0"/>
          </c:dLbls>
          <c:xVal>
            <c:strRef>
              <c:f>'2022_Data'!$F$23</c:f>
            </c:strRef>
          </c:xVal>
          <c:yVal>
            <c:numRef>
              <c:f>'2022_Data'!$E$23</c:f>
              <c:numCache/>
            </c:numRef>
          </c:yVal>
          <c:bubbleSize>
            <c:numRef>
              <c:f>'2022_Data'!$G$23</c:f>
            </c:numRef>
          </c:bubbleSize>
        </c:ser>
        <c:ser>
          <c:idx val="22"/>
          <c:order val="22"/>
          <c:tx>
            <c:strRef>
              <c:f>'2022_Data'!$A$24</c:f>
            </c:strRef>
          </c:tx>
          <c:dLbls>
            <c:dLblPos val="ctr"/>
            <c:showLegendKey val="0"/>
            <c:showVal val="0"/>
            <c:showCatName val="0"/>
            <c:showSerName val="1"/>
            <c:showPercent val="0"/>
            <c:showBubbleSize val="0"/>
          </c:dLbls>
          <c:xVal>
            <c:strRef>
              <c:f>'2022_Data'!$F$24</c:f>
            </c:strRef>
          </c:xVal>
          <c:yVal>
            <c:numRef>
              <c:f>'2022_Data'!$E$24</c:f>
              <c:numCache/>
            </c:numRef>
          </c:yVal>
          <c:bubbleSize>
            <c:numRef>
              <c:f>'2022_Data'!$G$24</c:f>
            </c:numRef>
          </c:bubbleSize>
        </c:ser>
        <c:ser>
          <c:idx val="23"/>
          <c:order val="23"/>
          <c:tx>
            <c:strRef>
              <c:f>'2022_Data'!$A$25</c:f>
            </c:strRef>
          </c:tx>
          <c:dLbls>
            <c:dLblPos val="ctr"/>
            <c:showLegendKey val="0"/>
            <c:showVal val="0"/>
            <c:showCatName val="0"/>
            <c:showSerName val="1"/>
            <c:showPercent val="0"/>
            <c:showBubbleSize val="0"/>
          </c:dLbls>
          <c:xVal>
            <c:strRef>
              <c:f>'2022_Data'!$F$25</c:f>
            </c:strRef>
          </c:xVal>
          <c:yVal>
            <c:numRef>
              <c:f>'2022_Data'!$E$25</c:f>
              <c:numCache/>
            </c:numRef>
          </c:yVal>
          <c:bubbleSize>
            <c:numRef>
              <c:f>'2022_Data'!$G$25</c:f>
            </c:numRef>
          </c:bubbleSize>
        </c:ser>
        <c:ser>
          <c:idx val="24"/>
          <c:order val="24"/>
          <c:tx>
            <c:strRef>
              <c:f>'2022_Data'!$A$26</c:f>
            </c:strRef>
          </c:tx>
          <c:dLbls>
            <c:dLblPos val="ctr"/>
            <c:showLegendKey val="0"/>
            <c:showVal val="0"/>
            <c:showCatName val="0"/>
            <c:showSerName val="1"/>
            <c:showPercent val="0"/>
            <c:showBubbleSize val="0"/>
          </c:dLbls>
          <c:xVal>
            <c:strRef>
              <c:f>'2022_Data'!$F$26</c:f>
            </c:strRef>
          </c:xVal>
          <c:yVal>
            <c:numRef>
              <c:f>'2022_Data'!$E$26</c:f>
              <c:numCache/>
            </c:numRef>
          </c:yVal>
          <c:bubbleSize>
            <c:numRef>
              <c:f>'2022_Data'!$G$26</c:f>
            </c:numRef>
          </c:bubbleSize>
        </c:ser>
        <c:ser>
          <c:idx val="25"/>
          <c:order val="25"/>
          <c:tx>
            <c:strRef>
              <c:f>'2022_Data'!$A$27</c:f>
            </c:strRef>
          </c:tx>
          <c:dLbls>
            <c:dLblPos val="ctr"/>
            <c:showLegendKey val="0"/>
            <c:showVal val="0"/>
            <c:showCatName val="0"/>
            <c:showSerName val="1"/>
            <c:showPercent val="0"/>
            <c:showBubbleSize val="0"/>
          </c:dLbls>
          <c:xVal>
            <c:strRef>
              <c:f>'2022_Data'!$F$27</c:f>
            </c:strRef>
          </c:xVal>
          <c:yVal>
            <c:numRef>
              <c:f>'2022_Data'!$E$27</c:f>
              <c:numCache/>
            </c:numRef>
          </c:yVal>
          <c:bubbleSize>
            <c:numRef>
              <c:f>'2022_Data'!$G$27</c:f>
            </c:numRef>
          </c:bubbleSize>
        </c:ser>
        <c:ser>
          <c:idx val="26"/>
          <c:order val="26"/>
          <c:tx>
            <c:strRef>
              <c:f>'2022_Data'!$A$28</c:f>
            </c:strRef>
          </c:tx>
          <c:dLbls>
            <c:dLblPos val="ctr"/>
            <c:showLegendKey val="0"/>
            <c:showVal val="0"/>
            <c:showCatName val="0"/>
            <c:showSerName val="1"/>
            <c:showPercent val="0"/>
            <c:showBubbleSize val="0"/>
          </c:dLbls>
          <c:xVal>
            <c:strRef>
              <c:f>'2022_Data'!$F$28</c:f>
            </c:strRef>
          </c:xVal>
          <c:yVal>
            <c:numRef>
              <c:f>'2022_Data'!$E$28</c:f>
              <c:numCache/>
            </c:numRef>
          </c:yVal>
          <c:bubbleSize>
            <c:numRef>
              <c:f>'2022_Data'!$G$28</c:f>
            </c:numRef>
          </c:bubbleSize>
        </c:ser>
        <c:ser>
          <c:idx val="27"/>
          <c:order val="27"/>
          <c:tx>
            <c:strRef>
              <c:f>'2022_Data'!$A$29</c:f>
            </c:strRef>
          </c:tx>
          <c:dLbls>
            <c:dLblPos val="ctr"/>
            <c:showLegendKey val="0"/>
            <c:showVal val="0"/>
            <c:showCatName val="0"/>
            <c:showSerName val="1"/>
            <c:showPercent val="0"/>
            <c:showBubbleSize val="0"/>
          </c:dLbls>
          <c:xVal>
            <c:strRef>
              <c:f>'2022_Data'!$F$29</c:f>
            </c:strRef>
          </c:xVal>
          <c:yVal>
            <c:numRef>
              <c:f>'2022_Data'!$E$29</c:f>
              <c:numCache/>
            </c:numRef>
          </c:yVal>
          <c:bubbleSize>
            <c:numRef>
              <c:f>'2022_Data'!$G$29</c:f>
            </c:numRef>
          </c:bubbleSize>
        </c:ser>
        <c:ser>
          <c:idx val="28"/>
          <c:order val="28"/>
          <c:tx>
            <c:strRef>
              <c:f>'2022_Data'!$A$30</c:f>
            </c:strRef>
          </c:tx>
          <c:dLbls>
            <c:dLblPos val="ctr"/>
            <c:showLegendKey val="0"/>
            <c:showVal val="0"/>
            <c:showCatName val="0"/>
            <c:showSerName val="1"/>
            <c:showPercent val="0"/>
            <c:showBubbleSize val="0"/>
          </c:dLbls>
          <c:xVal>
            <c:strRef>
              <c:f>'2022_Data'!$F$30</c:f>
            </c:strRef>
          </c:xVal>
          <c:yVal>
            <c:numRef>
              <c:f>'2022_Data'!$E$30</c:f>
              <c:numCache/>
            </c:numRef>
          </c:yVal>
          <c:bubbleSize>
            <c:numRef>
              <c:f>'2022_Data'!$G$30</c:f>
            </c:numRef>
          </c:bubbleSize>
        </c:ser>
        <c:ser>
          <c:idx val="29"/>
          <c:order val="29"/>
          <c:tx>
            <c:strRef>
              <c:f>'2022_Data'!$A$31</c:f>
            </c:strRef>
          </c:tx>
          <c:dLbls>
            <c:dLblPos val="ctr"/>
            <c:showLegendKey val="0"/>
            <c:showVal val="0"/>
            <c:showCatName val="0"/>
            <c:showSerName val="1"/>
            <c:showPercent val="0"/>
            <c:showBubbleSize val="0"/>
          </c:dLbls>
          <c:xVal>
            <c:strRef>
              <c:f>'2022_Data'!$F$31</c:f>
            </c:strRef>
          </c:xVal>
          <c:yVal>
            <c:numRef>
              <c:f>'2022_Data'!$E$31</c:f>
              <c:numCache/>
            </c:numRef>
          </c:yVal>
          <c:bubbleSize>
            <c:numRef>
              <c:f>'2022_Data'!$G$31</c:f>
            </c:numRef>
          </c:bubbleSize>
        </c:ser>
        <c:ser>
          <c:idx val="30"/>
          <c:order val="30"/>
          <c:tx>
            <c:strRef>
              <c:f>'2022_Data'!$A$32</c:f>
            </c:strRef>
          </c:tx>
          <c:dLbls>
            <c:dLblPos val="ctr"/>
            <c:showLegendKey val="0"/>
            <c:showVal val="0"/>
            <c:showCatName val="0"/>
            <c:showSerName val="1"/>
            <c:showPercent val="0"/>
            <c:showBubbleSize val="0"/>
          </c:dLbls>
          <c:xVal>
            <c:strRef>
              <c:f>'2022_Data'!$F$32</c:f>
            </c:strRef>
          </c:xVal>
          <c:yVal>
            <c:numRef>
              <c:f>'2022_Data'!$E$32</c:f>
              <c:numCache/>
            </c:numRef>
          </c:yVal>
          <c:bubbleSize>
            <c:numRef>
              <c:f>'2022_Data'!$G$32</c:f>
            </c:numRef>
          </c:bubbleSize>
        </c:ser>
        <c:ser>
          <c:idx val="31"/>
          <c:order val="31"/>
          <c:tx>
            <c:strRef>
              <c:f>'2022_Data'!$A$33</c:f>
            </c:strRef>
          </c:tx>
          <c:dLbls>
            <c:dLblPos val="ctr"/>
            <c:showLegendKey val="0"/>
            <c:showVal val="0"/>
            <c:showCatName val="0"/>
            <c:showSerName val="1"/>
            <c:showPercent val="0"/>
            <c:showBubbleSize val="0"/>
          </c:dLbls>
          <c:xVal>
            <c:strRef>
              <c:f>'2022_Data'!$F$33</c:f>
            </c:strRef>
          </c:xVal>
          <c:yVal>
            <c:numRef>
              <c:f>'2022_Data'!$E$33</c:f>
              <c:numCache/>
            </c:numRef>
          </c:yVal>
          <c:bubbleSize>
            <c:numRef>
              <c:f>'2022_Data'!$G$33</c:f>
            </c:numRef>
          </c:bubbleSize>
        </c:ser>
        <c:ser>
          <c:idx val="32"/>
          <c:order val="32"/>
          <c:tx>
            <c:strRef>
              <c:f>'2022_Data'!$A$34</c:f>
            </c:strRef>
          </c:tx>
          <c:dLbls>
            <c:dLblPos val="ctr"/>
            <c:showLegendKey val="0"/>
            <c:showVal val="0"/>
            <c:showCatName val="0"/>
            <c:showSerName val="1"/>
            <c:showPercent val="0"/>
            <c:showBubbleSize val="0"/>
          </c:dLbls>
          <c:xVal>
            <c:strRef>
              <c:f>'2022_Data'!$F$34</c:f>
            </c:strRef>
          </c:xVal>
          <c:yVal>
            <c:numRef>
              <c:f>'2022_Data'!$E$34</c:f>
              <c:numCache/>
            </c:numRef>
          </c:yVal>
          <c:bubbleSize>
            <c:numRef>
              <c:f>'2022_Data'!$G$34</c:f>
            </c:numRef>
          </c:bubbleSize>
        </c:ser>
        <c:ser>
          <c:idx val="33"/>
          <c:order val="33"/>
          <c:tx>
            <c:strRef>
              <c:f>'2022_Data'!$A$35</c:f>
            </c:strRef>
          </c:tx>
          <c:dLbls>
            <c:dLblPos val="ctr"/>
            <c:showLegendKey val="0"/>
            <c:showVal val="0"/>
            <c:showCatName val="0"/>
            <c:showSerName val="1"/>
            <c:showPercent val="0"/>
            <c:showBubbleSize val="0"/>
          </c:dLbls>
          <c:xVal>
            <c:strRef>
              <c:f>'2022_Data'!$F$35</c:f>
            </c:strRef>
          </c:xVal>
          <c:yVal>
            <c:numRef>
              <c:f>'2022_Data'!$E$35</c:f>
              <c:numCache/>
            </c:numRef>
          </c:yVal>
          <c:bubbleSize>
            <c:numRef>
              <c:f>'2022_Data'!$G$35</c:f>
            </c:numRef>
          </c:bubbleSize>
        </c:ser>
        <c:ser>
          <c:idx val="34"/>
          <c:order val="34"/>
          <c:tx>
            <c:strRef>
              <c:f>'2022_Data'!$A$36</c:f>
            </c:strRef>
          </c:tx>
          <c:dLbls>
            <c:dLblPos val="ctr"/>
            <c:showLegendKey val="0"/>
            <c:showVal val="0"/>
            <c:showCatName val="0"/>
            <c:showSerName val="1"/>
            <c:showPercent val="0"/>
            <c:showBubbleSize val="0"/>
          </c:dLbls>
          <c:xVal>
            <c:strRef>
              <c:f>'2022_Data'!$F$36</c:f>
            </c:strRef>
          </c:xVal>
          <c:yVal>
            <c:numRef>
              <c:f>'2022_Data'!$E$36</c:f>
              <c:numCache/>
            </c:numRef>
          </c:yVal>
          <c:bubbleSize>
            <c:numRef>
              <c:f>'2022_Data'!$G$36</c:f>
            </c:numRef>
          </c:bubbleSize>
        </c:ser>
        <c:ser>
          <c:idx val="35"/>
          <c:order val="35"/>
          <c:tx>
            <c:strRef>
              <c:f>'2022_Data'!$A$37</c:f>
            </c:strRef>
          </c:tx>
          <c:dLbls>
            <c:dLblPos val="ctr"/>
            <c:showLegendKey val="0"/>
            <c:showVal val="0"/>
            <c:showCatName val="0"/>
            <c:showSerName val="1"/>
            <c:showPercent val="0"/>
            <c:showBubbleSize val="0"/>
          </c:dLbls>
          <c:xVal>
            <c:strRef>
              <c:f>'2022_Data'!$F$37</c:f>
            </c:strRef>
          </c:xVal>
          <c:yVal>
            <c:numRef>
              <c:f>'2022_Data'!$E$37</c:f>
              <c:numCache/>
            </c:numRef>
          </c:yVal>
          <c:bubbleSize>
            <c:numRef>
              <c:f>'2022_Data'!$G$37</c:f>
            </c:numRef>
          </c:bubbleSize>
        </c:ser>
        <c:ser>
          <c:idx val="36"/>
          <c:order val="36"/>
          <c:tx>
            <c:strRef>
              <c:f>'2022_Data'!$A$38</c:f>
            </c:strRef>
          </c:tx>
          <c:dLbls>
            <c:dLblPos val="ctr"/>
            <c:showLegendKey val="0"/>
            <c:showVal val="0"/>
            <c:showCatName val="0"/>
            <c:showSerName val="1"/>
            <c:showPercent val="0"/>
            <c:showBubbleSize val="0"/>
          </c:dLbls>
          <c:xVal>
            <c:strRef>
              <c:f>'2022_Data'!$F$38</c:f>
            </c:strRef>
          </c:xVal>
          <c:yVal>
            <c:numRef>
              <c:f>'2022_Data'!$E$38</c:f>
              <c:numCache/>
            </c:numRef>
          </c:yVal>
          <c:bubbleSize>
            <c:numRef>
              <c:f>'2022_Data'!$G$38</c:f>
            </c:numRef>
          </c:bubbleSize>
        </c:ser>
        <c:ser>
          <c:idx val="37"/>
          <c:order val="37"/>
          <c:tx>
            <c:strRef>
              <c:f>'2022_Data'!$A$39</c:f>
            </c:strRef>
          </c:tx>
          <c:dLbls>
            <c:dLblPos val="ctr"/>
            <c:showLegendKey val="0"/>
            <c:showVal val="0"/>
            <c:showCatName val="0"/>
            <c:showSerName val="1"/>
            <c:showPercent val="0"/>
            <c:showBubbleSize val="0"/>
          </c:dLbls>
          <c:xVal>
            <c:strRef>
              <c:f>'2022_Data'!$F$39</c:f>
            </c:strRef>
          </c:xVal>
          <c:yVal>
            <c:numRef>
              <c:f>'2022_Data'!$E$39</c:f>
              <c:numCache/>
            </c:numRef>
          </c:yVal>
          <c:bubbleSize>
            <c:numRef>
              <c:f>'2022_Data'!$G$39</c:f>
            </c:numRef>
          </c:bubbleSize>
        </c:ser>
        <c:ser>
          <c:idx val="38"/>
          <c:order val="38"/>
          <c:tx>
            <c:strRef>
              <c:f>'2022_Data'!$A$40</c:f>
            </c:strRef>
          </c:tx>
          <c:dLbls>
            <c:dLblPos val="ctr"/>
            <c:showLegendKey val="0"/>
            <c:showVal val="0"/>
            <c:showCatName val="0"/>
            <c:showSerName val="1"/>
            <c:showPercent val="0"/>
            <c:showBubbleSize val="0"/>
          </c:dLbls>
          <c:xVal>
            <c:strRef>
              <c:f>'2022_Data'!$F$40</c:f>
            </c:strRef>
          </c:xVal>
          <c:yVal>
            <c:numRef>
              <c:f>'2022_Data'!$E$40</c:f>
              <c:numCache/>
            </c:numRef>
          </c:yVal>
          <c:bubbleSize>
            <c:numRef>
              <c:f>'2022_Data'!$G$40</c:f>
            </c:numRef>
          </c:bubbleSize>
        </c:ser>
        <c:ser>
          <c:idx val="39"/>
          <c:order val="39"/>
          <c:tx>
            <c:strRef>
              <c:f>'2022_Data'!$A$41</c:f>
            </c:strRef>
          </c:tx>
          <c:dLbls>
            <c:dLblPos val="ctr"/>
            <c:showLegendKey val="0"/>
            <c:showVal val="0"/>
            <c:showCatName val="0"/>
            <c:showSerName val="1"/>
            <c:showPercent val="0"/>
            <c:showBubbleSize val="0"/>
          </c:dLbls>
          <c:xVal>
            <c:strRef>
              <c:f>'2022_Data'!$F$41</c:f>
            </c:strRef>
          </c:xVal>
          <c:yVal>
            <c:numRef>
              <c:f>'2022_Data'!$E$41</c:f>
              <c:numCache/>
            </c:numRef>
          </c:yVal>
          <c:bubbleSize>
            <c:numRef>
              <c:f>'2022_Data'!$G$41</c:f>
            </c:numRef>
          </c:bubbleSize>
        </c:ser>
        <c:ser>
          <c:idx val="40"/>
          <c:order val="40"/>
          <c:tx>
            <c:strRef>
              <c:f>'2022_Data'!$A$42</c:f>
            </c:strRef>
          </c:tx>
          <c:dLbls>
            <c:dLblPos val="ctr"/>
            <c:showLegendKey val="0"/>
            <c:showVal val="0"/>
            <c:showCatName val="0"/>
            <c:showSerName val="1"/>
            <c:showPercent val="0"/>
            <c:showBubbleSize val="0"/>
          </c:dLbls>
          <c:xVal>
            <c:strRef>
              <c:f>'2022_Data'!$F$42</c:f>
            </c:strRef>
          </c:xVal>
          <c:yVal>
            <c:numRef>
              <c:f>'2022_Data'!$E$42</c:f>
              <c:numCache/>
            </c:numRef>
          </c:yVal>
          <c:bubbleSize>
            <c:numRef>
              <c:f>'2022_Data'!$G$42</c:f>
            </c:numRef>
          </c:bubbleSize>
        </c:ser>
        <c:ser>
          <c:idx val="41"/>
          <c:order val="41"/>
          <c:tx>
            <c:strRef>
              <c:f>'2022_Data'!$A$43</c:f>
            </c:strRef>
          </c:tx>
          <c:dLbls>
            <c:dLblPos val="ctr"/>
            <c:showLegendKey val="0"/>
            <c:showVal val="0"/>
            <c:showCatName val="0"/>
            <c:showSerName val="1"/>
            <c:showPercent val="0"/>
            <c:showBubbleSize val="0"/>
          </c:dLbls>
          <c:xVal>
            <c:strRef>
              <c:f>'2022_Data'!$F$43</c:f>
            </c:strRef>
          </c:xVal>
          <c:yVal>
            <c:numRef>
              <c:f>'2022_Data'!$E$43</c:f>
              <c:numCache/>
            </c:numRef>
          </c:yVal>
          <c:bubbleSize>
            <c:numRef>
              <c:f>'2022_Data'!$G$43</c:f>
            </c:numRef>
          </c:bubbleSize>
        </c:ser>
        <c:ser>
          <c:idx val="42"/>
          <c:order val="42"/>
          <c:tx>
            <c:strRef>
              <c:f>'2022_Data'!$A$44</c:f>
            </c:strRef>
          </c:tx>
          <c:dLbls>
            <c:dLblPos val="ctr"/>
            <c:showLegendKey val="0"/>
            <c:showVal val="0"/>
            <c:showCatName val="0"/>
            <c:showSerName val="1"/>
            <c:showPercent val="0"/>
            <c:showBubbleSize val="0"/>
          </c:dLbls>
          <c:xVal>
            <c:strRef>
              <c:f>'2022_Data'!$F$44</c:f>
            </c:strRef>
          </c:xVal>
          <c:yVal>
            <c:numRef>
              <c:f>'2022_Data'!$E$44</c:f>
              <c:numCache/>
            </c:numRef>
          </c:yVal>
          <c:bubbleSize>
            <c:numRef>
              <c:f>'2022_Data'!$G$44</c:f>
            </c:numRef>
          </c:bubbleSize>
        </c:ser>
        <c:ser>
          <c:idx val="43"/>
          <c:order val="43"/>
          <c:tx>
            <c:strRef>
              <c:f>'2022_Data'!$A$45</c:f>
            </c:strRef>
          </c:tx>
          <c:dLbls>
            <c:dLblPos val="ctr"/>
            <c:showLegendKey val="0"/>
            <c:showVal val="0"/>
            <c:showCatName val="0"/>
            <c:showSerName val="1"/>
            <c:showPercent val="0"/>
            <c:showBubbleSize val="0"/>
          </c:dLbls>
          <c:xVal>
            <c:strRef>
              <c:f>'2022_Data'!$F$45</c:f>
            </c:strRef>
          </c:xVal>
          <c:yVal>
            <c:numRef>
              <c:f>'2022_Data'!$E$45</c:f>
              <c:numCache/>
            </c:numRef>
          </c:yVal>
          <c:bubbleSize>
            <c:numRef>
              <c:f>'2022_Data'!$G$45</c:f>
            </c:numRef>
          </c:bubbleSize>
        </c:ser>
        <c:ser>
          <c:idx val="44"/>
          <c:order val="44"/>
          <c:tx>
            <c:strRef>
              <c:f>'2022_Data'!$A$46</c:f>
            </c:strRef>
          </c:tx>
          <c:dLbls>
            <c:dLblPos val="ctr"/>
            <c:showLegendKey val="0"/>
            <c:showVal val="0"/>
            <c:showCatName val="0"/>
            <c:showSerName val="1"/>
            <c:showPercent val="0"/>
            <c:showBubbleSize val="0"/>
          </c:dLbls>
          <c:xVal>
            <c:strRef>
              <c:f>'2022_Data'!$F$46</c:f>
            </c:strRef>
          </c:xVal>
          <c:yVal>
            <c:numRef>
              <c:f>'2022_Data'!$E$46</c:f>
              <c:numCache/>
            </c:numRef>
          </c:yVal>
          <c:bubbleSize>
            <c:numRef>
              <c:f>'2022_Data'!$G$46</c:f>
            </c:numRef>
          </c:bubbleSize>
        </c:ser>
        <c:ser>
          <c:idx val="45"/>
          <c:order val="45"/>
          <c:tx>
            <c:strRef>
              <c:f>'2022_Data'!$A$47</c:f>
            </c:strRef>
          </c:tx>
          <c:dLbls>
            <c:dLblPos val="ctr"/>
            <c:showLegendKey val="0"/>
            <c:showVal val="0"/>
            <c:showCatName val="0"/>
            <c:showSerName val="1"/>
            <c:showPercent val="0"/>
            <c:showBubbleSize val="0"/>
          </c:dLbls>
          <c:xVal>
            <c:strRef>
              <c:f>'2022_Data'!$F$47</c:f>
            </c:strRef>
          </c:xVal>
          <c:yVal>
            <c:numRef>
              <c:f>'2022_Data'!$E$47</c:f>
              <c:numCache/>
            </c:numRef>
          </c:yVal>
          <c:bubbleSize>
            <c:numRef>
              <c:f>'2022_Data'!$G$47</c:f>
            </c:numRef>
          </c:bubbleSize>
        </c:ser>
        <c:ser>
          <c:idx val="46"/>
          <c:order val="46"/>
          <c:tx>
            <c:strRef>
              <c:f>'2022_Data'!$A$48</c:f>
            </c:strRef>
          </c:tx>
          <c:dLbls>
            <c:dLblPos val="ctr"/>
            <c:showLegendKey val="0"/>
            <c:showVal val="0"/>
            <c:showCatName val="0"/>
            <c:showSerName val="1"/>
            <c:showPercent val="0"/>
            <c:showBubbleSize val="0"/>
          </c:dLbls>
          <c:xVal>
            <c:strRef>
              <c:f>'2022_Data'!$F$48</c:f>
            </c:strRef>
          </c:xVal>
          <c:yVal>
            <c:numRef>
              <c:f>'2022_Data'!$E$48</c:f>
              <c:numCache/>
            </c:numRef>
          </c:yVal>
          <c:bubbleSize>
            <c:numRef>
              <c:f>'2022_Data'!$G$48</c:f>
            </c:numRef>
          </c:bubbleSize>
        </c:ser>
        <c:ser>
          <c:idx val="47"/>
          <c:order val="47"/>
          <c:tx>
            <c:strRef>
              <c:f>'2022_Data'!$A$49</c:f>
            </c:strRef>
          </c:tx>
          <c:dLbls>
            <c:dLblPos val="ctr"/>
            <c:showLegendKey val="0"/>
            <c:showVal val="0"/>
            <c:showCatName val="0"/>
            <c:showSerName val="1"/>
            <c:showPercent val="0"/>
            <c:showBubbleSize val="0"/>
          </c:dLbls>
          <c:xVal>
            <c:strRef>
              <c:f>'2022_Data'!$F$49</c:f>
            </c:strRef>
          </c:xVal>
          <c:yVal>
            <c:numRef>
              <c:f>'2022_Data'!$E$49</c:f>
              <c:numCache/>
            </c:numRef>
          </c:yVal>
          <c:bubbleSize>
            <c:numRef>
              <c:f>'2022_Data'!$G$49</c:f>
            </c:numRef>
          </c:bubbleSize>
        </c:ser>
        <c:ser>
          <c:idx val="48"/>
          <c:order val="48"/>
          <c:tx>
            <c:strRef>
              <c:f>'2022_Data'!$A$50</c:f>
            </c:strRef>
          </c:tx>
          <c:dLbls>
            <c:dLblPos val="ctr"/>
            <c:showLegendKey val="0"/>
            <c:showVal val="0"/>
            <c:showCatName val="0"/>
            <c:showSerName val="1"/>
            <c:showPercent val="0"/>
            <c:showBubbleSize val="0"/>
          </c:dLbls>
          <c:xVal>
            <c:strRef>
              <c:f>'2022_Data'!$F$50</c:f>
            </c:strRef>
          </c:xVal>
          <c:yVal>
            <c:numRef>
              <c:f>'2022_Data'!$E$50</c:f>
              <c:numCache/>
            </c:numRef>
          </c:yVal>
          <c:bubbleSize>
            <c:numRef>
              <c:f>'2022_Data'!$G$50</c:f>
            </c:numRef>
          </c:bubbleSize>
        </c:ser>
        <c:ser>
          <c:idx val="49"/>
          <c:order val="49"/>
          <c:tx>
            <c:strRef>
              <c:f>'2022_Data'!$A$51</c:f>
            </c:strRef>
          </c:tx>
          <c:dLbls>
            <c:dLblPos val="ctr"/>
            <c:showLegendKey val="0"/>
            <c:showVal val="0"/>
            <c:showCatName val="0"/>
            <c:showSerName val="1"/>
            <c:showPercent val="0"/>
            <c:showBubbleSize val="0"/>
          </c:dLbls>
          <c:xVal>
            <c:strRef>
              <c:f>'2022_Data'!$F$51</c:f>
            </c:strRef>
          </c:xVal>
          <c:yVal>
            <c:numRef>
              <c:f>'2022_Data'!$E$51</c:f>
              <c:numCache/>
            </c:numRef>
          </c:yVal>
          <c:bubbleSize>
            <c:numRef>
              <c:f>'2022_Data'!$G$51</c:f>
            </c:numRef>
          </c:bubbleSize>
        </c:ser>
        <c:ser>
          <c:idx val="50"/>
          <c:order val="50"/>
          <c:tx>
            <c:strRef>
              <c:f>'2022_Data'!$A$52</c:f>
            </c:strRef>
          </c:tx>
          <c:dLbls>
            <c:dLblPos val="ctr"/>
            <c:showLegendKey val="0"/>
            <c:showVal val="0"/>
            <c:showCatName val="0"/>
            <c:showSerName val="1"/>
            <c:showPercent val="0"/>
            <c:showBubbleSize val="0"/>
          </c:dLbls>
          <c:xVal>
            <c:strRef>
              <c:f>'2022_Data'!$F$52</c:f>
            </c:strRef>
          </c:xVal>
          <c:yVal>
            <c:numRef>
              <c:f>'2022_Data'!$E$52</c:f>
              <c:numCache/>
            </c:numRef>
          </c:yVal>
          <c:bubbleSize>
            <c:numRef>
              <c:f>'2022_Data'!$G$52</c:f>
            </c:numRef>
          </c:bubbleSize>
        </c:ser>
        <c:ser>
          <c:idx val="51"/>
          <c:order val="51"/>
          <c:tx>
            <c:strRef>
              <c:f>'2022_Data'!$A$53</c:f>
            </c:strRef>
          </c:tx>
          <c:dLbls>
            <c:dLblPos val="ctr"/>
            <c:showLegendKey val="0"/>
            <c:showVal val="0"/>
            <c:showCatName val="0"/>
            <c:showSerName val="1"/>
            <c:showPercent val="0"/>
            <c:showBubbleSize val="0"/>
          </c:dLbls>
          <c:xVal>
            <c:strRef>
              <c:f>'2022_Data'!$F$53</c:f>
            </c:strRef>
          </c:xVal>
          <c:yVal>
            <c:numRef>
              <c:f>'2022_Data'!$E$53</c:f>
              <c:numCache/>
            </c:numRef>
          </c:yVal>
          <c:bubbleSize>
            <c:numRef>
              <c:f>'2022_Data'!$G$53</c:f>
            </c:numRef>
          </c:bubbleSize>
        </c:ser>
        <c:ser>
          <c:idx val="52"/>
          <c:order val="52"/>
          <c:tx>
            <c:strRef>
              <c:f>'2022_Data'!$A$54</c:f>
            </c:strRef>
          </c:tx>
          <c:dLbls>
            <c:dLblPos val="ctr"/>
            <c:showLegendKey val="0"/>
            <c:showVal val="0"/>
            <c:showCatName val="0"/>
            <c:showSerName val="1"/>
            <c:showPercent val="0"/>
            <c:showBubbleSize val="0"/>
          </c:dLbls>
          <c:xVal>
            <c:strRef>
              <c:f>'2022_Data'!$F$54</c:f>
            </c:strRef>
          </c:xVal>
          <c:yVal>
            <c:numRef>
              <c:f>'2022_Data'!$E$54</c:f>
              <c:numCache/>
            </c:numRef>
          </c:yVal>
          <c:bubbleSize>
            <c:numRef>
              <c:f>'2022_Data'!$G$54</c:f>
            </c:numRef>
          </c:bubbleSize>
        </c:ser>
        <c:ser>
          <c:idx val="53"/>
          <c:order val="53"/>
          <c:tx>
            <c:strRef>
              <c:f>'2022_Data'!$A$55</c:f>
            </c:strRef>
          </c:tx>
          <c:dLbls>
            <c:dLblPos val="ctr"/>
            <c:showLegendKey val="0"/>
            <c:showVal val="0"/>
            <c:showCatName val="0"/>
            <c:showSerName val="1"/>
            <c:showPercent val="0"/>
            <c:showBubbleSize val="0"/>
          </c:dLbls>
          <c:xVal>
            <c:strRef>
              <c:f>'2022_Data'!$F$55</c:f>
            </c:strRef>
          </c:xVal>
          <c:yVal>
            <c:numRef>
              <c:f>'2022_Data'!$E$55</c:f>
              <c:numCache/>
            </c:numRef>
          </c:yVal>
          <c:bubbleSize>
            <c:numRef>
              <c:f>'2022_Data'!$G$55</c:f>
            </c:numRef>
          </c:bubbleSize>
        </c:ser>
        <c:ser>
          <c:idx val="54"/>
          <c:order val="54"/>
          <c:tx>
            <c:strRef>
              <c:f>'2022_Data'!$A$56</c:f>
            </c:strRef>
          </c:tx>
          <c:dLbls>
            <c:dLblPos val="ctr"/>
            <c:showLegendKey val="0"/>
            <c:showVal val="0"/>
            <c:showCatName val="0"/>
            <c:showSerName val="1"/>
            <c:showPercent val="0"/>
            <c:showBubbleSize val="0"/>
          </c:dLbls>
          <c:xVal>
            <c:strRef>
              <c:f>'2022_Data'!$F$56</c:f>
            </c:strRef>
          </c:xVal>
          <c:yVal>
            <c:numRef>
              <c:f>'2022_Data'!$E$56</c:f>
              <c:numCache/>
            </c:numRef>
          </c:yVal>
          <c:bubbleSize>
            <c:numRef>
              <c:f>'2022_Data'!$G$56</c:f>
            </c:numRef>
          </c:bubbleSize>
        </c:ser>
        <c:ser>
          <c:idx val="55"/>
          <c:order val="55"/>
          <c:tx>
            <c:strRef>
              <c:f>'2022_Data'!$A$57</c:f>
            </c:strRef>
          </c:tx>
          <c:dLbls>
            <c:dLblPos val="ctr"/>
            <c:showLegendKey val="0"/>
            <c:showVal val="0"/>
            <c:showCatName val="0"/>
            <c:showSerName val="1"/>
            <c:showPercent val="0"/>
            <c:showBubbleSize val="0"/>
          </c:dLbls>
          <c:xVal>
            <c:strRef>
              <c:f>'2022_Data'!$F$57</c:f>
            </c:strRef>
          </c:xVal>
          <c:yVal>
            <c:numRef>
              <c:f>'2022_Data'!$E$57</c:f>
              <c:numCache/>
            </c:numRef>
          </c:yVal>
          <c:bubbleSize>
            <c:numRef>
              <c:f>'2022_Data'!$G$57</c:f>
            </c:numRef>
          </c:bubbleSize>
        </c:ser>
        <c:ser>
          <c:idx val="56"/>
          <c:order val="56"/>
          <c:tx>
            <c:strRef>
              <c:f>'2022_Data'!$A$58</c:f>
            </c:strRef>
          </c:tx>
          <c:dLbls>
            <c:dLblPos val="ctr"/>
            <c:showLegendKey val="0"/>
            <c:showVal val="0"/>
            <c:showCatName val="0"/>
            <c:showSerName val="1"/>
            <c:showPercent val="0"/>
            <c:showBubbleSize val="0"/>
          </c:dLbls>
          <c:xVal>
            <c:strRef>
              <c:f>'2022_Data'!$F$58</c:f>
            </c:strRef>
          </c:xVal>
          <c:yVal>
            <c:numRef>
              <c:f>'2022_Data'!$E$58</c:f>
              <c:numCache/>
            </c:numRef>
          </c:yVal>
          <c:bubbleSize>
            <c:numRef>
              <c:f>'2022_Data'!$G$58</c:f>
            </c:numRef>
          </c:bubbleSize>
        </c:ser>
        <c:ser>
          <c:idx val="57"/>
          <c:order val="57"/>
          <c:tx>
            <c:strRef>
              <c:f>'2022_Data'!$A$59</c:f>
            </c:strRef>
          </c:tx>
          <c:dLbls>
            <c:dLblPos val="ctr"/>
            <c:showLegendKey val="0"/>
            <c:showVal val="0"/>
            <c:showCatName val="0"/>
            <c:showSerName val="1"/>
            <c:showPercent val="0"/>
            <c:showBubbleSize val="0"/>
          </c:dLbls>
          <c:xVal>
            <c:strRef>
              <c:f>'2022_Data'!$F$59</c:f>
            </c:strRef>
          </c:xVal>
          <c:yVal>
            <c:numRef>
              <c:f>'2022_Data'!$E$59</c:f>
              <c:numCache/>
            </c:numRef>
          </c:yVal>
          <c:bubbleSize>
            <c:numRef>
              <c:f>'2022_Data'!$G$59</c:f>
            </c:numRef>
          </c:bubbleSize>
        </c:ser>
        <c:ser>
          <c:idx val="58"/>
          <c:order val="58"/>
          <c:tx>
            <c:strRef>
              <c:f>'2022_Data'!$A$60</c:f>
            </c:strRef>
          </c:tx>
          <c:dLbls>
            <c:dLblPos val="ctr"/>
            <c:showLegendKey val="0"/>
            <c:showVal val="0"/>
            <c:showCatName val="0"/>
            <c:showSerName val="1"/>
            <c:showPercent val="0"/>
            <c:showBubbleSize val="0"/>
          </c:dLbls>
          <c:xVal>
            <c:strRef>
              <c:f>'2022_Data'!$F$60</c:f>
            </c:strRef>
          </c:xVal>
          <c:yVal>
            <c:numRef>
              <c:f>'2022_Data'!$E$60</c:f>
              <c:numCache/>
            </c:numRef>
          </c:yVal>
          <c:bubbleSize>
            <c:numRef>
              <c:f>'2022_Data'!$G$60</c:f>
            </c:numRef>
          </c:bubbleSize>
        </c:ser>
        <c:ser>
          <c:idx val="59"/>
          <c:order val="59"/>
          <c:tx>
            <c:strRef>
              <c:f>'2022_Data'!$A$61</c:f>
            </c:strRef>
          </c:tx>
          <c:dLbls>
            <c:dLblPos val="ctr"/>
            <c:showLegendKey val="0"/>
            <c:showVal val="0"/>
            <c:showCatName val="0"/>
            <c:showSerName val="1"/>
            <c:showPercent val="0"/>
            <c:showBubbleSize val="0"/>
          </c:dLbls>
          <c:xVal>
            <c:strRef>
              <c:f>'2022_Data'!$F$61</c:f>
            </c:strRef>
          </c:xVal>
          <c:yVal>
            <c:numRef>
              <c:f>'2022_Data'!$E$61</c:f>
              <c:numCache/>
            </c:numRef>
          </c:yVal>
          <c:bubbleSize>
            <c:numRef>
              <c:f>'2022_Data'!$G$61</c:f>
            </c:numRef>
          </c:bubbleSize>
        </c:ser>
        <c:ser>
          <c:idx val="60"/>
          <c:order val="60"/>
          <c:tx>
            <c:strRef>
              <c:f>'2022_Data'!$A$62</c:f>
            </c:strRef>
          </c:tx>
          <c:dLbls>
            <c:dLblPos val="ctr"/>
            <c:showLegendKey val="0"/>
            <c:showVal val="0"/>
            <c:showCatName val="0"/>
            <c:showSerName val="1"/>
            <c:showPercent val="0"/>
            <c:showBubbleSize val="0"/>
          </c:dLbls>
          <c:xVal>
            <c:strRef>
              <c:f>'2022_Data'!$F$62</c:f>
            </c:strRef>
          </c:xVal>
          <c:yVal>
            <c:numRef>
              <c:f>'2022_Data'!$E$62</c:f>
              <c:numCache/>
            </c:numRef>
          </c:yVal>
          <c:bubbleSize>
            <c:numRef>
              <c:f>'2022_Data'!$G$62</c:f>
            </c:numRef>
          </c:bubbleSize>
        </c:ser>
        <c:ser>
          <c:idx val="61"/>
          <c:order val="61"/>
          <c:tx>
            <c:strRef>
              <c:f>'2022_Data'!$A$63</c:f>
            </c:strRef>
          </c:tx>
          <c:dLbls>
            <c:dLblPos val="ctr"/>
            <c:showLegendKey val="0"/>
            <c:showVal val="0"/>
            <c:showCatName val="0"/>
            <c:showSerName val="1"/>
            <c:showPercent val="0"/>
            <c:showBubbleSize val="0"/>
          </c:dLbls>
          <c:xVal>
            <c:strRef>
              <c:f>'2022_Data'!$F$63</c:f>
            </c:strRef>
          </c:xVal>
          <c:yVal>
            <c:numRef>
              <c:f>'2022_Data'!$E$63</c:f>
              <c:numCache/>
            </c:numRef>
          </c:yVal>
          <c:bubbleSize>
            <c:numRef>
              <c:f>'2022_Data'!$G$63</c:f>
            </c:numRef>
          </c:bubbleSize>
        </c:ser>
        <c:ser>
          <c:idx val="62"/>
          <c:order val="62"/>
          <c:tx>
            <c:strRef>
              <c:f>'2022_Data'!$A$64</c:f>
            </c:strRef>
          </c:tx>
          <c:dLbls>
            <c:dLblPos val="ctr"/>
            <c:showLegendKey val="0"/>
            <c:showVal val="0"/>
            <c:showCatName val="0"/>
            <c:showSerName val="1"/>
            <c:showPercent val="0"/>
            <c:showBubbleSize val="0"/>
          </c:dLbls>
          <c:xVal>
            <c:strRef>
              <c:f>'2022_Data'!$F$64</c:f>
            </c:strRef>
          </c:xVal>
          <c:yVal>
            <c:numRef>
              <c:f>'2022_Data'!$E$64</c:f>
              <c:numCache/>
            </c:numRef>
          </c:yVal>
          <c:bubbleSize>
            <c:numRef>
              <c:f>'2022_Data'!$G$64</c:f>
            </c:numRef>
          </c:bubbleSize>
        </c:ser>
        <c:ser>
          <c:idx val="63"/>
          <c:order val="63"/>
          <c:tx>
            <c:strRef>
              <c:f>'2022_Data'!$A$65</c:f>
            </c:strRef>
          </c:tx>
          <c:dLbls>
            <c:dLblPos val="ctr"/>
            <c:showLegendKey val="0"/>
            <c:showVal val="0"/>
            <c:showCatName val="0"/>
            <c:showSerName val="1"/>
            <c:showPercent val="0"/>
            <c:showBubbleSize val="0"/>
          </c:dLbls>
          <c:xVal>
            <c:strRef>
              <c:f>'2022_Data'!$F$65</c:f>
            </c:strRef>
          </c:xVal>
          <c:yVal>
            <c:numRef>
              <c:f>'2022_Data'!$E$65</c:f>
              <c:numCache/>
            </c:numRef>
          </c:yVal>
          <c:bubbleSize>
            <c:numRef>
              <c:f>'2022_Data'!$G$65</c:f>
            </c:numRef>
          </c:bubbleSize>
        </c:ser>
        <c:ser>
          <c:idx val="64"/>
          <c:order val="64"/>
          <c:tx>
            <c:strRef>
              <c:f>'2022_Data'!$A$66</c:f>
            </c:strRef>
          </c:tx>
          <c:dLbls>
            <c:dLblPos val="ctr"/>
            <c:showLegendKey val="0"/>
            <c:showVal val="0"/>
            <c:showCatName val="0"/>
            <c:showSerName val="1"/>
            <c:showPercent val="0"/>
            <c:showBubbleSize val="0"/>
          </c:dLbls>
          <c:xVal>
            <c:strRef>
              <c:f>'2022_Data'!$F$66</c:f>
            </c:strRef>
          </c:xVal>
          <c:yVal>
            <c:numRef>
              <c:f>'2022_Data'!$E$66</c:f>
              <c:numCache/>
            </c:numRef>
          </c:yVal>
          <c:bubbleSize>
            <c:numRef>
              <c:f>'2022_Data'!$G$66</c:f>
            </c:numRef>
          </c:bubbleSize>
        </c:ser>
        <c:ser>
          <c:idx val="65"/>
          <c:order val="65"/>
          <c:tx>
            <c:strRef>
              <c:f>'2022_Data'!$A$67</c:f>
            </c:strRef>
          </c:tx>
          <c:dLbls>
            <c:dLblPos val="ctr"/>
            <c:showLegendKey val="0"/>
            <c:showVal val="0"/>
            <c:showCatName val="0"/>
            <c:showSerName val="1"/>
            <c:showPercent val="0"/>
            <c:showBubbleSize val="0"/>
          </c:dLbls>
          <c:xVal>
            <c:strRef>
              <c:f>'2022_Data'!$F$67</c:f>
            </c:strRef>
          </c:xVal>
          <c:yVal>
            <c:numRef>
              <c:f>'2022_Data'!$E$67</c:f>
              <c:numCache/>
            </c:numRef>
          </c:yVal>
          <c:bubbleSize>
            <c:numRef>
              <c:f>'2022_Data'!$G$67</c:f>
            </c:numRef>
          </c:bubbleSize>
        </c:ser>
        <c:ser>
          <c:idx val="66"/>
          <c:order val="66"/>
          <c:tx>
            <c:strRef>
              <c:f>'2022_Data'!$A$68</c:f>
            </c:strRef>
          </c:tx>
          <c:dLbls>
            <c:dLblPos val="ctr"/>
            <c:showLegendKey val="0"/>
            <c:showVal val="0"/>
            <c:showCatName val="0"/>
            <c:showSerName val="1"/>
            <c:showPercent val="0"/>
            <c:showBubbleSize val="0"/>
          </c:dLbls>
          <c:xVal>
            <c:strRef>
              <c:f>'2022_Data'!$F$68</c:f>
            </c:strRef>
          </c:xVal>
          <c:yVal>
            <c:numRef>
              <c:f>'2022_Data'!$E$68</c:f>
              <c:numCache/>
            </c:numRef>
          </c:yVal>
          <c:bubbleSize>
            <c:numRef>
              <c:f>'2022_Data'!$G$68</c:f>
            </c:numRef>
          </c:bubbleSize>
        </c:ser>
        <c:ser>
          <c:idx val="67"/>
          <c:order val="67"/>
          <c:tx>
            <c:strRef>
              <c:f>'2022_Data'!$A$69</c:f>
            </c:strRef>
          </c:tx>
          <c:dLbls>
            <c:dLblPos val="ctr"/>
            <c:showLegendKey val="0"/>
            <c:showVal val="0"/>
            <c:showCatName val="0"/>
            <c:showSerName val="1"/>
            <c:showPercent val="0"/>
            <c:showBubbleSize val="0"/>
          </c:dLbls>
          <c:xVal>
            <c:strRef>
              <c:f>'2022_Data'!$F$69</c:f>
            </c:strRef>
          </c:xVal>
          <c:yVal>
            <c:numRef>
              <c:f>'2022_Data'!$E$69</c:f>
              <c:numCache/>
            </c:numRef>
          </c:yVal>
          <c:bubbleSize>
            <c:numRef>
              <c:f>'2022_Data'!$G$69</c:f>
            </c:numRef>
          </c:bubbleSize>
        </c:ser>
        <c:ser>
          <c:idx val="68"/>
          <c:order val="68"/>
          <c:tx>
            <c:strRef>
              <c:f>'2022_Data'!$A$70</c:f>
            </c:strRef>
          </c:tx>
          <c:dLbls>
            <c:dLblPos val="ctr"/>
            <c:showLegendKey val="0"/>
            <c:showVal val="0"/>
            <c:showCatName val="0"/>
            <c:showSerName val="1"/>
            <c:showPercent val="0"/>
            <c:showBubbleSize val="0"/>
          </c:dLbls>
          <c:xVal>
            <c:strRef>
              <c:f>'2022_Data'!$F$70</c:f>
            </c:strRef>
          </c:xVal>
          <c:yVal>
            <c:numRef>
              <c:f>'2022_Data'!$E$70</c:f>
              <c:numCache/>
            </c:numRef>
          </c:yVal>
          <c:bubbleSize>
            <c:numRef>
              <c:f>'2022_Data'!$G$70</c:f>
            </c:numRef>
          </c:bubbleSize>
        </c:ser>
        <c:ser>
          <c:idx val="69"/>
          <c:order val="69"/>
          <c:tx>
            <c:strRef>
              <c:f>'2022_Data'!$A$71</c:f>
            </c:strRef>
          </c:tx>
          <c:dLbls>
            <c:dLblPos val="ctr"/>
            <c:showLegendKey val="0"/>
            <c:showVal val="0"/>
            <c:showCatName val="0"/>
            <c:showSerName val="1"/>
            <c:showPercent val="0"/>
            <c:showBubbleSize val="0"/>
          </c:dLbls>
          <c:xVal>
            <c:strRef>
              <c:f>'2022_Data'!$F$71</c:f>
            </c:strRef>
          </c:xVal>
          <c:yVal>
            <c:numRef>
              <c:f>'2022_Data'!$E$71</c:f>
              <c:numCache/>
            </c:numRef>
          </c:yVal>
          <c:bubbleSize>
            <c:numRef>
              <c:f>'2022_Data'!$G$71</c:f>
            </c:numRef>
          </c:bubbleSize>
        </c:ser>
        <c:ser>
          <c:idx val="70"/>
          <c:order val="70"/>
          <c:tx>
            <c:strRef>
              <c:f>'2022_Data'!$A$72</c:f>
            </c:strRef>
          </c:tx>
          <c:dLbls>
            <c:dLblPos val="ctr"/>
            <c:showLegendKey val="0"/>
            <c:showVal val="0"/>
            <c:showCatName val="0"/>
            <c:showSerName val="1"/>
            <c:showPercent val="0"/>
            <c:showBubbleSize val="0"/>
          </c:dLbls>
          <c:xVal>
            <c:strRef>
              <c:f>'2022_Data'!$F$72</c:f>
            </c:strRef>
          </c:xVal>
          <c:yVal>
            <c:numRef>
              <c:f>'2022_Data'!$E$72</c:f>
              <c:numCache/>
            </c:numRef>
          </c:yVal>
          <c:bubbleSize>
            <c:numRef>
              <c:f>'2022_Data'!$G$72</c:f>
            </c:numRef>
          </c:bubbleSize>
        </c:ser>
        <c:ser>
          <c:idx val="71"/>
          <c:order val="71"/>
          <c:tx>
            <c:strRef>
              <c:f>'2022_Data'!$A$73</c:f>
            </c:strRef>
          </c:tx>
          <c:dLbls>
            <c:dLblPos val="ctr"/>
            <c:showLegendKey val="0"/>
            <c:showVal val="0"/>
            <c:showCatName val="0"/>
            <c:showSerName val="1"/>
            <c:showPercent val="0"/>
            <c:showBubbleSize val="0"/>
          </c:dLbls>
          <c:xVal>
            <c:strRef>
              <c:f>'2022_Data'!$F$73</c:f>
            </c:strRef>
          </c:xVal>
          <c:yVal>
            <c:numRef>
              <c:f>'2022_Data'!$E$73</c:f>
              <c:numCache/>
            </c:numRef>
          </c:yVal>
          <c:bubbleSize>
            <c:numRef>
              <c:f>'2022_Data'!$G$73</c:f>
            </c:numRef>
          </c:bubbleSize>
        </c:ser>
        <c:ser>
          <c:idx val="72"/>
          <c:order val="72"/>
          <c:tx>
            <c:strRef>
              <c:f>'2022_Data'!$A$74</c:f>
            </c:strRef>
          </c:tx>
          <c:dLbls>
            <c:dLblPos val="ctr"/>
            <c:showLegendKey val="0"/>
            <c:showVal val="0"/>
            <c:showCatName val="0"/>
            <c:showSerName val="1"/>
            <c:showPercent val="0"/>
            <c:showBubbleSize val="0"/>
          </c:dLbls>
          <c:xVal>
            <c:strRef>
              <c:f>'2022_Data'!$F$74</c:f>
            </c:strRef>
          </c:xVal>
          <c:yVal>
            <c:numRef>
              <c:f>'2022_Data'!$E$74</c:f>
              <c:numCache/>
            </c:numRef>
          </c:yVal>
          <c:bubbleSize>
            <c:numRef>
              <c:f>'2022_Data'!$G$74</c:f>
            </c:numRef>
          </c:bubbleSize>
        </c:ser>
        <c:ser>
          <c:idx val="73"/>
          <c:order val="73"/>
          <c:tx>
            <c:strRef>
              <c:f>'2022_Data'!$A$75</c:f>
            </c:strRef>
          </c:tx>
          <c:dLbls>
            <c:dLblPos val="ctr"/>
            <c:showLegendKey val="0"/>
            <c:showVal val="0"/>
            <c:showCatName val="0"/>
            <c:showSerName val="1"/>
            <c:showPercent val="0"/>
            <c:showBubbleSize val="0"/>
          </c:dLbls>
          <c:xVal>
            <c:strRef>
              <c:f>'2022_Data'!$F$75</c:f>
            </c:strRef>
          </c:xVal>
          <c:yVal>
            <c:numRef>
              <c:f>'2022_Data'!$E$75</c:f>
              <c:numCache/>
            </c:numRef>
          </c:yVal>
          <c:bubbleSize>
            <c:numRef>
              <c:f>'2022_Data'!$G$75</c:f>
            </c:numRef>
          </c:bubbleSize>
        </c:ser>
        <c:ser>
          <c:idx val="74"/>
          <c:order val="74"/>
          <c:tx>
            <c:strRef>
              <c:f>'2022_Data'!$A$76</c:f>
            </c:strRef>
          </c:tx>
          <c:dLbls>
            <c:dLblPos val="ctr"/>
            <c:showLegendKey val="0"/>
            <c:showVal val="0"/>
            <c:showCatName val="0"/>
            <c:showSerName val="1"/>
            <c:showPercent val="0"/>
            <c:showBubbleSize val="0"/>
          </c:dLbls>
          <c:xVal>
            <c:strRef>
              <c:f>'2022_Data'!$F$76</c:f>
            </c:strRef>
          </c:xVal>
          <c:yVal>
            <c:numRef>
              <c:f>'2022_Data'!$E$76</c:f>
              <c:numCache/>
            </c:numRef>
          </c:yVal>
          <c:bubbleSize>
            <c:numRef>
              <c:f>'2022_Data'!$G$76</c:f>
            </c:numRef>
          </c:bubbleSize>
        </c:ser>
        <c:ser>
          <c:idx val="75"/>
          <c:order val="75"/>
          <c:tx>
            <c:strRef>
              <c:f>'2022_Data'!$A$77</c:f>
            </c:strRef>
          </c:tx>
          <c:dLbls>
            <c:dLblPos val="ctr"/>
            <c:showLegendKey val="0"/>
            <c:showVal val="0"/>
            <c:showCatName val="0"/>
            <c:showSerName val="1"/>
            <c:showPercent val="0"/>
            <c:showBubbleSize val="0"/>
          </c:dLbls>
          <c:xVal>
            <c:strRef>
              <c:f>'2022_Data'!$F$77</c:f>
            </c:strRef>
          </c:xVal>
          <c:yVal>
            <c:numRef>
              <c:f>'2022_Data'!$E$77</c:f>
              <c:numCache/>
            </c:numRef>
          </c:yVal>
          <c:bubbleSize>
            <c:numRef>
              <c:f>'2022_Data'!$G$77</c:f>
            </c:numRef>
          </c:bubbleSize>
        </c:ser>
        <c:ser>
          <c:idx val="76"/>
          <c:order val="76"/>
          <c:tx>
            <c:strRef>
              <c:f>'2022_Data'!$A$78</c:f>
            </c:strRef>
          </c:tx>
          <c:dLbls>
            <c:dLblPos val="ctr"/>
            <c:showLegendKey val="0"/>
            <c:showVal val="0"/>
            <c:showCatName val="0"/>
            <c:showSerName val="1"/>
            <c:showPercent val="0"/>
            <c:showBubbleSize val="0"/>
          </c:dLbls>
          <c:xVal>
            <c:strRef>
              <c:f>'2022_Data'!$F$78</c:f>
            </c:strRef>
          </c:xVal>
          <c:yVal>
            <c:numRef>
              <c:f>'2022_Data'!$E$78</c:f>
              <c:numCache/>
            </c:numRef>
          </c:yVal>
          <c:bubbleSize>
            <c:numRef>
              <c:f>'2022_Data'!$G$78</c:f>
            </c:numRef>
          </c:bubbleSize>
        </c:ser>
        <c:ser>
          <c:idx val="77"/>
          <c:order val="77"/>
          <c:tx>
            <c:strRef>
              <c:f>'2022_Data'!$A$79</c:f>
            </c:strRef>
          </c:tx>
          <c:dLbls>
            <c:dLblPos val="ctr"/>
            <c:showLegendKey val="0"/>
            <c:showVal val="0"/>
            <c:showCatName val="0"/>
            <c:showSerName val="1"/>
            <c:showPercent val="0"/>
            <c:showBubbleSize val="0"/>
          </c:dLbls>
          <c:xVal>
            <c:strRef>
              <c:f>'2022_Data'!$F$79</c:f>
            </c:strRef>
          </c:xVal>
          <c:yVal>
            <c:numRef>
              <c:f>'2022_Data'!$E$79</c:f>
              <c:numCache/>
            </c:numRef>
          </c:yVal>
          <c:bubbleSize>
            <c:numRef>
              <c:f>'2022_Data'!$G$79</c:f>
            </c:numRef>
          </c:bubbleSize>
        </c:ser>
        <c:ser>
          <c:idx val="78"/>
          <c:order val="78"/>
          <c:tx>
            <c:strRef>
              <c:f>'2022_Data'!$A$80</c:f>
            </c:strRef>
          </c:tx>
          <c:dLbls>
            <c:dLblPos val="ctr"/>
            <c:showLegendKey val="0"/>
            <c:showVal val="0"/>
            <c:showCatName val="0"/>
            <c:showSerName val="1"/>
            <c:showPercent val="0"/>
            <c:showBubbleSize val="0"/>
          </c:dLbls>
          <c:xVal>
            <c:strRef>
              <c:f>'2022_Data'!$F$80</c:f>
            </c:strRef>
          </c:xVal>
          <c:yVal>
            <c:numRef>
              <c:f>'2022_Data'!$E$80</c:f>
              <c:numCache/>
            </c:numRef>
          </c:yVal>
          <c:bubbleSize>
            <c:numRef>
              <c:f>'2022_Data'!$G$80</c:f>
            </c:numRef>
          </c:bubbleSize>
        </c:ser>
        <c:ser>
          <c:idx val="79"/>
          <c:order val="79"/>
          <c:tx>
            <c:strRef>
              <c:f>'2022_Data'!$A$81</c:f>
            </c:strRef>
          </c:tx>
          <c:dLbls>
            <c:dLblPos val="ctr"/>
            <c:showLegendKey val="0"/>
            <c:showVal val="0"/>
            <c:showCatName val="0"/>
            <c:showSerName val="1"/>
            <c:showPercent val="0"/>
            <c:showBubbleSize val="0"/>
          </c:dLbls>
          <c:xVal>
            <c:strRef>
              <c:f>'2022_Data'!$F$81</c:f>
            </c:strRef>
          </c:xVal>
          <c:yVal>
            <c:numRef>
              <c:f>'2022_Data'!$E$81</c:f>
              <c:numCache/>
            </c:numRef>
          </c:yVal>
          <c:bubbleSize>
            <c:numRef>
              <c:f>'2022_Data'!$G$81</c:f>
            </c:numRef>
          </c:bubbleSize>
        </c:ser>
        <c:ser>
          <c:idx val="80"/>
          <c:order val="80"/>
          <c:tx>
            <c:strRef>
              <c:f>'2022_Data'!$A$82</c:f>
            </c:strRef>
          </c:tx>
          <c:dLbls>
            <c:dLblPos val="ctr"/>
            <c:showLegendKey val="0"/>
            <c:showVal val="0"/>
            <c:showCatName val="0"/>
            <c:showSerName val="1"/>
            <c:showPercent val="0"/>
            <c:showBubbleSize val="0"/>
          </c:dLbls>
          <c:xVal>
            <c:strRef>
              <c:f>'2022_Data'!$F$82</c:f>
            </c:strRef>
          </c:xVal>
          <c:yVal>
            <c:numRef>
              <c:f>'2022_Data'!$E$82</c:f>
              <c:numCache/>
            </c:numRef>
          </c:yVal>
          <c:bubbleSize>
            <c:numRef>
              <c:f>'2022_Data'!$G$82</c:f>
            </c:numRef>
          </c:bubbleSize>
        </c:ser>
        <c:ser>
          <c:idx val="81"/>
          <c:order val="81"/>
          <c:tx>
            <c:strRef>
              <c:f>'2022_Data'!$A$83</c:f>
            </c:strRef>
          </c:tx>
          <c:dLbls>
            <c:dLblPos val="ctr"/>
            <c:showLegendKey val="0"/>
            <c:showVal val="0"/>
            <c:showCatName val="0"/>
            <c:showSerName val="1"/>
            <c:showPercent val="0"/>
            <c:showBubbleSize val="0"/>
          </c:dLbls>
          <c:xVal>
            <c:strRef>
              <c:f>'2022_Data'!$F$83</c:f>
            </c:strRef>
          </c:xVal>
          <c:yVal>
            <c:numRef>
              <c:f>'2022_Data'!$E$83</c:f>
              <c:numCache/>
            </c:numRef>
          </c:yVal>
          <c:bubbleSize>
            <c:numRef>
              <c:f>'2022_Data'!$G$83</c:f>
            </c:numRef>
          </c:bubbleSize>
        </c:ser>
        <c:ser>
          <c:idx val="82"/>
          <c:order val="82"/>
          <c:tx>
            <c:strRef>
              <c:f>'2022_Data'!$A$84</c:f>
            </c:strRef>
          </c:tx>
          <c:dLbls>
            <c:dLblPos val="ctr"/>
            <c:showLegendKey val="0"/>
            <c:showVal val="0"/>
            <c:showCatName val="0"/>
            <c:showSerName val="1"/>
            <c:showPercent val="0"/>
            <c:showBubbleSize val="0"/>
          </c:dLbls>
          <c:xVal>
            <c:strRef>
              <c:f>'2022_Data'!$F$84</c:f>
            </c:strRef>
          </c:xVal>
          <c:yVal>
            <c:numRef>
              <c:f>'2022_Data'!$E$84</c:f>
              <c:numCache/>
            </c:numRef>
          </c:yVal>
          <c:bubbleSize>
            <c:numRef>
              <c:f>'2022_Data'!$G$84</c:f>
            </c:numRef>
          </c:bubbleSize>
        </c:ser>
        <c:ser>
          <c:idx val="83"/>
          <c:order val="83"/>
          <c:tx>
            <c:strRef>
              <c:f>'2022_Data'!$A$85</c:f>
            </c:strRef>
          </c:tx>
          <c:dLbls>
            <c:dLblPos val="ctr"/>
            <c:showLegendKey val="0"/>
            <c:showVal val="0"/>
            <c:showCatName val="0"/>
            <c:showSerName val="1"/>
            <c:showPercent val="0"/>
            <c:showBubbleSize val="0"/>
          </c:dLbls>
          <c:xVal>
            <c:strRef>
              <c:f>'2022_Data'!$F$85</c:f>
            </c:strRef>
          </c:xVal>
          <c:yVal>
            <c:numRef>
              <c:f>'2022_Data'!$E$85</c:f>
              <c:numCache/>
            </c:numRef>
          </c:yVal>
          <c:bubbleSize>
            <c:numRef>
              <c:f>'2022_Data'!$G$85</c:f>
            </c:numRef>
          </c:bubbleSize>
        </c:ser>
        <c:ser>
          <c:idx val="84"/>
          <c:order val="84"/>
          <c:tx>
            <c:strRef>
              <c:f>'2022_Data'!$A$86</c:f>
            </c:strRef>
          </c:tx>
          <c:dLbls>
            <c:dLblPos val="ctr"/>
            <c:showLegendKey val="0"/>
            <c:showVal val="0"/>
            <c:showCatName val="0"/>
            <c:showSerName val="1"/>
            <c:showPercent val="0"/>
            <c:showBubbleSize val="0"/>
          </c:dLbls>
          <c:xVal>
            <c:strRef>
              <c:f>'2022_Data'!$F$86</c:f>
            </c:strRef>
          </c:xVal>
          <c:yVal>
            <c:numRef>
              <c:f>'2022_Data'!$E$86</c:f>
              <c:numCache/>
            </c:numRef>
          </c:yVal>
          <c:bubbleSize>
            <c:numRef>
              <c:f>'2022_Data'!$G$86</c:f>
            </c:numRef>
          </c:bubbleSize>
        </c:ser>
        <c:ser>
          <c:idx val="85"/>
          <c:order val="85"/>
          <c:tx>
            <c:strRef>
              <c:f>'2022_Data'!$A$87</c:f>
            </c:strRef>
          </c:tx>
          <c:dLbls>
            <c:dLblPos val="ctr"/>
            <c:showLegendKey val="0"/>
            <c:showVal val="0"/>
            <c:showCatName val="0"/>
            <c:showSerName val="1"/>
            <c:showPercent val="0"/>
            <c:showBubbleSize val="0"/>
          </c:dLbls>
          <c:xVal>
            <c:strRef>
              <c:f>'2022_Data'!$F$87</c:f>
            </c:strRef>
          </c:xVal>
          <c:yVal>
            <c:numRef>
              <c:f>'2022_Data'!$E$87</c:f>
              <c:numCache/>
            </c:numRef>
          </c:yVal>
          <c:bubbleSize>
            <c:numRef>
              <c:f>'2022_Data'!$G$87</c:f>
            </c:numRef>
          </c:bubbleSize>
        </c:ser>
        <c:ser>
          <c:idx val="86"/>
          <c:order val="86"/>
          <c:tx>
            <c:strRef>
              <c:f>'2022_Data'!$A$88</c:f>
            </c:strRef>
          </c:tx>
          <c:dLbls>
            <c:dLblPos val="ctr"/>
            <c:showLegendKey val="0"/>
            <c:showVal val="0"/>
            <c:showCatName val="0"/>
            <c:showSerName val="1"/>
            <c:showPercent val="0"/>
            <c:showBubbleSize val="0"/>
          </c:dLbls>
          <c:xVal>
            <c:strRef>
              <c:f>'2022_Data'!$F$88</c:f>
            </c:strRef>
          </c:xVal>
          <c:yVal>
            <c:numRef>
              <c:f>'2022_Data'!$E$88</c:f>
              <c:numCache/>
            </c:numRef>
          </c:yVal>
          <c:bubbleSize>
            <c:numRef>
              <c:f>'2022_Data'!$G$88</c:f>
            </c:numRef>
          </c:bubbleSize>
        </c:ser>
        <c:ser>
          <c:idx val="87"/>
          <c:order val="87"/>
          <c:tx>
            <c:strRef>
              <c:f>'2022_Data'!$A$89</c:f>
            </c:strRef>
          </c:tx>
          <c:dLbls>
            <c:dLblPos val="ctr"/>
            <c:showLegendKey val="0"/>
            <c:showVal val="0"/>
            <c:showCatName val="0"/>
            <c:showSerName val="1"/>
            <c:showPercent val="0"/>
            <c:showBubbleSize val="0"/>
          </c:dLbls>
          <c:xVal>
            <c:strRef>
              <c:f>'2022_Data'!$F$89</c:f>
            </c:strRef>
          </c:xVal>
          <c:yVal>
            <c:numRef>
              <c:f>'2022_Data'!$E$89</c:f>
              <c:numCache/>
            </c:numRef>
          </c:yVal>
          <c:bubbleSize>
            <c:numRef>
              <c:f>'2022_Data'!$G$89</c:f>
            </c:numRef>
          </c:bubbleSize>
        </c:ser>
        <c:ser>
          <c:idx val="88"/>
          <c:order val="88"/>
          <c:tx>
            <c:strRef>
              <c:f>'2022_Data'!$A$90</c:f>
            </c:strRef>
          </c:tx>
          <c:dLbls>
            <c:dLblPos val="ctr"/>
            <c:showLegendKey val="0"/>
            <c:showVal val="0"/>
            <c:showCatName val="0"/>
            <c:showSerName val="1"/>
            <c:showPercent val="0"/>
            <c:showBubbleSize val="0"/>
          </c:dLbls>
          <c:xVal>
            <c:strRef>
              <c:f>'2022_Data'!$F$90</c:f>
            </c:strRef>
          </c:xVal>
          <c:yVal>
            <c:numRef>
              <c:f>'2022_Data'!$E$90</c:f>
              <c:numCache/>
            </c:numRef>
          </c:yVal>
          <c:bubbleSize>
            <c:numRef>
              <c:f>'2022_Data'!$G$90</c:f>
            </c:numRef>
          </c:bubbleSize>
        </c:ser>
        <c:ser>
          <c:idx val="89"/>
          <c:order val="89"/>
          <c:tx>
            <c:strRef>
              <c:f>'2022_Data'!$A$91</c:f>
            </c:strRef>
          </c:tx>
          <c:dLbls>
            <c:dLblPos val="ctr"/>
            <c:showLegendKey val="0"/>
            <c:showVal val="0"/>
            <c:showCatName val="0"/>
            <c:showSerName val="1"/>
            <c:showPercent val="0"/>
            <c:showBubbleSize val="0"/>
          </c:dLbls>
          <c:xVal>
            <c:strRef>
              <c:f>'2022_Data'!$F$91</c:f>
            </c:strRef>
          </c:xVal>
          <c:yVal>
            <c:numRef>
              <c:f>'2022_Data'!$E$91</c:f>
              <c:numCache/>
            </c:numRef>
          </c:yVal>
          <c:bubbleSize>
            <c:numRef>
              <c:f>'2022_Data'!$G$91</c:f>
            </c:numRef>
          </c:bubbleSize>
        </c:ser>
        <c:ser>
          <c:idx val="90"/>
          <c:order val="90"/>
          <c:tx>
            <c:strRef>
              <c:f>'2022_Data'!$A$92</c:f>
            </c:strRef>
          </c:tx>
          <c:dLbls>
            <c:dLblPos val="ctr"/>
            <c:showLegendKey val="0"/>
            <c:showVal val="0"/>
            <c:showCatName val="0"/>
            <c:showSerName val="1"/>
            <c:showPercent val="0"/>
            <c:showBubbleSize val="0"/>
          </c:dLbls>
          <c:xVal>
            <c:strRef>
              <c:f>'2022_Data'!$F$92</c:f>
            </c:strRef>
          </c:xVal>
          <c:yVal>
            <c:numRef>
              <c:f>'2022_Data'!$E$92</c:f>
              <c:numCache/>
            </c:numRef>
          </c:yVal>
          <c:bubbleSize>
            <c:numRef>
              <c:f>'2022_Data'!$G$92</c:f>
            </c:numRef>
          </c:bubbleSize>
        </c:ser>
        <c:ser>
          <c:idx val="91"/>
          <c:order val="91"/>
          <c:tx>
            <c:strRef>
              <c:f>'2022_Data'!$A$93</c:f>
            </c:strRef>
          </c:tx>
          <c:dLbls>
            <c:dLblPos val="ctr"/>
            <c:showLegendKey val="0"/>
            <c:showVal val="0"/>
            <c:showCatName val="0"/>
            <c:showSerName val="1"/>
            <c:showPercent val="0"/>
            <c:showBubbleSize val="0"/>
          </c:dLbls>
          <c:xVal>
            <c:strRef>
              <c:f>'2022_Data'!$F$93</c:f>
            </c:strRef>
          </c:xVal>
          <c:yVal>
            <c:numRef>
              <c:f>'2022_Data'!$E$93</c:f>
              <c:numCache/>
            </c:numRef>
          </c:yVal>
          <c:bubbleSize>
            <c:numRef>
              <c:f>'2022_Data'!$G$93</c:f>
            </c:numRef>
          </c:bubbleSize>
        </c:ser>
        <c:ser>
          <c:idx val="92"/>
          <c:order val="92"/>
          <c:tx>
            <c:strRef>
              <c:f>'2022_Data'!$A$94</c:f>
            </c:strRef>
          </c:tx>
          <c:dLbls>
            <c:dLblPos val="ctr"/>
            <c:showLegendKey val="0"/>
            <c:showVal val="0"/>
            <c:showCatName val="0"/>
            <c:showSerName val="1"/>
            <c:showPercent val="0"/>
            <c:showBubbleSize val="0"/>
          </c:dLbls>
          <c:xVal>
            <c:strRef>
              <c:f>'2022_Data'!$F$94</c:f>
            </c:strRef>
          </c:xVal>
          <c:yVal>
            <c:numRef>
              <c:f>'2022_Data'!$E$94</c:f>
              <c:numCache/>
            </c:numRef>
          </c:yVal>
          <c:bubbleSize>
            <c:numRef>
              <c:f>'2022_Data'!$G$94</c:f>
            </c:numRef>
          </c:bubbleSize>
        </c:ser>
        <c:ser>
          <c:idx val="93"/>
          <c:order val="93"/>
          <c:tx>
            <c:strRef>
              <c:f>'2022_Data'!$A$95</c:f>
            </c:strRef>
          </c:tx>
          <c:dLbls>
            <c:dLblPos val="ctr"/>
            <c:showLegendKey val="0"/>
            <c:showVal val="0"/>
            <c:showCatName val="0"/>
            <c:showSerName val="1"/>
            <c:showPercent val="0"/>
            <c:showBubbleSize val="0"/>
          </c:dLbls>
          <c:xVal>
            <c:strRef>
              <c:f>'2022_Data'!$F$95</c:f>
            </c:strRef>
          </c:xVal>
          <c:yVal>
            <c:numRef>
              <c:f>'2022_Data'!$E$95</c:f>
              <c:numCache/>
            </c:numRef>
          </c:yVal>
          <c:bubbleSize>
            <c:numRef>
              <c:f>'2022_Data'!$G$95</c:f>
            </c:numRef>
          </c:bubbleSize>
        </c:ser>
        <c:ser>
          <c:idx val="94"/>
          <c:order val="94"/>
          <c:tx>
            <c:strRef>
              <c:f>'2022_Data'!$A$96</c:f>
            </c:strRef>
          </c:tx>
          <c:dLbls>
            <c:dLblPos val="ctr"/>
            <c:showLegendKey val="0"/>
            <c:showVal val="0"/>
            <c:showCatName val="0"/>
            <c:showSerName val="1"/>
            <c:showPercent val="0"/>
            <c:showBubbleSize val="0"/>
          </c:dLbls>
          <c:xVal>
            <c:strRef>
              <c:f>'2022_Data'!$F$96</c:f>
            </c:strRef>
          </c:xVal>
          <c:yVal>
            <c:numRef>
              <c:f>'2022_Data'!$E$96</c:f>
              <c:numCache/>
            </c:numRef>
          </c:yVal>
          <c:bubbleSize>
            <c:numRef>
              <c:f>'2022_Data'!$G$96</c:f>
            </c:numRef>
          </c:bubbleSize>
        </c:ser>
        <c:ser>
          <c:idx val="95"/>
          <c:order val="95"/>
          <c:tx>
            <c:strRef>
              <c:f>'2022_Data'!$A$97</c:f>
            </c:strRef>
          </c:tx>
          <c:dLbls>
            <c:dLblPos val="ctr"/>
            <c:showLegendKey val="0"/>
            <c:showVal val="0"/>
            <c:showCatName val="0"/>
            <c:showSerName val="1"/>
            <c:showPercent val="0"/>
            <c:showBubbleSize val="0"/>
          </c:dLbls>
          <c:xVal>
            <c:strRef>
              <c:f>'2022_Data'!$F$97</c:f>
            </c:strRef>
          </c:xVal>
          <c:yVal>
            <c:numRef>
              <c:f>'2022_Data'!$E$97</c:f>
              <c:numCache/>
            </c:numRef>
          </c:yVal>
          <c:bubbleSize>
            <c:numRef>
              <c:f>'2022_Data'!$G$97</c:f>
            </c:numRef>
          </c:bubbleSize>
        </c:ser>
        <c:ser>
          <c:idx val="96"/>
          <c:order val="96"/>
          <c:tx>
            <c:strRef>
              <c:f>'2022_Data'!$A$98</c:f>
            </c:strRef>
          </c:tx>
          <c:dLbls>
            <c:dLblPos val="ctr"/>
            <c:showLegendKey val="0"/>
            <c:showVal val="0"/>
            <c:showCatName val="0"/>
            <c:showSerName val="1"/>
            <c:showPercent val="0"/>
            <c:showBubbleSize val="0"/>
          </c:dLbls>
          <c:xVal>
            <c:strRef>
              <c:f>'2022_Data'!$F$98</c:f>
            </c:strRef>
          </c:xVal>
          <c:yVal>
            <c:numRef>
              <c:f>'2022_Data'!$E$98</c:f>
              <c:numCache/>
            </c:numRef>
          </c:yVal>
          <c:bubbleSize>
            <c:numRef>
              <c:f>'2022_Data'!$G$98</c:f>
            </c:numRef>
          </c:bubbleSize>
        </c:ser>
        <c:ser>
          <c:idx val="97"/>
          <c:order val="97"/>
          <c:tx>
            <c:strRef>
              <c:f>'2022_Data'!$A$99</c:f>
            </c:strRef>
          </c:tx>
          <c:dLbls>
            <c:dLblPos val="ctr"/>
            <c:showLegendKey val="0"/>
            <c:showVal val="0"/>
            <c:showCatName val="0"/>
            <c:showSerName val="1"/>
            <c:showPercent val="0"/>
            <c:showBubbleSize val="0"/>
          </c:dLbls>
          <c:xVal>
            <c:strRef>
              <c:f>'2022_Data'!$F$99</c:f>
            </c:strRef>
          </c:xVal>
          <c:yVal>
            <c:numRef>
              <c:f>'2022_Data'!$E$99</c:f>
              <c:numCache/>
            </c:numRef>
          </c:yVal>
          <c:bubbleSize>
            <c:numRef>
              <c:f>'2022_Data'!$G$99</c:f>
            </c:numRef>
          </c:bubbleSize>
        </c:ser>
        <c:ser>
          <c:idx val="98"/>
          <c:order val="98"/>
          <c:tx>
            <c:strRef>
              <c:f>'2022_Data'!$A$100</c:f>
            </c:strRef>
          </c:tx>
          <c:dLbls>
            <c:dLblPos val="ctr"/>
            <c:showLegendKey val="0"/>
            <c:showVal val="0"/>
            <c:showCatName val="0"/>
            <c:showSerName val="1"/>
            <c:showPercent val="0"/>
            <c:showBubbleSize val="0"/>
          </c:dLbls>
          <c:xVal>
            <c:strRef>
              <c:f>'2022_Data'!$F$100</c:f>
            </c:strRef>
          </c:xVal>
          <c:yVal>
            <c:numRef>
              <c:f>'2022_Data'!$E$100</c:f>
              <c:numCache/>
            </c:numRef>
          </c:yVal>
          <c:bubbleSize>
            <c:numRef>
              <c:f>'2022_Data'!$G$100</c:f>
            </c:numRef>
          </c:bubbleSize>
        </c:ser>
        <c:ser>
          <c:idx val="99"/>
          <c:order val="99"/>
          <c:tx>
            <c:strRef>
              <c:f>'2022_Data'!$A$101</c:f>
            </c:strRef>
          </c:tx>
          <c:dLbls>
            <c:dLblPos val="ctr"/>
            <c:showLegendKey val="0"/>
            <c:showVal val="0"/>
            <c:showCatName val="0"/>
            <c:showSerName val="1"/>
            <c:showPercent val="0"/>
            <c:showBubbleSize val="0"/>
          </c:dLbls>
          <c:xVal>
            <c:strRef>
              <c:f>'2022_Data'!$F$101</c:f>
            </c:strRef>
          </c:xVal>
          <c:yVal>
            <c:numRef>
              <c:f>'2022_Data'!$E$101</c:f>
              <c:numCache/>
            </c:numRef>
          </c:yVal>
          <c:bubbleSize>
            <c:numRef>
              <c:f>'2022_Data'!$G$101</c:f>
            </c:numRef>
          </c:bubbleSize>
        </c:ser>
        <c:ser>
          <c:idx val="100"/>
          <c:order val="100"/>
          <c:tx>
            <c:strRef>
              <c:f>'2022_Data'!$A$102</c:f>
            </c:strRef>
          </c:tx>
          <c:dLbls>
            <c:dLblPos val="ctr"/>
            <c:showLegendKey val="0"/>
            <c:showVal val="0"/>
            <c:showCatName val="0"/>
            <c:showSerName val="1"/>
            <c:showPercent val="0"/>
            <c:showBubbleSize val="0"/>
          </c:dLbls>
          <c:xVal>
            <c:strRef>
              <c:f>'2022_Data'!$F$102</c:f>
            </c:strRef>
          </c:xVal>
          <c:yVal>
            <c:numRef>
              <c:f>'2022_Data'!$E$102</c:f>
              <c:numCache/>
            </c:numRef>
          </c:yVal>
          <c:bubbleSize>
            <c:numRef>
              <c:f>'2022_Data'!$G$102</c:f>
            </c:numRef>
          </c:bubbleSize>
        </c:ser>
        <c:ser>
          <c:idx val="101"/>
          <c:order val="101"/>
          <c:tx>
            <c:strRef>
              <c:f>'2022_Data'!$A$103</c:f>
            </c:strRef>
          </c:tx>
          <c:dLbls>
            <c:dLblPos val="ctr"/>
            <c:showLegendKey val="0"/>
            <c:showVal val="0"/>
            <c:showCatName val="0"/>
            <c:showSerName val="1"/>
            <c:showPercent val="0"/>
            <c:showBubbleSize val="0"/>
          </c:dLbls>
          <c:xVal>
            <c:strRef>
              <c:f>'2022_Data'!$F$103</c:f>
            </c:strRef>
          </c:xVal>
          <c:yVal>
            <c:numRef>
              <c:f>'2022_Data'!$E$103</c:f>
              <c:numCache/>
            </c:numRef>
          </c:yVal>
          <c:bubbleSize>
            <c:numRef>
              <c:f>'2022_Data'!$G$103</c:f>
            </c:numRef>
          </c:bubbleSize>
        </c:ser>
        <c:ser>
          <c:idx val="102"/>
          <c:order val="102"/>
          <c:tx>
            <c:strRef>
              <c:f>'2022_Data'!$A$104</c:f>
            </c:strRef>
          </c:tx>
          <c:dLbls>
            <c:dLblPos val="ctr"/>
            <c:showLegendKey val="0"/>
            <c:showVal val="0"/>
            <c:showCatName val="0"/>
            <c:showSerName val="1"/>
            <c:showPercent val="0"/>
            <c:showBubbleSize val="0"/>
          </c:dLbls>
          <c:xVal>
            <c:strRef>
              <c:f>'2022_Data'!$F$104</c:f>
            </c:strRef>
          </c:xVal>
          <c:yVal>
            <c:numRef>
              <c:f>'2022_Data'!$E$104</c:f>
              <c:numCache/>
            </c:numRef>
          </c:yVal>
          <c:bubbleSize>
            <c:numRef>
              <c:f>'2022_Data'!$G$104</c:f>
            </c:numRef>
          </c:bubbleSize>
        </c:ser>
        <c:ser>
          <c:idx val="103"/>
          <c:order val="103"/>
          <c:tx>
            <c:strRef>
              <c:f>'2022_Data'!$A$105</c:f>
            </c:strRef>
          </c:tx>
          <c:dLbls>
            <c:dLblPos val="ctr"/>
            <c:showLegendKey val="0"/>
            <c:showVal val="0"/>
            <c:showCatName val="0"/>
            <c:showSerName val="1"/>
            <c:showPercent val="0"/>
            <c:showBubbleSize val="0"/>
          </c:dLbls>
          <c:xVal>
            <c:strRef>
              <c:f>'2022_Data'!$F$105</c:f>
            </c:strRef>
          </c:xVal>
          <c:yVal>
            <c:numRef>
              <c:f>'2022_Data'!$E$105</c:f>
              <c:numCache/>
            </c:numRef>
          </c:yVal>
          <c:bubbleSize>
            <c:numRef>
              <c:f>'2022_Data'!$G$105</c:f>
            </c:numRef>
          </c:bubbleSize>
        </c:ser>
        <c:ser>
          <c:idx val="104"/>
          <c:order val="104"/>
          <c:tx>
            <c:strRef>
              <c:f>'2022_Data'!$A$106</c:f>
            </c:strRef>
          </c:tx>
          <c:dLbls>
            <c:dLblPos val="ctr"/>
            <c:showLegendKey val="0"/>
            <c:showVal val="0"/>
            <c:showCatName val="0"/>
            <c:showSerName val="1"/>
            <c:showPercent val="0"/>
            <c:showBubbleSize val="0"/>
          </c:dLbls>
          <c:xVal>
            <c:strRef>
              <c:f>'2022_Data'!$F$106</c:f>
            </c:strRef>
          </c:xVal>
          <c:yVal>
            <c:numRef>
              <c:f>'2022_Data'!$E$106</c:f>
              <c:numCache/>
            </c:numRef>
          </c:yVal>
          <c:bubbleSize>
            <c:numRef>
              <c:f>'2022_Data'!$G$106</c:f>
            </c:numRef>
          </c:bubbleSize>
        </c:ser>
        <c:ser>
          <c:idx val="105"/>
          <c:order val="105"/>
          <c:tx>
            <c:strRef>
              <c:f>'2022_Data'!$A$107</c:f>
            </c:strRef>
          </c:tx>
          <c:dLbls>
            <c:dLblPos val="ctr"/>
            <c:showLegendKey val="0"/>
            <c:showVal val="0"/>
            <c:showCatName val="0"/>
            <c:showSerName val="1"/>
            <c:showPercent val="0"/>
            <c:showBubbleSize val="0"/>
          </c:dLbls>
          <c:xVal>
            <c:strRef>
              <c:f>'2022_Data'!$F$107</c:f>
            </c:strRef>
          </c:xVal>
          <c:yVal>
            <c:numRef>
              <c:f>'2022_Data'!$E$107</c:f>
              <c:numCache/>
            </c:numRef>
          </c:yVal>
          <c:bubbleSize>
            <c:numRef>
              <c:f>'2022_Data'!$G$107</c:f>
            </c:numRef>
          </c:bubbleSize>
        </c:ser>
        <c:ser>
          <c:idx val="106"/>
          <c:order val="106"/>
          <c:tx>
            <c:strRef>
              <c:f>'2022_Data'!$A$108</c:f>
            </c:strRef>
          </c:tx>
          <c:dLbls>
            <c:dLblPos val="ctr"/>
            <c:showLegendKey val="0"/>
            <c:showVal val="0"/>
            <c:showCatName val="0"/>
            <c:showSerName val="1"/>
            <c:showPercent val="0"/>
            <c:showBubbleSize val="0"/>
          </c:dLbls>
          <c:xVal>
            <c:strRef>
              <c:f>'2022_Data'!$F$108</c:f>
            </c:strRef>
          </c:xVal>
          <c:yVal>
            <c:numRef>
              <c:f>'2022_Data'!$E$108</c:f>
              <c:numCache/>
            </c:numRef>
          </c:yVal>
          <c:bubbleSize>
            <c:numRef>
              <c:f>'2022_Data'!$G$108</c:f>
            </c:numRef>
          </c:bubbleSize>
        </c:ser>
        <c:ser>
          <c:idx val="107"/>
          <c:order val="107"/>
          <c:tx>
            <c:strRef>
              <c:f>'2022_Data'!$A$109</c:f>
            </c:strRef>
          </c:tx>
          <c:dLbls>
            <c:dLblPos val="ctr"/>
            <c:showLegendKey val="0"/>
            <c:showVal val="0"/>
            <c:showCatName val="0"/>
            <c:showSerName val="1"/>
            <c:showPercent val="0"/>
            <c:showBubbleSize val="0"/>
          </c:dLbls>
          <c:xVal>
            <c:strRef>
              <c:f>'2022_Data'!$F$109</c:f>
            </c:strRef>
          </c:xVal>
          <c:yVal>
            <c:numRef>
              <c:f>'2022_Data'!$E$109</c:f>
              <c:numCache/>
            </c:numRef>
          </c:yVal>
          <c:bubbleSize>
            <c:numRef>
              <c:f>'2022_Data'!$G$109</c:f>
            </c:numRef>
          </c:bubbleSize>
        </c:ser>
        <c:ser>
          <c:idx val="108"/>
          <c:order val="108"/>
          <c:tx>
            <c:strRef>
              <c:f>'2022_Data'!$A$110</c:f>
            </c:strRef>
          </c:tx>
          <c:dLbls>
            <c:dLblPos val="ctr"/>
            <c:showLegendKey val="0"/>
            <c:showVal val="0"/>
            <c:showCatName val="0"/>
            <c:showSerName val="1"/>
            <c:showPercent val="0"/>
            <c:showBubbleSize val="0"/>
          </c:dLbls>
          <c:xVal>
            <c:strRef>
              <c:f>'2022_Data'!$F$110</c:f>
            </c:strRef>
          </c:xVal>
          <c:yVal>
            <c:numRef>
              <c:f>'2022_Data'!$E$110</c:f>
              <c:numCache/>
            </c:numRef>
          </c:yVal>
          <c:bubbleSize>
            <c:numRef>
              <c:f>'2022_Data'!$G$110</c:f>
            </c:numRef>
          </c:bubbleSize>
        </c:ser>
        <c:ser>
          <c:idx val="109"/>
          <c:order val="109"/>
          <c:tx>
            <c:strRef>
              <c:f>'2022_Data'!$A$111</c:f>
            </c:strRef>
          </c:tx>
          <c:dLbls>
            <c:dLblPos val="ctr"/>
            <c:showLegendKey val="0"/>
            <c:showVal val="0"/>
            <c:showCatName val="0"/>
            <c:showSerName val="1"/>
            <c:showPercent val="0"/>
            <c:showBubbleSize val="0"/>
          </c:dLbls>
          <c:xVal>
            <c:strRef>
              <c:f>'2022_Data'!$F$111</c:f>
            </c:strRef>
          </c:xVal>
          <c:yVal>
            <c:numRef>
              <c:f>'2022_Data'!$E$111</c:f>
              <c:numCache/>
            </c:numRef>
          </c:yVal>
          <c:bubbleSize>
            <c:numRef>
              <c:f>'2022_Data'!$G$111</c:f>
            </c:numRef>
          </c:bubbleSize>
        </c:ser>
        <c:ser>
          <c:idx val="110"/>
          <c:order val="110"/>
          <c:tx>
            <c:strRef>
              <c:f>'2022_Data'!$A$112</c:f>
            </c:strRef>
          </c:tx>
          <c:dLbls>
            <c:dLblPos val="ctr"/>
            <c:showLegendKey val="0"/>
            <c:showVal val="0"/>
            <c:showCatName val="0"/>
            <c:showSerName val="1"/>
            <c:showPercent val="0"/>
            <c:showBubbleSize val="0"/>
          </c:dLbls>
          <c:xVal>
            <c:strRef>
              <c:f>'2022_Data'!$F$112</c:f>
            </c:strRef>
          </c:xVal>
          <c:yVal>
            <c:numRef>
              <c:f>'2022_Data'!$E$112</c:f>
              <c:numCache/>
            </c:numRef>
          </c:yVal>
          <c:bubbleSize>
            <c:numRef>
              <c:f>'2022_Data'!$G$112</c:f>
            </c:numRef>
          </c:bubbleSize>
        </c:ser>
        <c:ser>
          <c:idx val="111"/>
          <c:order val="111"/>
          <c:tx>
            <c:strRef>
              <c:f>'2022_Data'!$A$113</c:f>
            </c:strRef>
          </c:tx>
          <c:dLbls>
            <c:dLblPos val="ctr"/>
            <c:showLegendKey val="0"/>
            <c:showVal val="0"/>
            <c:showCatName val="0"/>
            <c:showSerName val="1"/>
            <c:showPercent val="0"/>
            <c:showBubbleSize val="0"/>
          </c:dLbls>
          <c:xVal>
            <c:strRef>
              <c:f>'2022_Data'!$F$113</c:f>
            </c:strRef>
          </c:xVal>
          <c:yVal>
            <c:numRef>
              <c:f>'2022_Data'!$E$113</c:f>
              <c:numCache/>
            </c:numRef>
          </c:yVal>
          <c:bubbleSize>
            <c:numRef>
              <c:f>'2022_Data'!$G$113</c:f>
            </c:numRef>
          </c:bubbleSize>
        </c:ser>
        <c:ser>
          <c:idx val="112"/>
          <c:order val="112"/>
          <c:tx>
            <c:strRef>
              <c:f>'2022_Data'!$A$114</c:f>
            </c:strRef>
          </c:tx>
          <c:dLbls>
            <c:dLblPos val="ctr"/>
            <c:showLegendKey val="0"/>
            <c:showVal val="0"/>
            <c:showCatName val="0"/>
            <c:showSerName val="1"/>
            <c:showPercent val="0"/>
            <c:showBubbleSize val="0"/>
          </c:dLbls>
          <c:xVal>
            <c:strRef>
              <c:f>'2022_Data'!$F$114</c:f>
            </c:strRef>
          </c:xVal>
          <c:yVal>
            <c:numRef>
              <c:f>'2022_Data'!$E$114</c:f>
              <c:numCache/>
            </c:numRef>
          </c:yVal>
          <c:bubbleSize>
            <c:numRef>
              <c:f>'2022_Data'!$G$114</c:f>
            </c:numRef>
          </c:bubbleSize>
        </c:ser>
        <c:ser>
          <c:idx val="113"/>
          <c:order val="113"/>
          <c:tx>
            <c:strRef>
              <c:f>'2022_Data'!$A$115</c:f>
            </c:strRef>
          </c:tx>
          <c:dLbls>
            <c:dLblPos val="ctr"/>
            <c:showLegendKey val="0"/>
            <c:showVal val="0"/>
            <c:showCatName val="0"/>
            <c:showSerName val="1"/>
            <c:showPercent val="0"/>
            <c:showBubbleSize val="0"/>
          </c:dLbls>
          <c:xVal>
            <c:strRef>
              <c:f>'2022_Data'!$F$115</c:f>
            </c:strRef>
          </c:xVal>
          <c:yVal>
            <c:numRef>
              <c:f>'2022_Data'!$E$115</c:f>
              <c:numCache/>
            </c:numRef>
          </c:yVal>
          <c:bubbleSize>
            <c:numRef>
              <c:f>'2022_Data'!$G$115</c:f>
            </c:numRef>
          </c:bubbleSize>
        </c:ser>
        <c:ser>
          <c:idx val="114"/>
          <c:order val="114"/>
          <c:tx>
            <c:strRef>
              <c:f>'2022_Data'!$A$116</c:f>
            </c:strRef>
          </c:tx>
          <c:dLbls>
            <c:dLblPos val="ctr"/>
            <c:showLegendKey val="0"/>
            <c:showVal val="0"/>
            <c:showCatName val="0"/>
            <c:showSerName val="1"/>
            <c:showPercent val="0"/>
            <c:showBubbleSize val="0"/>
          </c:dLbls>
          <c:xVal>
            <c:strRef>
              <c:f>'2022_Data'!$F$116</c:f>
            </c:strRef>
          </c:xVal>
          <c:yVal>
            <c:numRef>
              <c:f>'2022_Data'!$E$116</c:f>
              <c:numCache/>
            </c:numRef>
          </c:yVal>
          <c:bubbleSize>
            <c:numRef>
              <c:f>'2022_Data'!$G$116</c:f>
            </c:numRef>
          </c:bubbleSize>
        </c:ser>
        <c:ser>
          <c:idx val="115"/>
          <c:order val="115"/>
          <c:tx>
            <c:strRef>
              <c:f>'2022_Data'!$A$117</c:f>
            </c:strRef>
          </c:tx>
          <c:dLbls>
            <c:dLblPos val="ctr"/>
            <c:showLegendKey val="0"/>
            <c:showVal val="0"/>
            <c:showCatName val="0"/>
            <c:showSerName val="1"/>
            <c:showPercent val="0"/>
            <c:showBubbleSize val="0"/>
          </c:dLbls>
          <c:xVal>
            <c:strRef>
              <c:f>'2022_Data'!$F$117</c:f>
            </c:strRef>
          </c:xVal>
          <c:yVal>
            <c:numRef>
              <c:f>'2022_Data'!$E$117</c:f>
              <c:numCache/>
            </c:numRef>
          </c:yVal>
          <c:bubbleSize>
            <c:numRef>
              <c:f>'2022_Data'!$G$117</c:f>
            </c:numRef>
          </c:bubbleSize>
        </c:ser>
        <c:ser>
          <c:idx val="116"/>
          <c:order val="116"/>
          <c:tx>
            <c:strRef>
              <c:f>'2022_Data'!$A$118</c:f>
            </c:strRef>
          </c:tx>
          <c:dLbls>
            <c:dLblPos val="ctr"/>
            <c:showLegendKey val="0"/>
            <c:showVal val="0"/>
            <c:showCatName val="0"/>
            <c:showSerName val="1"/>
            <c:showPercent val="0"/>
            <c:showBubbleSize val="0"/>
          </c:dLbls>
          <c:xVal>
            <c:strRef>
              <c:f>'2022_Data'!$F$118</c:f>
            </c:strRef>
          </c:xVal>
          <c:yVal>
            <c:numRef>
              <c:f>'2022_Data'!$E$118</c:f>
              <c:numCache/>
            </c:numRef>
          </c:yVal>
          <c:bubbleSize>
            <c:numRef>
              <c:f>'2022_Data'!$G$118</c:f>
            </c:numRef>
          </c:bubbleSize>
        </c:ser>
        <c:ser>
          <c:idx val="117"/>
          <c:order val="117"/>
          <c:tx>
            <c:strRef>
              <c:f>'2022_Data'!$A$119</c:f>
            </c:strRef>
          </c:tx>
          <c:dLbls>
            <c:dLblPos val="ctr"/>
            <c:showLegendKey val="0"/>
            <c:showVal val="0"/>
            <c:showCatName val="0"/>
            <c:showSerName val="1"/>
            <c:showPercent val="0"/>
            <c:showBubbleSize val="0"/>
          </c:dLbls>
          <c:xVal>
            <c:strRef>
              <c:f>'2022_Data'!$F$119</c:f>
            </c:strRef>
          </c:xVal>
          <c:yVal>
            <c:numRef>
              <c:f>'2022_Data'!$E$119</c:f>
              <c:numCache/>
            </c:numRef>
          </c:yVal>
          <c:bubbleSize>
            <c:numRef>
              <c:f>'2022_Data'!$G$119</c:f>
            </c:numRef>
          </c:bubbleSize>
        </c:ser>
        <c:ser>
          <c:idx val="118"/>
          <c:order val="118"/>
          <c:tx>
            <c:strRef>
              <c:f>'2022_Data'!$A$120</c:f>
            </c:strRef>
          </c:tx>
          <c:dLbls>
            <c:dLblPos val="ctr"/>
            <c:showLegendKey val="0"/>
            <c:showVal val="0"/>
            <c:showCatName val="0"/>
            <c:showSerName val="1"/>
            <c:showPercent val="0"/>
            <c:showBubbleSize val="0"/>
          </c:dLbls>
          <c:xVal>
            <c:strRef>
              <c:f>'2022_Data'!$F$120</c:f>
            </c:strRef>
          </c:xVal>
          <c:yVal>
            <c:numRef>
              <c:f>'2022_Data'!$E$120</c:f>
              <c:numCache/>
            </c:numRef>
          </c:yVal>
          <c:bubbleSize>
            <c:numRef>
              <c:f>'2022_Data'!$G$120</c:f>
            </c:numRef>
          </c:bubbleSize>
        </c:ser>
        <c:ser>
          <c:idx val="119"/>
          <c:order val="119"/>
          <c:tx>
            <c:strRef>
              <c:f>'2022_Data'!$A$121</c:f>
            </c:strRef>
          </c:tx>
          <c:dLbls>
            <c:dLblPos val="ctr"/>
            <c:showLegendKey val="0"/>
            <c:showVal val="0"/>
            <c:showCatName val="0"/>
            <c:showSerName val="1"/>
            <c:showPercent val="0"/>
            <c:showBubbleSize val="0"/>
          </c:dLbls>
          <c:xVal>
            <c:strRef>
              <c:f>'2022_Data'!$F$121</c:f>
            </c:strRef>
          </c:xVal>
          <c:yVal>
            <c:numRef>
              <c:f>'2022_Data'!$E$121</c:f>
              <c:numCache/>
            </c:numRef>
          </c:yVal>
          <c:bubbleSize>
            <c:numRef>
              <c:f>'2022_Data'!$G$121</c:f>
            </c:numRef>
          </c:bubbleSize>
        </c:ser>
        <c:ser>
          <c:idx val="120"/>
          <c:order val="120"/>
          <c:tx>
            <c:strRef>
              <c:f>'2022_Data'!$A$122</c:f>
            </c:strRef>
          </c:tx>
          <c:dLbls>
            <c:dLblPos val="ctr"/>
            <c:showLegendKey val="0"/>
            <c:showVal val="0"/>
            <c:showCatName val="0"/>
            <c:showSerName val="1"/>
            <c:showPercent val="0"/>
            <c:showBubbleSize val="0"/>
          </c:dLbls>
          <c:xVal>
            <c:strRef>
              <c:f>'2022_Data'!$F$122</c:f>
            </c:strRef>
          </c:xVal>
          <c:yVal>
            <c:numRef>
              <c:f>'2022_Data'!$E$122</c:f>
              <c:numCache/>
            </c:numRef>
          </c:yVal>
          <c:bubbleSize>
            <c:numRef>
              <c:f>'2022_Data'!$G$122</c:f>
            </c:numRef>
          </c:bubbleSize>
        </c:ser>
        <c:ser>
          <c:idx val="121"/>
          <c:order val="121"/>
          <c:tx>
            <c:strRef>
              <c:f>'2022_Data'!$A$123</c:f>
            </c:strRef>
          </c:tx>
          <c:dLbls>
            <c:dLblPos val="ctr"/>
            <c:showLegendKey val="0"/>
            <c:showVal val="0"/>
            <c:showCatName val="0"/>
            <c:showSerName val="1"/>
            <c:showPercent val="0"/>
            <c:showBubbleSize val="0"/>
          </c:dLbls>
          <c:xVal>
            <c:strRef>
              <c:f>'2022_Data'!$F$123</c:f>
            </c:strRef>
          </c:xVal>
          <c:yVal>
            <c:numRef>
              <c:f>'2022_Data'!$E$123</c:f>
              <c:numCache/>
            </c:numRef>
          </c:yVal>
          <c:bubbleSize>
            <c:numRef>
              <c:f>'2022_Data'!$G$123</c:f>
            </c:numRef>
          </c:bubbleSize>
        </c:ser>
        <c:ser>
          <c:idx val="122"/>
          <c:order val="122"/>
          <c:tx>
            <c:strRef>
              <c:f>'2022_Data'!$A$124</c:f>
            </c:strRef>
          </c:tx>
          <c:dLbls>
            <c:dLblPos val="ctr"/>
            <c:showLegendKey val="0"/>
            <c:showVal val="0"/>
            <c:showCatName val="0"/>
            <c:showSerName val="1"/>
            <c:showPercent val="0"/>
            <c:showBubbleSize val="0"/>
          </c:dLbls>
          <c:xVal>
            <c:strRef>
              <c:f>'2022_Data'!$F$124</c:f>
            </c:strRef>
          </c:xVal>
          <c:yVal>
            <c:numRef>
              <c:f>'2022_Data'!$E$124</c:f>
              <c:numCache/>
            </c:numRef>
          </c:yVal>
          <c:bubbleSize>
            <c:numRef>
              <c:f>'2022_Data'!$G$124</c:f>
            </c:numRef>
          </c:bubbleSize>
        </c:ser>
        <c:ser>
          <c:idx val="123"/>
          <c:order val="123"/>
          <c:tx>
            <c:strRef>
              <c:f>'2022_Data'!$A$125</c:f>
            </c:strRef>
          </c:tx>
          <c:dLbls>
            <c:dLblPos val="ctr"/>
            <c:showLegendKey val="0"/>
            <c:showVal val="0"/>
            <c:showCatName val="0"/>
            <c:showSerName val="1"/>
            <c:showPercent val="0"/>
            <c:showBubbleSize val="0"/>
          </c:dLbls>
          <c:xVal>
            <c:strRef>
              <c:f>'2022_Data'!$F$125</c:f>
            </c:strRef>
          </c:xVal>
          <c:yVal>
            <c:numRef>
              <c:f>'2022_Data'!$E$125</c:f>
              <c:numCache/>
            </c:numRef>
          </c:yVal>
          <c:bubbleSize>
            <c:numRef>
              <c:f>'2022_Data'!$G$125</c:f>
            </c:numRef>
          </c:bubbleSize>
        </c:ser>
        <c:ser>
          <c:idx val="124"/>
          <c:order val="124"/>
          <c:tx>
            <c:strRef>
              <c:f>'2022_Data'!$A$126</c:f>
            </c:strRef>
          </c:tx>
          <c:dLbls>
            <c:dLblPos val="ctr"/>
            <c:showLegendKey val="0"/>
            <c:showVal val="0"/>
            <c:showCatName val="0"/>
            <c:showSerName val="1"/>
            <c:showPercent val="0"/>
            <c:showBubbleSize val="0"/>
          </c:dLbls>
          <c:xVal>
            <c:strRef>
              <c:f>'2022_Data'!$F$126</c:f>
            </c:strRef>
          </c:xVal>
          <c:yVal>
            <c:numRef>
              <c:f>'2022_Data'!$E$126</c:f>
              <c:numCache/>
            </c:numRef>
          </c:yVal>
          <c:bubbleSize>
            <c:numRef>
              <c:f>'2022_Data'!$G$126</c:f>
            </c:numRef>
          </c:bubbleSize>
        </c:ser>
        <c:ser>
          <c:idx val="125"/>
          <c:order val="125"/>
          <c:tx>
            <c:strRef>
              <c:f>'2022_Data'!$A$127</c:f>
            </c:strRef>
          </c:tx>
          <c:dLbls>
            <c:dLblPos val="ctr"/>
            <c:showLegendKey val="0"/>
            <c:showVal val="0"/>
            <c:showCatName val="0"/>
            <c:showSerName val="1"/>
            <c:showPercent val="0"/>
            <c:showBubbleSize val="0"/>
          </c:dLbls>
          <c:xVal>
            <c:strRef>
              <c:f>'2022_Data'!$F$127</c:f>
            </c:strRef>
          </c:xVal>
          <c:yVal>
            <c:numRef>
              <c:f>'2022_Data'!$E$127</c:f>
              <c:numCache/>
            </c:numRef>
          </c:yVal>
          <c:bubbleSize>
            <c:numRef>
              <c:f>'2022_Data'!$G$127</c:f>
            </c:numRef>
          </c:bubbleSize>
        </c:ser>
        <c:ser>
          <c:idx val="126"/>
          <c:order val="126"/>
          <c:tx>
            <c:strRef>
              <c:f>'2022_Data'!$A$128</c:f>
            </c:strRef>
          </c:tx>
          <c:dLbls>
            <c:dLblPos val="ctr"/>
            <c:showLegendKey val="0"/>
            <c:showVal val="0"/>
            <c:showCatName val="0"/>
            <c:showSerName val="1"/>
            <c:showPercent val="0"/>
            <c:showBubbleSize val="0"/>
          </c:dLbls>
          <c:xVal>
            <c:strRef>
              <c:f>'2022_Data'!$F$128</c:f>
            </c:strRef>
          </c:xVal>
          <c:yVal>
            <c:numRef>
              <c:f>'2022_Data'!$E$128</c:f>
              <c:numCache/>
            </c:numRef>
          </c:yVal>
          <c:bubbleSize>
            <c:numRef>
              <c:f>'2022_Data'!$G$128</c:f>
            </c:numRef>
          </c:bubbleSize>
        </c:ser>
        <c:ser>
          <c:idx val="127"/>
          <c:order val="127"/>
          <c:tx>
            <c:strRef>
              <c:f>'2022_Data'!$A$129</c:f>
            </c:strRef>
          </c:tx>
          <c:dLbls>
            <c:dLblPos val="ctr"/>
            <c:showLegendKey val="0"/>
            <c:showVal val="0"/>
            <c:showCatName val="0"/>
            <c:showSerName val="1"/>
            <c:showPercent val="0"/>
            <c:showBubbleSize val="0"/>
          </c:dLbls>
          <c:xVal>
            <c:strRef>
              <c:f>'2022_Data'!$F$129</c:f>
            </c:strRef>
          </c:xVal>
          <c:yVal>
            <c:numRef>
              <c:f>'2022_Data'!$E$129</c:f>
              <c:numCache/>
            </c:numRef>
          </c:yVal>
          <c:bubbleSize>
            <c:numRef>
              <c:f>'2022_Data'!$G$129</c:f>
            </c:numRef>
          </c:bubbleSize>
        </c:ser>
        <c:ser>
          <c:idx val="128"/>
          <c:order val="128"/>
          <c:tx>
            <c:strRef>
              <c:f>'2022_Data'!$A$130</c:f>
            </c:strRef>
          </c:tx>
          <c:dLbls>
            <c:dLblPos val="ctr"/>
            <c:showLegendKey val="0"/>
            <c:showVal val="0"/>
            <c:showCatName val="0"/>
            <c:showSerName val="1"/>
            <c:showPercent val="0"/>
            <c:showBubbleSize val="0"/>
          </c:dLbls>
          <c:xVal>
            <c:strRef>
              <c:f>'2022_Data'!$F$130</c:f>
            </c:strRef>
          </c:xVal>
          <c:yVal>
            <c:numRef>
              <c:f>'2022_Data'!$E$130</c:f>
              <c:numCache/>
            </c:numRef>
          </c:yVal>
          <c:bubbleSize>
            <c:numRef>
              <c:f>'2022_Data'!$G$130</c:f>
            </c:numRef>
          </c:bubbleSize>
        </c:ser>
        <c:ser>
          <c:idx val="129"/>
          <c:order val="129"/>
          <c:tx>
            <c:strRef>
              <c:f>'2022_Data'!$A$131</c:f>
            </c:strRef>
          </c:tx>
          <c:dLbls>
            <c:dLblPos val="ctr"/>
            <c:showLegendKey val="0"/>
            <c:showVal val="0"/>
            <c:showCatName val="0"/>
            <c:showSerName val="1"/>
            <c:showPercent val="0"/>
            <c:showBubbleSize val="0"/>
          </c:dLbls>
          <c:xVal>
            <c:strRef>
              <c:f>'2022_Data'!$F$131</c:f>
            </c:strRef>
          </c:xVal>
          <c:yVal>
            <c:numRef>
              <c:f>'2022_Data'!$E$131</c:f>
              <c:numCache/>
            </c:numRef>
          </c:yVal>
          <c:bubbleSize>
            <c:numRef>
              <c:f>'2022_Data'!$G$131</c:f>
            </c:numRef>
          </c:bubbleSize>
        </c:ser>
        <c:ser>
          <c:idx val="130"/>
          <c:order val="130"/>
          <c:tx>
            <c:strRef>
              <c:f>'2022_Data'!$A$132</c:f>
            </c:strRef>
          </c:tx>
          <c:dLbls>
            <c:dLblPos val="ctr"/>
            <c:showLegendKey val="0"/>
            <c:showVal val="0"/>
            <c:showCatName val="0"/>
            <c:showSerName val="1"/>
            <c:showPercent val="0"/>
            <c:showBubbleSize val="0"/>
          </c:dLbls>
          <c:xVal>
            <c:strRef>
              <c:f>'2022_Data'!$F$132</c:f>
            </c:strRef>
          </c:xVal>
          <c:yVal>
            <c:numRef>
              <c:f>'2022_Data'!$E$132</c:f>
              <c:numCache/>
            </c:numRef>
          </c:yVal>
          <c:bubbleSize>
            <c:numRef>
              <c:f>'2022_Data'!$G$132</c:f>
            </c:numRef>
          </c:bubbleSize>
        </c:ser>
        <c:ser>
          <c:idx val="131"/>
          <c:order val="131"/>
          <c:tx>
            <c:strRef>
              <c:f>'2022_Data'!$A$133</c:f>
            </c:strRef>
          </c:tx>
          <c:dLbls>
            <c:dLblPos val="ctr"/>
            <c:showLegendKey val="0"/>
            <c:showVal val="0"/>
            <c:showCatName val="0"/>
            <c:showSerName val="1"/>
            <c:showPercent val="0"/>
            <c:showBubbleSize val="0"/>
          </c:dLbls>
          <c:xVal>
            <c:strRef>
              <c:f>'2022_Data'!$F$133</c:f>
            </c:strRef>
          </c:xVal>
          <c:yVal>
            <c:numRef>
              <c:f>'2022_Data'!$E$133</c:f>
              <c:numCache/>
            </c:numRef>
          </c:yVal>
          <c:bubbleSize>
            <c:numRef>
              <c:f>'2022_Data'!$G$133</c:f>
            </c:numRef>
          </c:bubbleSize>
        </c:ser>
        <c:ser>
          <c:idx val="132"/>
          <c:order val="132"/>
          <c:tx>
            <c:strRef>
              <c:f>'2022_Data'!$A$134</c:f>
            </c:strRef>
          </c:tx>
          <c:dLbls>
            <c:dLblPos val="ctr"/>
            <c:showLegendKey val="0"/>
            <c:showVal val="0"/>
            <c:showCatName val="0"/>
            <c:showSerName val="1"/>
            <c:showPercent val="0"/>
            <c:showBubbleSize val="0"/>
          </c:dLbls>
          <c:xVal>
            <c:strRef>
              <c:f>'2022_Data'!$F$134</c:f>
            </c:strRef>
          </c:xVal>
          <c:yVal>
            <c:numRef>
              <c:f>'2022_Data'!$E$134</c:f>
              <c:numCache/>
            </c:numRef>
          </c:yVal>
          <c:bubbleSize>
            <c:numRef>
              <c:f>'2022_Data'!$G$134</c:f>
            </c:numRef>
          </c:bubbleSize>
        </c:ser>
        <c:ser>
          <c:idx val="133"/>
          <c:order val="133"/>
          <c:tx>
            <c:strRef>
              <c:f>'2022_Data'!$A$135</c:f>
            </c:strRef>
          </c:tx>
          <c:dLbls>
            <c:dLblPos val="ctr"/>
            <c:showLegendKey val="0"/>
            <c:showVal val="0"/>
            <c:showCatName val="0"/>
            <c:showSerName val="1"/>
            <c:showPercent val="0"/>
            <c:showBubbleSize val="0"/>
          </c:dLbls>
          <c:xVal>
            <c:strRef>
              <c:f>'2022_Data'!$F$135</c:f>
            </c:strRef>
          </c:xVal>
          <c:yVal>
            <c:numRef>
              <c:f>'2022_Data'!$E$135</c:f>
              <c:numCache/>
            </c:numRef>
          </c:yVal>
          <c:bubbleSize>
            <c:numRef>
              <c:f>'2022_Data'!$G$135</c:f>
            </c:numRef>
          </c:bubbleSize>
        </c:ser>
        <c:ser>
          <c:idx val="134"/>
          <c:order val="134"/>
          <c:tx>
            <c:strRef>
              <c:f>'2022_Data'!$A$136</c:f>
            </c:strRef>
          </c:tx>
          <c:dLbls>
            <c:dLblPos val="ctr"/>
            <c:showLegendKey val="0"/>
            <c:showVal val="0"/>
            <c:showCatName val="0"/>
            <c:showSerName val="1"/>
            <c:showPercent val="0"/>
            <c:showBubbleSize val="0"/>
          </c:dLbls>
          <c:xVal>
            <c:strRef>
              <c:f>'2022_Data'!$F$136</c:f>
            </c:strRef>
          </c:xVal>
          <c:yVal>
            <c:numRef>
              <c:f>'2022_Data'!$E$136</c:f>
              <c:numCache/>
            </c:numRef>
          </c:yVal>
          <c:bubbleSize>
            <c:numRef>
              <c:f>'2022_Data'!$G$136</c:f>
            </c:numRef>
          </c:bubbleSize>
        </c:ser>
        <c:ser>
          <c:idx val="135"/>
          <c:order val="135"/>
          <c:tx>
            <c:strRef>
              <c:f>'2022_Data'!$A$137</c:f>
            </c:strRef>
          </c:tx>
          <c:dLbls>
            <c:dLblPos val="ctr"/>
            <c:showLegendKey val="0"/>
            <c:showVal val="0"/>
            <c:showCatName val="0"/>
            <c:showSerName val="1"/>
            <c:showPercent val="0"/>
            <c:showBubbleSize val="0"/>
          </c:dLbls>
          <c:xVal>
            <c:strRef>
              <c:f>'2022_Data'!$F$137</c:f>
            </c:strRef>
          </c:xVal>
          <c:yVal>
            <c:numRef>
              <c:f>'2022_Data'!$E$137</c:f>
              <c:numCache/>
            </c:numRef>
          </c:yVal>
          <c:bubbleSize>
            <c:numRef>
              <c:f>'2022_Data'!$G$137</c:f>
            </c:numRef>
          </c:bubbleSize>
        </c:ser>
        <c:ser>
          <c:idx val="136"/>
          <c:order val="136"/>
          <c:tx>
            <c:strRef>
              <c:f>'2022_Data'!$A$138</c:f>
            </c:strRef>
          </c:tx>
          <c:dLbls>
            <c:dLblPos val="ctr"/>
            <c:showLegendKey val="0"/>
            <c:showVal val="0"/>
            <c:showCatName val="0"/>
            <c:showSerName val="1"/>
            <c:showPercent val="0"/>
            <c:showBubbleSize val="0"/>
          </c:dLbls>
          <c:xVal>
            <c:strRef>
              <c:f>'2022_Data'!$F$138</c:f>
            </c:strRef>
          </c:xVal>
          <c:yVal>
            <c:numRef>
              <c:f>'2022_Data'!$E$138</c:f>
              <c:numCache/>
            </c:numRef>
          </c:yVal>
          <c:bubbleSize>
            <c:numRef>
              <c:f>'2022_Data'!$G$138</c:f>
            </c:numRef>
          </c:bubbleSize>
        </c:ser>
        <c:ser>
          <c:idx val="137"/>
          <c:order val="137"/>
          <c:tx>
            <c:strRef>
              <c:f>'2022_Data'!$A$139</c:f>
            </c:strRef>
          </c:tx>
          <c:dLbls>
            <c:dLblPos val="ctr"/>
            <c:showLegendKey val="0"/>
            <c:showVal val="0"/>
            <c:showCatName val="0"/>
            <c:showSerName val="1"/>
            <c:showPercent val="0"/>
            <c:showBubbleSize val="0"/>
          </c:dLbls>
          <c:xVal>
            <c:strRef>
              <c:f>'2022_Data'!$F$139</c:f>
            </c:strRef>
          </c:xVal>
          <c:yVal>
            <c:numRef>
              <c:f>'2022_Data'!$E$139</c:f>
              <c:numCache/>
            </c:numRef>
          </c:yVal>
          <c:bubbleSize>
            <c:numRef>
              <c:f>'2022_Data'!$G$139</c:f>
            </c:numRef>
          </c:bubbleSize>
        </c:ser>
        <c:ser>
          <c:idx val="138"/>
          <c:order val="138"/>
          <c:tx>
            <c:strRef>
              <c:f>'2022_Data'!$A$140</c:f>
            </c:strRef>
          </c:tx>
          <c:dLbls>
            <c:dLblPos val="ctr"/>
            <c:showLegendKey val="0"/>
            <c:showVal val="0"/>
            <c:showCatName val="0"/>
            <c:showSerName val="1"/>
            <c:showPercent val="0"/>
            <c:showBubbleSize val="0"/>
          </c:dLbls>
          <c:xVal>
            <c:strRef>
              <c:f>'2022_Data'!$F$140</c:f>
            </c:strRef>
          </c:xVal>
          <c:yVal>
            <c:numRef>
              <c:f>'2022_Data'!$E$140</c:f>
              <c:numCache/>
            </c:numRef>
          </c:yVal>
          <c:bubbleSize>
            <c:numRef>
              <c:f>'2022_Data'!$G$140</c:f>
            </c:numRef>
          </c:bubbleSize>
        </c:ser>
        <c:ser>
          <c:idx val="139"/>
          <c:order val="139"/>
          <c:tx>
            <c:strRef>
              <c:f>'2022_Data'!$A$141</c:f>
            </c:strRef>
          </c:tx>
          <c:dLbls>
            <c:dLblPos val="ctr"/>
            <c:showLegendKey val="0"/>
            <c:showVal val="0"/>
            <c:showCatName val="0"/>
            <c:showSerName val="1"/>
            <c:showPercent val="0"/>
            <c:showBubbleSize val="0"/>
          </c:dLbls>
          <c:xVal>
            <c:strRef>
              <c:f>'2022_Data'!$F$141</c:f>
            </c:strRef>
          </c:xVal>
          <c:yVal>
            <c:numRef>
              <c:f>'2022_Data'!$E$141</c:f>
              <c:numCache/>
            </c:numRef>
          </c:yVal>
          <c:bubbleSize>
            <c:numRef>
              <c:f>'2022_Data'!$G$141</c:f>
            </c:numRef>
          </c:bubbleSize>
        </c:ser>
        <c:ser>
          <c:idx val="140"/>
          <c:order val="140"/>
          <c:tx>
            <c:strRef>
              <c:f>'2022_Data'!$A$142</c:f>
            </c:strRef>
          </c:tx>
          <c:dLbls>
            <c:dLblPos val="ctr"/>
            <c:showLegendKey val="0"/>
            <c:showVal val="0"/>
            <c:showCatName val="0"/>
            <c:showSerName val="1"/>
            <c:showPercent val="0"/>
            <c:showBubbleSize val="0"/>
          </c:dLbls>
          <c:xVal>
            <c:strRef>
              <c:f>'2022_Data'!$F$142</c:f>
            </c:strRef>
          </c:xVal>
          <c:yVal>
            <c:numRef>
              <c:f>'2022_Data'!$E$142</c:f>
              <c:numCache/>
            </c:numRef>
          </c:yVal>
          <c:bubbleSize>
            <c:numRef>
              <c:f>'2022_Data'!$G$142</c:f>
            </c:numRef>
          </c:bubbleSize>
        </c:ser>
        <c:ser>
          <c:idx val="141"/>
          <c:order val="141"/>
          <c:tx>
            <c:strRef>
              <c:f>'2022_Data'!$A$143</c:f>
            </c:strRef>
          </c:tx>
          <c:dLbls>
            <c:dLblPos val="ctr"/>
            <c:showLegendKey val="0"/>
            <c:showVal val="0"/>
            <c:showCatName val="0"/>
            <c:showSerName val="1"/>
            <c:showPercent val="0"/>
            <c:showBubbleSize val="0"/>
          </c:dLbls>
          <c:xVal>
            <c:strRef>
              <c:f>'2022_Data'!$F$143</c:f>
            </c:strRef>
          </c:xVal>
          <c:yVal>
            <c:numRef>
              <c:f>'2022_Data'!$E$143</c:f>
              <c:numCache/>
            </c:numRef>
          </c:yVal>
          <c:bubbleSize>
            <c:numRef>
              <c:f>'2022_Data'!$G$143</c:f>
            </c:numRef>
          </c:bubbleSize>
        </c:ser>
        <c:ser>
          <c:idx val="142"/>
          <c:order val="142"/>
          <c:tx>
            <c:strRef>
              <c:f>'2022_Data'!$A$144</c:f>
            </c:strRef>
          </c:tx>
          <c:dLbls>
            <c:dLblPos val="ctr"/>
            <c:showLegendKey val="0"/>
            <c:showVal val="0"/>
            <c:showCatName val="0"/>
            <c:showSerName val="1"/>
            <c:showPercent val="0"/>
            <c:showBubbleSize val="0"/>
          </c:dLbls>
          <c:xVal>
            <c:strRef>
              <c:f>'2022_Data'!$F$144</c:f>
            </c:strRef>
          </c:xVal>
          <c:yVal>
            <c:numRef>
              <c:f>'2022_Data'!$E$144</c:f>
              <c:numCache/>
            </c:numRef>
          </c:yVal>
          <c:bubbleSize>
            <c:numRef>
              <c:f>'2022_Data'!$G$144</c:f>
            </c:numRef>
          </c:bubbleSize>
        </c:ser>
        <c:ser>
          <c:idx val="143"/>
          <c:order val="143"/>
          <c:tx>
            <c:strRef>
              <c:f>'2022_Data'!$A$145</c:f>
            </c:strRef>
          </c:tx>
          <c:dLbls>
            <c:dLblPos val="ctr"/>
            <c:showLegendKey val="0"/>
            <c:showVal val="0"/>
            <c:showCatName val="0"/>
            <c:showSerName val="1"/>
            <c:showPercent val="0"/>
            <c:showBubbleSize val="0"/>
          </c:dLbls>
          <c:xVal>
            <c:strRef>
              <c:f>'2022_Data'!$F$145</c:f>
            </c:strRef>
          </c:xVal>
          <c:yVal>
            <c:numRef>
              <c:f>'2022_Data'!$E$145</c:f>
              <c:numCache/>
            </c:numRef>
          </c:yVal>
          <c:bubbleSize>
            <c:numRef>
              <c:f>'2022_Data'!$G$145</c:f>
            </c:numRef>
          </c:bubbleSize>
        </c:ser>
        <c:ser>
          <c:idx val="144"/>
          <c:order val="144"/>
          <c:tx>
            <c:strRef>
              <c:f>'2022_Data'!$A$146</c:f>
            </c:strRef>
          </c:tx>
          <c:dLbls>
            <c:dLblPos val="ctr"/>
            <c:showLegendKey val="0"/>
            <c:showVal val="0"/>
            <c:showCatName val="0"/>
            <c:showSerName val="1"/>
            <c:showPercent val="0"/>
            <c:showBubbleSize val="0"/>
          </c:dLbls>
          <c:xVal>
            <c:strRef>
              <c:f>'2022_Data'!$F$146</c:f>
            </c:strRef>
          </c:xVal>
          <c:yVal>
            <c:numRef>
              <c:f>'2022_Data'!$E$146</c:f>
              <c:numCache/>
            </c:numRef>
          </c:yVal>
          <c:bubbleSize>
            <c:numRef>
              <c:f>'2022_Data'!$G$146</c:f>
            </c:numRef>
          </c:bubbleSize>
        </c:ser>
        <c:ser>
          <c:idx val="145"/>
          <c:order val="145"/>
          <c:tx>
            <c:strRef>
              <c:f>'2022_Data'!$A$147</c:f>
            </c:strRef>
          </c:tx>
          <c:dLbls>
            <c:dLblPos val="ctr"/>
            <c:showLegendKey val="0"/>
            <c:showVal val="0"/>
            <c:showCatName val="0"/>
            <c:showSerName val="1"/>
            <c:showPercent val="0"/>
            <c:showBubbleSize val="0"/>
          </c:dLbls>
          <c:xVal>
            <c:strRef>
              <c:f>'2022_Data'!$F$147</c:f>
            </c:strRef>
          </c:xVal>
          <c:yVal>
            <c:numRef>
              <c:f>'2022_Data'!$E$147</c:f>
              <c:numCache/>
            </c:numRef>
          </c:yVal>
          <c:bubbleSize>
            <c:numRef>
              <c:f>'2022_Data'!$G$147</c:f>
            </c:numRef>
          </c:bubbleSize>
        </c:ser>
        <c:ser>
          <c:idx val="146"/>
          <c:order val="146"/>
          <c:tx>
            <c:strRef>
              <c:f>'2022_Data'!$A$148</c:f>
            </c:strRef>
          </c:tx>
          <c:dLbls>
            <c:dLblPos val="ctr"/>
            <c:showLegendKey val="0"/>
            <c:showVal val="0"/>
            <c:showCatName val="0"/>
            <c:showSerName val="1"/>
            <c:showPercent val="0"/>
            <c:showBubbleSize val="0"/>
          </c:dLbls>
          <c:xVal>
            <c:strRef>
              <c:f>'2022_Data'!$F$148</c:f>
            </c:strRef>
          </c:xVal>
          <c:yVal>
            <c:numRef>
              <c:f>'2022_Data'!$E$148</c:f>
              <c:numCache/>
            </c:numRef>
          </c:yVal>
          <c:bubbleSize>
            <c:numRef>
              <c:f>'2022_Data'!$G$148</c:f>
            </c:numRef>
          </c:bubbleSize>
        </c:ser>
        <c:ser>
          <c:idx val="147"/>
          <c:order val="147"/>
          <c:tx>
            <c:strRef>
              <c:f>'2022_Data'!$A$149</c:f>
            </c:strRef>
          </c:tx>
          <c:dLbls>
            <c:dLblPos val="ctr"/>
            <c:showLegendKey val="0"/>
            <c:showVal val="0"/>
            <c:showCatName val="0"/>
            <c:showSerName val="1"/>
            <c:showPercent val="0"/>
            <c:showBubbleSize val="0"/>
          </c:dLbls>
          <c:xVal>
            <c:strRef>
              <c:f>'2022_Data'!$F$149</c:f>
            </c:strRef>
          </c:xVal>
          <c:yVal>
            <c:numRef>
              <c:f>'2022_Data'!$E$149</c:f>
              <c:numCache/>
            </c:numRef>
          </c:yVal>
          <c:bubbleSize>
            <c:numRef>
              <c:f>'2022_Data'!$G$149</c:f>
            </c:numRef>
          </c:bubbleSize>
        </c:ser>
        <c:ser>
          <c:idx val="148"/>
          <c:order val="148"/>
          <c:tx>
            <c:strRef>
              <c:f>'2022_Data'!$A$150</c:f>
            </c:strRef>
          </c:tx>
          <c:dLbls>
            <c:dLblPos val="ctr"/>
            <c:showLegendKey val="0"/>
            <c:showVal val="0"/>
            <c:showCatName val="0"/>
            <c:showSerName val="1"/>
            <c:showPercent val="0"/>
            <c:showBubbleSize val="0"/>
          </c:dLbls>
          <c:xVal>
            <c:strRef>
              <c:f>'2022_Data'!$F$150</c:f>
            </c:strRef>
          </c:xVal>
          <c:yVal>
            <c:numRef>
              <c:f>'2022_Data'!$E$150</c:f>
              <c:numCache/>
            </c:numRef>
          </c:yVal>
          <c:bubbleSize>
            <c:numRef>
              <c:f>'2022_Data'!$G$150</c:f>
            </c:numRef>
          </c:bubbleSize>
        </c:ser>
        <c:ser>
          <c:idx val="149"/>
          <c:order val="149"/>
          <c:tx>
            <c:strRef>
              <c:f>'2022_Data'!$A$151</c:f>
            </c:strRef>
          </c:tx>
          <c:dLbls>
            <c:dLblPos val="ctr"/>
            <c:showLegendKey val="0"/>
            <c:showVal val="0"/>
            <c:showCatName val="0"/>
            <c:showSerName val="1"/>
            <c:showPercent val="0"/>
            <c:showBubbleSize val="0"/>
          </c:dLbls>
          <c:xVal>
            <c:strRef>
              <c:f>'2022_Data'!$F$151</c:f>
            </c:strRef>
          </c:xVal>
          <c:yVal>
            <c:numRef>
              <c:f>'2022_Data'!$E$151</c:f>
              <c:numCache/>
            </c:numRef>
          </c:yVal>
          <c:bubbleSize>
            <c:numRef>
              <c:f>'2022_Data'!$G$151</c:f>
            </c:numRef>
          </c:bubbleSize>
        </c:ser>
        <c:ser>
          <c:idx val="150"/>
          <c:order val="150"/>
          <c:tx>
            <c:strRef>
              <c:f>'2022_Data'!$A$152</c:f>
            </c:strRef>
          </c:tx>
          <c:dLbls>
            <c:dLblPos val="ctr"/>
            <c:showLegendKey val="0"/>
            <c:showVal val="0"/>
            <c:showCatName val="0"/>
            <c:showSerName val="1"/>
            <c:showPercent val="0"/>
            <c:showBubbleSize val="0"/>
          </c:dLbls>
          <c:xVal>
            <c:strRef>
              <c:f>'2022_Data'!$F$152</c:f>
            </c:strRef>
          </c:xVal>
          <c:yVal>
            <c:numRef>
              <c:f>'2022_Data'!$E$152</c:f>
              <c:numCache/>
            </c:numRef>
          </c:yVal>
          <c:bubbleSize>
            <c:numRef>
              <c:f>'2022_Data'!$G$152</c:f>
            </c:numRef>
          </c:bubbleSize>
        </c:ser>
        <c:ser>
          <c:idx val="151"/>
          <c:order val="151"/>
          <c:tx>
            <c:strRef>
              <c:f>'2022_Data'!$A$153</c:f>
            </c:strRef>
          </c:tx>
          <c:dLbls>
            <c:dLblPos val="ctr"/>
            <c:showLegendKey val="0"/>
            <c:showVal val="0"/>
            <c:showCatName val="0"/>
            <c:showSerName val="1"/>
            <c:showPercent val="0"/>
            <c:showBubbleSize val="0"/>
          </c:dLbls>
          <c:xVal>
            <c:strRef>
              <c:f>'2022_Data'!$F$153</c:f>
            </c:strRef>
          </c:xVal>
          <c:yVal>
            <c:numRef>
              <c:f>'2022_Data'!$E$153</c:f>
              <c:numCache/>
            </c:numRef>
          </c:yVal>
          <c:bubbleSize>
            <c:numRef>
              <c:f>'2022_Data'!$G$153</c:f>
            </c:numRef>
          </c:bubbleSize>
        </c:ser>
        <c:ser>
          <c:idx val="152"/>
          <c:order val="152"/>
          <c:tx>
            <c:strRef>
              <c:f>'2022_Data'!$A$154</c:f>
            </c:strRef>
          </c:tx>
          <c:dLbls>
            <c:dLblPos val="ctr"/>
            <c:showLegendKey val="0"/>
            <c:showVal val="0"/>
            <c:showCatName val="0"/>
            <c:showSerName val="1"/>
            <c:showPercent val="0"/>
            <c:showBubbleSize val="0"/>
          </c:dLbls>
          <c:xVal>
            <c:strRef>
              <c:f>'2022_Data'!$F$154</c:f>
            </c:strRef>
          </c:xVal>
          <c:yVal>
            <c:numRef>
              <c:f>'2022_Data'!$E$154</c:f>
              <c:numCache/>
            </c:numRef>
          </c:yVal>
          <c:bubbleSize>
            <c:numRef>
              <c:f>'2022_Data'!$G$154</c:f>
            </c:numRef>
          </c:bubbleSize>
        </c:ser>
        <c:ser>
          <c:idx val="153"/>
          <c:order val="153"/>
          <c:tx>
            <c:strRef>
              <c:f>'2022_Data'!$A$155</c:f>
            </c:strRef>
          </c:tx>
          <c:dLbls>
            <c:dLblPos val="ctr"/>
            <c:showLegendKey val="0"/>
            <c:showVal val="0"/>
            <c:showCatName val="0"/>
            <c:showSerName val="1"/>
            <c:showPercent val="0"/>
            <c:showBubbleSize val="0"/>
          </c:dLbls>
          <c:xVal>
            <c:strRef>
              <c:f>'2022_Data'!$F$155</c:f>
            </c:strRef>
          </c:xVal>
          <c:yVal>
            <c:numRef>
              <c:f>'2022_Data'!$E$155</c:f>
              <c:numCache/>
            </c:numRef>
          </c:yVal>
          <c:bubbleSize>
            <c:numRef>
              <c:f>'2022_Data'!$G$155</c:f>
            </c:numRef>
          </c:bubbleSize>
        </c:ser>
        <c:ser>
          <c:idx val="154"/>
          <c:order val="154"/>
          <c:tx>
            <c:strRef>
              <c:f>'2022_Data'!$A$156</c:f>
            </c:strRef>
          </c:tx>
          <c:dLbls>
            <c:dLblPos val="ctr"/>
            <c:showLegendKey val="0"/>
            <c:showVal val="0"/>
            <c:showCatName val="0"/>
            <c:showSerName val="1"/>
            <c:showPercent val="0"/>
            <c:showBubbleSize val="0"/>
          </c:dLbls>
          <c:xVal>
            <c:strRef>
              <c:f>'2022_Data'!$F$156</c:f>
            </c:strRef>
          </c:xVal>
          <c:yVal>
            <c:numRef>
              <c:f>'2022_Data'!$E$156</c:f>
              <c:numCache/>
            </c:numRef>
          </c:yVal>
          <c:bubbleSize>
            <c:numRef>
              <c:f>'2022_Data'!$G$156</c:f>
            </c:numRef>
          </c:bubbleSize>
        </c:ser>
        <c:ser>
          <c:idx val="155"/>
          <c:order val="155"/>
          <c:tx>
            <c:strRef>
              <c:f>'2022_Data'!$A$157</c:f>
            </c:strRef>
          </c:tx>
          <c:dLbls>
            <c:dLblPos val="ctr"/>
            <c:showLegendKey val="0"/>
            <c:showVal val="0"/>
            <c:showCatName val="0"/>
            <c:showSerName val="1"/>
            <c:showPercent val="0"/>
            <c:showBubbleSize val="0"/>
          </c:dLbls>
          <c:xVal>
            <c:strRef>
              <c:f>'2022_Data'!$F$157</c:f>
            </c:strRef>
          </c:xVal>
          <c:yVal>
            <c:numRef>
              <c:f>'2022_Data'!$E$157</c:f>
              <c:numCache/>
            </c:numRef>
          </c:yVal>
          <c:bubbleSize>
            <c:numRef>
              <c:f>'2022_Data'!$G$157</c:f>
            </c:numRef>
          </c:bubbleSize>
        </c:ser>
        <c:ser>
          <c:idx val="156"/>
          <c:order val="156"/>
          <c:tx>
            <c:strRef>
              <c:f>'2022_Data'!$A$158</c:f>
            </c:strRef>
          </c:tx>
          <c:dLbls>
            <c:dLblPos val="ctr"/>
            <c:showLegendKey val="0"/>
            <c:showVal val="0"/>
            <c:showCatName val="0"/>
            <c:showSerName val="1"/>
            <c:showPercent val="0"/>
            <c:showBubbleSize val="0"/>
          </c:dLbls>
          <c:xVal>
            <c:strRef>
              <c:f>'2022_Data'!$F$158</c:f>
            </c:strRef>
          </c:xVal>
          <c:yVal>
            <c:numRef>
              <c:f>'2022_Data'!$E$158</c:f>
              <c:numCache/>
            </c:numRef>
          </c:yVal>
          <c:bubbleSize>
            <c:numRef>
              <c:f>'2022_Data'!$G$158</c:f>
            </c:numRef>
          </c:bubbleSize>
        </c:ser>
        <c:ser>
          <c:idx val="157"/>
          <c:order val="157"/>
          <c:tx>
            <c:strRef>
              <c:f>'2022_Data'!$A$159</c:f>
            </c:strRef>
          </c:tx>
          <c:dLbls>
            <c:dLblPos val="ctr"/>
            <c:showLegendKey val="0"/>
            <c:showVal val="0"/>
            <c:showCatName val="0"/>
            <c:showSerName val="1"/>
            <c:showPercent val="0"/>
            <c:showBubbleSize val="0"/>
          </c:dLbls>
          <c:xVal>
            <c:strRef>
              <c:f>'2022_Data'!$F$159</c:f>
            </c:strRef>
          </c:xVal>
          <c:yVal>
            <c:numRef>
              <c:f>'2022_Data'!$E$159</c:f>
              <c:numCache/>
            </c:numRef>
          </c:yVal>
          <c:bubbleSize>
            <c:numRef>
              <c:f>'2022_Data'!$G$159</c:f>
            </c:numRef>
          </c:bubbleSize>
        </c:ser>
        <c:ser>
          <c:idx val="158"/>
          <c:order val="158"/>
          <c:tx>
            <c:strRef>
              <c:f>'2022_Data'!$A$160</c:f>
            </c:strRef>
          </c:tx>
          <c:dLbls>
            <c:dLblPos val="ctr"/>
            <c:showLegendKey val="0"/>
            <c:showVal val="0"/>
            <c:showCatName val="0"/>
            <c:showSerName val="1"/>
            <c:showPercent val="0"/>
            <c:showBubbleSize val="0"/>
          </c:dLbls>
          <c:xVal>
            <c:strRef>
              <c:f>'2022_Data'!$F$160</c:f>
            </c:strRef>
          </c:xVal>
          <c:yVal>
            <c:numRef>
              <c:f>'2022_Data'!$E$160</c:f>
              <c:numCache/>
            </c:numRef>
          </c:yVal>
          <c:bubbleSize>
            <c:numRef>
              <c:f>'2022_Data'!$G$160</c:f>
            </c:numRef>
          </c:bubbleSize>
        </c:ser>
        <c:ser>
          <c:idx val="159"/>
          <c:order val="159"/>
          <c:tx>
            <c:strRef>
              <c:f>'2022_Data'!$A$161</c:f>
            </c:strRef>
          </c:tx>
          <c:dLbls>
            <c:dLblPos val="ctr"/>
            <c:showLegendKey val="0"/>
            <c:showVal val="0"/>
            <c:showCatName val="0"/>
            <c:showSerName val="1"/>
            <c:showPercent val="0"/>
            <c:showBubbleSize val="0"/>
          </c:dLbls>
          <c:xVal>
            <c:strRef>
              <c:f>'2022_Data'!$F$161</c:f>
            </c:strRef>
          </c:xVal>
          <c:yVal>
            <c:numRef>
              <c:f>'2022_Data'!$E$161</c:f>
              <c:numCache/>
            </c:numRef>
          </c:yVal>
          <c:bubbleSize>
            <c:numRef>
              <c:f>'2022_Data'!$G$161</c:f>
            </c:numRef>
          </c:bubbleSize>
        </c:ser>
        <c:ser>
          <c:idx val="160"/>
          <c:order val="160"/>
          <c:tx>
            <c:strRef>
              <c:f>'2022_Data'!$A$162</c:f>
            </c:strRef>
          </c:tx>
          <c:dLbls>
            <c:dLblPos val="ctr"/>
            <c:showLegendKey val="0"/>
            <c:showVal val="0"/>
            <c:showCatName val="0"/>
            <c:showSerName val="1"/>
            <c:showPercent val="0"/>
            <c:showBubbleSize val="0"/>
          </c:dLbls>
          <c:xVal>
            <c:strRef>
              <c:f>'2022_Data'!$F$162</c:f>
            </c:strRef>
          </c:xVal>
          <c:yVal>
            <c:numRef>
              <c:f>'2022_Data'!$E$162</c:f>
              <c:numCache/>
            </c:numRef>
          </c:yVal>
          <c:bubbleSize>
            <c:numRef>
              <c:f>'2022_Data'!$G$162</c:f>
            </c:numRef>
          </c:bubbleSize>
        </c:ser>
        <c:ser>
          <c:idx val="161"/>
          <c:order val="161"/>
          <c:tx>
            <c:strRef>
              <c:f>'2022_Data'!$A$163</c:f>
            </c:strRef>
          </c:tx>
          <c:dLbls>
            <c:dLblPos val="ctr"/>
            <c:showLegendKey val="0"/>
            <c:showVal val="0"/>
            <c:showCatName val="0"/>
            <c:showSerName val="1"/>
            <c:showPercent val="0"/>
            <c:showBubbleSize val="0"/>
          </c:dLbls>
          <c:xVal>
            <c:strRef>
              <c:f>'2022_Data'!$F$163</c:f>
            </c:strRef>
          </c:xVal>
          <c:yVal>
            <c:numRef>
              <c:f>'2022_Data'!$E$163</c:f>
              <c:numCache/>
            </c:numRef>
          </c:yVal>
          <c:bubbleSize>
            <c:numRef>
              <c:f>'2022_Data'!$G$163</c:f>
            </c:numRef>
          </c:bubbleSize>
        </c:ser>
        <c:ser>
          <c:idx val="162"/>
          <c:order val="162"/>
          <c:tx>
            <c:strRef>
              <c:f>'2022_Data'!$A$164</c:f>
            </c:strRef>
          </c:tx>
          <c:dLbls>
            <c:dLblPos val="ctr"/>
            <c:showLegendKey val="0"/>
            <c:showVal val="0"/>
            <c:showCatName val="0"/>
            <c:showSerName val="1"/>
            <c:showPercent val="0"/>
            <c:showBubbleSize val="0"/>
          </c:dLbls>
          <c:xVal>
            <c:strRef>
              <c:f>'2022_Data'!$F$164</c:f>
            </c:strRef>
          </c:xVal>
          <c:yVal>
            <c:numRef>
              <c:f>'2022_Data'!$E$164</c:f>
              <c:numCache/>
            </c:numRef>
          </c:yVal>
          <c:bubbleSize>
            <c:numRef>
              <c:f>'2022_Data'!$G$164</c:f>
            </c:numRef>
          </c:bubbleSize>
        </c:ser>
        <c:ser>
          <c:idx val="163"/>
          <c:order val="163"/>
          <c:tx>
            <c:strRef>
              <c:f>'2022_Data'!$A$165</c:f>
            </c:strRef>
          </c:tx>
          <c:dLbls>
            <c:dLblPos val="ctr"/>
            <c:showLegendKey val="0"/>
            <c:showVal val="0"/>
            <c:showCatName val="0"/>
            <c:showSerName val="1"/>
            <c:showPercent val="0"/>
            <c:showBubbleSize val="0"/>
          </c:dLbls>
          <c:xVal>
            <c:strRef>
              <c:f>'2022_Data'!$F$165</c:f>
            </c:strRef>
          </c:xVal>
          <c:yVal>
            <c:numRef>
              <c:f>'2022_Data'!$E$165</c:f>
              <c:numCache/>
            </c:numRef>
          </c:yVal>
          <c:bubbleSize>
            <c:numRef>
              <c:f>'2022_Data'!$G$165</c:f>
            </c:numRef>
          </c:bubbleSize>
        </c:ser>
        <c:ser>
          <c:idx val="164"/>
          <c:order val="164"/>
          <c:tx>
            <c:strRef>
              <c:f>'2022_Data'!$A$166</c:f>
            </c:strRef>
          </c:tx>
          <c:dLbls>
            <c:dLblPos val="ctr"/>
            <c:showLegendKey val="0"/>
            <c:showVal val="0"/>
            <c:showCatName val="0"/>
            <c:showSerName val="1"/>
            <c:showPercent val="0"/>
            <c:showBubbleSize val="0"/>
          </c:dLbls>
          <c:xVal>
            <c:strRef>
              <c:f>'2022_Data'!$F$166</c:f>
            </c:strRef>
          </c:xVal>
          <c:yVal>
            <c:numRef>
              <c:f>'2022_Data'!$E$166</c:f>
              <c:numCache/>
            </c:numRef>
          </c:yVal>
          <c:bubbleSize>
            <c:numRef>
              <c:f>'2022_Data'!$G$166</c:f>
            </c:numRef>
          </c:bubbleSize>
        </c:ser>
        <c:ser>
          <c:idx val="165"/>
          <c:order val="165"/>
          <c:tx>
            <c:strRef>
              <c:f>'2022_Data'!$A$167</c:f>
            </c:strRef>
          </c:tx>
          <c:dLbls>
            <c:dLblPos val="ctr"/>
            <c:showLegendKey val="0"/>
            <c:showVal val="0"/>
            <c:showCatName val="0"/>
            <c:showSerName val="1"/>
            <c:showPercent val="0"/>
            <c:showBubbleSize val="0"/>
          </c:dLbls>
          <c:xVal>
            <c:strRef>
              <c:f>'2022_Data'!$F$167</c:f>
            </c:strRef>
          </c:xVal>
          <c:yVal>
            <c:numRef>
              <c:f>'2022_Data'!$E$167</c:f>
              <c:numCache/>
            </c:numRef>
          </c:yVal>
          <c:bubbleSize>
            <c:numRef>
              <c:f>'2022_Data'!$G$167</c:f>
            </c:numRef>
          </c:bubbleSize>
        </c:ser>
        <c:ser>
          <c:idx val="166"/>
          <c:order val="166"/>
          <c:tx>
            <c:strRef>
              <c:f>'2022_Data'!$A$168</c:f>
            </c:strRef>
          </c:tx>
          <c:dLbls>
            <c:dLblPos val="ctr"/>
            <c:showLegendKey val="0"/>
            <c:showVal val="0"/>
            <c:showCatName val="0"/>
            <c:showSerName val="1"/>
            <c:showPercent val="0"/>
            <c:showBubbleSize val="0"/>
          </c:dLbls>
          <c:xVal>
            <c:strRef>
              <c:f>'2022_Data'!$F$168</c:f>
            </c:strRef>
          </c:xVal>
          <c:yVal>
            <c:numRef>
              <c:f>'2022_Data'!$E$168</c:f>
              <c:numCache/>
            </c:numRef>
          </c:yVal>
          <c:bubbleSize>
            <c:numRef>
              <c:f>'2022_Data'!$G$168</c:f>
            </c:numRef>
          </c:bubbleSize>
        </c:ser>
        <c:ser>
          <c:idx val="167"/>
          <c:order val="167"/>
          <c:tx>
            <c:strRef>
              <c:f>'2022_Data'!$A$169</c:f>
            </c:strRef>
          </c:tx>
          <c:dLbls>
            <c:dLblPos val="ctr"/>
            <c:showLegendKey val="0"/>
            <c:showVal val="0"/>
            <c:showCatName val="0"/>
            <c:showSerName val="1"/>
            <c:showPercent val="0"/>
            <c:showBubbleSize val="0"/>
          </c:dLbls>
          <c:xVal>
            <c:strRef>
              <c:f>'2022_Data'!$F$169</c:f>
            </c:strRef>
          </c:xVal>
          <c:yVal>
            <c:numRef>
              <c:f>'2022_Data'!$E$169</c:f>
              <c:numCache/>
            </c:numRef>
          </c:yVal>
          <c:bubbleSize>
            <c:numRef>
              <c:f>'2022_Data'!$G$169</c:f>
            </c:numRef>
          </c:bubbleSize>
        </c:ser>
        <c:ser>
          <c:idx val="168"/>
          <c:order val="168"/>
          <c:tx>
            <c:strRef>
              <c:f>'2022_Data'!$A$170</c:f>
            </c:strRef>
          </c:tx>
          <c:dLbls>
            <c:dLblPos val="ctr"/>
            <c:showLegendKey val="0"/>
            <c:showVal val="0"/>
            <c:showCatName val="0"/>
            <c:showSerName val="1"/>
            <c:showPercent val="0"/>
            <c:showBubbleSize val="0"/>
          </c:dLbls>
          <c:xVal>
            <c:strRef>
              <c:f>'2022_Data'!$F$170</c:f>
            </c:strRef>
          </c:xVal>
          <c:yVal>
            <c:numRef>
              <c:f>'2022_Data'!$E$170</c:f>
              <c:numCache/>
            </c:numRef>
          </c:yVal>
          <c:bubbleSize>
            <c:numRef>
              <c:f>'2022_Data'!$G$170</c:f>
            </c:numRef>
          </c:bubbleSize>
        </c:ser>
        <c:ser>
          <c:idx val="169"/>
          <c:order val="169"/>
          <c:tx>
            <c:strRef>
              <c:f>'2022_Data'!$A$171</c:f>
            </c:strRef>
          </c:tx>
          <c:dLbls>
            <c:dLblPos val="ctr"/>
            <c:showLegendKey val="0"/>
            <c:showVal val="0"/>
            <c:showCatName val="0"/>
            <c:showSerName val="1"/>
            <c:showPercent val="0"/>
            <c:showBubbleSize val="0"/>
          </c:dLbls>
          <c:xVal>
            <c:strRef>
              <c:f>'2022_Data'!$F$171</c:f>
            </c:strRef>
          </c:xVal>
          <c:yVal>
            <c:numRef>
              <c:f>'2022_Data'!$E$171</c:f>
              <c:numCache/>
            </c:numRef>
          </c:yVal>
          <c:bubbleSize>
            <c:numRef>
              <c:f>'2022_Data'!$G$171</c:f>
            </c:numRef>
          </c:bubbleSize>
        </c:ser>
        <c:ser>
          <c:idx val="170"/>
          <c:order val="170"/>
          <c:tx>
            <c:strRef>
              <c:f>'2022_Data'!$A$172</c:f>
            </c:strRef>
          </c:tx>
          <c:dLbls>
            <c:dLblPos val="ctr"/>
            <c:showLegendKey val="0"/>
            <c:showVal val="0"/>
            <c:showCatName val="0"/>
            <c:showSerName val="1"/>
            <c:showPercent val="0"/>
            <c:showBubbleSize val="0"/>
          </c:dLbls>
          <c:xVal>
            <c:strRef>
              <c:f>'2022_Data'!$F$172</c:f>
            </c:strRef>
          </c:xVal>
          <c:yVal>
            <c:numRef>
              <c:f>'2022_Data'!$E$172</c:f>
              <c:numCache/>
            </c:numRef>
          </c:yVal>
          <c:bubbleSize>
            <c:numRef>
              <c:f>'2022_Data'!$G$172</c:f>
            </c:numRef>
          </c:bubbleSize>
        </c:ser>
        <c:ser>
          <c:idx val="171"/>
          <c:order val="171"/>
          <c:tx>
            <c:strRef>
              <c:f>'2022_Data'!$A$173</c:f>
            </c:strRef>
          </c:tx>
          <c:dLbls>
            <c:dLblPos val="ctr"/>
            <c:showLegendKey val="0"/>
            <c:showVal val="0"/>
            <c:showCatName val="0"/>
            <c:showSerName val="1"/>
            <c:showPercent val="0"/>
            <c:showBubbleSize val="0"/>
          </c:dLbls>
          <c:xVal>
            <c:strRef>
              <c:f>'2022_Data'!$F$173</c:f>
            </c:strRef>
          </c:xVal>
          <c:yVal>
            <c:numRef>
              <c:f>'2022_Data'!$E$173</c:f>
              <c:numCache/>
            </c:numRef>
          </c:yVal>
          <c:bubbleSize>
            <c:numRef>
              <c:f>'2022_Data'!$G$173</c:f>
            </c:numRef>
          </c:bubbleSize>
        </c:ser>
        <c:ser>
          <c:idx val="172"/>
          <c:order val="172"/>
          <c:tx>
            <c:strRef>
              <c:f>'2022_Data'!$A$174</c:f>
            </c:strRef>
          </c:tx>
          <c:dLbls>
            <c:dLblPos val="ctr"/>
            <c:showLegendKey val="0"/>
            <c:showVal val="0"/>
            <c:showCatName val="0"/>
            <c:showSerName val="1"/>
            <c:showPercent val="0"/>
            <c:showBubbleSize val="0"/>
          </c:dLbls>
          <c:xVal>
            <c:strRef>
              <c:f>'2022_Data'!$F$174</c:f>
            </c:strRef>
          </c:xVal>
          <c:yVal>
            <c:numRef>
              <c:f>'2022_Data'!$E$174</c:f>
              <c:numCache/>
            </c:numRef>
          </c:yVal>
          <c:bubbleSize>
            <c:numRef>
              <c:f>'2022_Data'!$G$174</c:f>
            </c:numRef>
          </c:bubbleSize>
        </c:ser>
        <c:ser>
          <c:idx val="173"/>
          <c:order val="173"/>
          <c:tx>
            <c:strRef>
              <c:f>'2022_Data'!$A$175</c:f>
            </c:strRef>
          </c:tx>
          <c:dLbls>
            <c:dLblPos val="ctr"/>
            <c:showLegendKey val="0"/>
            <c:showVal val="0"/>
            <c:showCatName val="0"/>
            <c:showSerName val="1"/>
            <c:showPercent val="0"/>
            <c:showBubbleSize val="0"/>
          </c:dLbls>
          <c:xVal>
            <c:strRef>
              <c:f>'2022_Data'!$F$175</c:f>
            </c:strRef>
          </c:xVal>
          <c:yVal>
            <c:numRef>
              <c:f>'2022_Data'!$E$175</c:f>
              <c:numCache/>
            </c:numRef>
          </c:yVal>
          <c:bubbleSize>
            <c:numRef>
              <c:f>'2022_Data'!$G$175</c:f>
            </c:numRef>
          </c:bubbleSize>
        </c:ser>
        <c:ser>
          <c:idx val="174"/>
          <c:order val="174"/>
          <c:tx>
            <c:strRef>
              <c:f>'2022_Data'!$A$176</c:f>
            </c:strRef>
          </c:tx>
          <c:dLbls>
            <c:dLblPos val="ctr"/>
            <c:showLegendKey val="0"/>
            <c:showVal val="0"/>
            <c:showCatName val="0"/>
            <c:showSerName val="1"/>
            <c:showPercent val="0"/>
            <c:showBubbleSize val="0"/>
          </c:dLbls>
          <c:xVal>
            <c:strRef>
              <c:f>'2022_Data'!$F$176</c:f>
            </c:strRef>
          </c:xVal>
          <c:yVal>
            <c:numRef>
              <c:f>'2022_Data'!$E$176</c:f>
              <c:numCache/>
            </c:numRef>
          </c:yVal>
          <c:bubbleSize>
            <c:numRef>
              <c:f>'2022_Data'!$G$176</c:f>
            </c:numRef>
          </c:bubbleSize>
        </c:ser>
        <c:ser>
          <c:idx val="175"/>
          <c:order val="175"/>
          <c:tx>
            <c:strRef>
              <c:f>'2022_Data'!$A$177</c:f>
            </c:strRef>
          </c:tx>
          <c:dLbls>
            <c:dLblPos val="ctr"/>
            <c:showLegendKey val="0"/>
            <c:showVal val="0"/>
            <c:showCatName val="0"/>
            <c:showSerName val="1"/>
            <c:showPercent val="0"/>
            <c:showBubbleSize val="0"/>
          </c:dLbls>
          <c:xVal>
            <c:strRef>
              <c:f>'2022_Data'!$F$177</c:f>
            </c:strRef>
          </c:xVal>
          <c:yVal>
            <c:numRef>
              <c:f>'2022_Data'!$E$177</c:f>
              <c:numCache/>
            </c:numRef>
          </c:yVal>
          <c:bubbleSize>
            <c:numRef>
              <c:f>'2022_Data'!$G$177</c:f>
            </c:numRef>
          </c:bubbleSize>
        </c:ser>
        <c:ser>
          <c:idx val="176"/>
          <c:order val="176"/>
          <c:tx>
            <c:strRef>
              <c:f>'2022_Data'!$A$178</c:f>
            </c:strRef>
          </c:tx>
          <c:dLbls>
            <c:dLblPos val="ctr"/>
            <c:showLegendKey val="0"/>
            <c:showVal val="0"/>
            <c:showCatName val="0"/>
            <c:showSerName val="1"/>
            <c:showPercent val="0"/>
            <c:showBubbleSize val="0"/>
          </c:dLbls>
          <c:xVal>
            <c:strRef>
              <c:f>'2022_Data'!$F$178</c:f>
            </c:strRef>
          </c:xVal>
          <c:yVal>
            <c:numRef>
              <c:f>'2022_Data'!$E$178</c:f>
              <c:numCache/>
            </c:numRef>
          </c:yVal>
          <c:bubbleSize>
            <c:numRef>
              <c:f>'2022_Data'!$G$178</c:f>
            </c:numRef>
          </c:bubbleSize>
        </c:ser>
        <c:ser>
          <c:idx val="177"/>
          <c:order val="177"/>
          <c:tx>
            <c:strRef>
              <c:f>'2022_Data'!$A$179</c:f>
            </c:strRef>
          </c:tx>
          <c:dLbls>
            <c:dLblPos val="ctr"/>
            <c:showLegendKey val="0"/>
            <c:showVal val="0"/>
            <c:showCatName val="0"/>
            <c:showSerName val="1"/>
            <c:showPercent val="0"/>
            <c:showBubbleSize val="0"/>
          </c:dLbls>
          <c:xVal>
            <c:strRef>
              <c:f>'2022_Data'!$F$179</c:f>
            </c:strRef>
          </c:xVal>
          <c:yVal>
            <c:numRef>
              <c:f>'2022_Data'!$E$179</c:f>
              <c:numCache/>
            </c:numRef>
          </c:yVal>
          <c:bubbleSize>
            <c:numRef>
              <c:f>'2022_Data'!$G$179</c:f>
            </c:numRef>
          </c:bubbleSize>
        </c:ser>
        <c:ser>
          <c:idx val="178"/>
          <c:order val="178"/>
          <c:tx>
            <c:strRef>
              <c:f>'2022_Data'!$A$180</c:f>
            </c:strRef>
          </c:tx>
          <c:dLbls>
            <c:dLblPos val="ctr"/>
            <c:showLegendKey val="0"/>
            <c:showVal val="0"/>
            <c:showCatName val="0"/>
            <c:showSerName val="1"/>
            <c:showPercent val="0"/>
            <c:showBubbleSize val="0"/>
          </c:dLbls>
          <c:xVal>
            <c:strRef>
              <c:f>'2022_Data'!$F$180</c:f>
            </c:strRef>
          </c:xVal>
          <c:yVal>
            <c:numRef>
              <c:f>'2022_Data'!$E$180</c:f>
              <c:numCache/>
            </c:numRef>
          </c:yVal>
          <c:bubbleSize>
            <c:numRef>
              <c:f>'2022_Data'!$G$180</c:f>
            </c:numRef>
          </c:bubbleSize>
        </c:ser>
        <c:ser>
          <c:idx val="179"/>
          <c:order val="179"/>
          <c:tx>
            <c:strRef>
              <c:f>'2022_Data'!$A$181</c:f>
            </c:strRef>
          </c:tx>
          <c:dLbls>
            <c:dLblPos val="ctr"/>
            <c:showLegendKey val="0"/>
            <c:showVal val="0"/>
            <c:showCatName val="0"/>
            <c:showSerName val="1"/>
            <c:showPercent val="0"/>
            <c:showBubbleSize val="0"/>
          </c:dLbls>
          <c:xVal>
            <c:strRef>
              <c:f>'2022_Data'!$F$181</c:f>
            </c:strRef>
          </c:xVal>
          <c:yVal>
            <c:numRef>
              <c:f>'2022_Data'!$E$181</c:f>
              <c:numCache/>
            </c:numRef>
          </c:yVal>
          <c:bubbleSize>
            <c:numRef>
              <c:f>'2022_Data'!$G$181</c:f>
            </c:numRef>
          </c:bubbleSize>
        </c:ser>
        <c:ser>
          <c:idx val="180"/>
          <c:order val="180"/>
          <c:tx>
            <c:strRef>
              <c:f>'2022_Data'!$A$182</c:f>
            </c:strRef>
          </c:tx>
          <c:dLbls>
            <c:dLblPos val="ctr"/>
            <c:showLegendKey val="0"/>
            <c:showVal val="0"/>
            <c:showCatName val="0"/>
            <c:showSerName val="1"/>
            <c:showPercent val="0"/>
            <c:showBubbleSize val="0"/>
          </c:dLbls>
          <c:xVal>
            <c:strRef>
              <c:f>'2022_Data'!$F$182</c:f>
            </c:strRef>
          </c:xVal>
          <c:yVal>
            <c:numRef>
              <c:f>'2022_Data'!$E$182</c:f>
              <c:numCache/>
            </c:numRef>
          </c:yVal>
          <c:bubbleSize>
            <c:numRef>
              <c:f>'2022_Data'!$G$182</c:f>
            </c:numRef>
          </c:bubbleSize>
        </c:ser>
        <c:ser>
          <c:idx val="181"/>
          <c:order val="181"/>
          <c:tx>
            <c:strRef>
              <c:f>'2022_Data'!$A$183</c:f>
            </c:strRef>
          </c:tx>
          <c:dLbls>
            <c:dLblPos val="ctr"/>
            <c:showLegendKey val="0"/>
            <c:showVal val="0"/>
            <c:showCatName val="0"/>
            <c:showSerName val="1"/>
            <c:showPercent val="0"/>
            <c:showBubbleSize val="0"/>
          </c:dLbls>
          <c:xVal>
            <c:strRef>
              <c:f>'2022_Data'!$F$183</c:f>
            </c:strRef>
          </c:xVal>
          <c:yVal>
            <c:numRef>
              <c:f>'2022_Data'!$E$183</c:f>
              <c:numCache/>
            </c:numRef>
          </c:yVal>
          <c:bubbleSize>
            <c:numRef>
              <c:f>'2022_Data'!$G$183</c:f>
            </c:numRef>
          </c:bubbleSize>
        </c:ser>
        <c:ser>
          <c:idx val="182"/>
          <c:order val="182"/>
          <c:tx>
            <c:strRef>
              <c:f>'2022_Data'!$A$184</c:f>
            </c:strRef>
          </c:tx>
          <c:dLbls>
            <c:dLblPos val="ctr"/>
            <c:showLegendKey val="0"/>
            <c:showVal val="0"/>
            <c:showCatName val="0"/>
            <c:showSerName val="1"/>
            <c:showPercent val="0"/>
            <c:showBubbleSize val="0"/>
          </c:dLbls>
          <c:xVal>
            <c:strRef>
              <c:f>'2022_Data'!$F$184</c:f>
            </c:strRef>
          </c:xVal>
          <c:yVal>
            <c:numRef>
              <c:f>'2022_Data'!$E$184</c:f>
              <c:numCache/>
            </c:numRef>
          </c:yVal>
          <c:bubbleSize>
            <c:numRef>
              <c:f>'2022_Data'!$G$184</c:f>
            </c:numRef>
          </c:bubbleSize>
        </c:ser>
        <c:ser>
          <c:idx val="183"/>
          <c:order val="183"/>
          <c:tx>
            <c:strRef>
              <c:f>'2022_Data'!$A$185</c:f>
            </c:strRef>
          </c:tx>
          <c:dLbls>
            <c:dLblPos val="ctr"/>
            <c:showLegendKey val="0"/>
            <c:showVal val="0"/>
            <c:showCatName val="0"/>
            <c:showSerName val="1"/>
            <c:showPercent val="0"/>
            <c:showBubbleSize val="0"/>
          </c:dLbls>
          <c:xVal>
            <c:strRef>
              <c:f>'2022_Data'!$F$185</c:f>
            </c:strRef>
          </c:xVal>
          <c:yVal>
            <c:numRef>
              <c:f>'2022_Data'!$E$185</c:f>
              <c:numCache/>
            </c:numRef>
          </c:yVal>
          <c:bubbleSize>
            <c:numRef>
              <c:f>'2022_Data'!$G$185</c:f>
            </c:numRef>
          </c:bubbleSize>
        </c:ser>
        <c:ser>
          <c:idx val="184"/>
          <c:order val="184"/>
          <c:tx>
            <c:strRef>
              <c:f>'2022_Data'!$A$186</c:f>
            </c:strRef>
          </c:tx>
          <c:dLbls>
            <c:dLblPos val="ctr"/>
            <c:showLegendKey val="0"/>
            <c:showVal val="0"/>
            <c:showCatName val="0"/>
            <c:showSerName val="1"/>
            <c:showPercent val="0"/>
            <c:showBubbleSize val="0"/>
          </c:dLbls>
          <c:xVal>
            <c:strRef>
              <c:f>'2022_Data'!$F$186</c:f>
            </c:strRef>
          </c:xVal>
          <c:yVal>
            <c:numRef>
              <c:f>'2022_Data'!$E$186</c:f>
              <c:numCache/>
            </c:numRef>
          </c:yVal>
          <c:bubbleSize>
            <c:numRef>
              <c:f>'2022_Data'!$G$186</c:f>
            </c:numRef>
          </c:bubbleSize>
        </c:ser>
        <c:ser>
          <c:idx val="185"/>
          <c:order val="185"/>
          <c:tx>
            <c:strRef>
              <c:f>'2022_Data'!$A$187</c:f>
            </c:strRef>
          </c:tx>
          <c:dLbls>
            <c:dLblPos val="ctr"/>
            <c:showLegendKey val="0"/>
            <c:showVal val="0"/>
            <c:showCatName val="0"/>
            <c:showSerName val="1"/>
            <c:showPercent val="0"/>
            <c:showBubbleSize val="0"/>
          </c:dLbls>
          <c:xVal>
            <c:strRef>
              <c:f>'2022_Data'!$F$187</c:f>
            </c:strRef>
          </c:xVal>
          <c:yVal>
            <c:numRef>
              <c:f>'2022_Data'!$E$187</c:f>
              <c:numCache/>
            </c:numRef>
          </c:yVal>
          <c:bubbleSize>
            <c:numRef>
              <c:f>'2022_Data'!$G$187</c:f>
            </c:numRef>
          </c:bubbleSize>
        </c:ser>
        <c:ser>
          <c:idx val="186"/>
          <c:order val="186"/>
          <c:tx>
            <c:strRef>
              <c:f>'2022_Data'!$A$188</c:f>
            </c:strRef>
          </c:tx>
          <c:dLbls>
            <c:dLblPos val="ctr"/>
            <c:showLegendKey val="0"/>
            <c:showVal val="0"/>
            <c:showCatName val="0"/>
            <c:showSerName val="1"/>
            <c:showPercent val="0"/>
            <c:showBubbleSize val="0"/>
          </c:dLbls>
          <c:xVal>
            <c:strRef>
              <c:f>'2022_Data'!$F$188</c:f>
            </c:strRef>
          </c:xVal>
          <c:yVal>
            <c:numRef>
              <c:f>'2022_Data'!$E$188</c:f>
              <c:numCache/>
            </c:numRef>
          </c:yVal>
          <c:bubbleSize>
            <c:numRef>
              <c:f>'2022_Data'!$G$188</c:f>
            </c:numRef>
          </c:bubbleSize>
        </c:ser>
        <c:ser>
          <c:idx val="187"/>
          <c:order val="187"/>
          <c:tx>
            <c:strRef>
              <c:f>'2022_Data'!$A$189</c:f>
            </c:strRef>
          </c:tx>
          <c:dLbls>
            <c:dLblPos val="ctr"/>
            <c:showLegendKey val="0"/>
            <c:showVal val="0"/>
            <c:showCatName val="0"/>
            <c:showSerName val="1"/>
            <c:showPercent val="0"/>
            <c:showBubbleSize val="0"/>
          </c:dLbls>
          <c:xVal>
            <c:strRef>
              <c:f>'2022_Data'!$F$189</c:f>
            </c:strRef>
          </c:xVal>
          <c:yVal>
            <c:numRef>
              <c:f>'2022_Data'!$E$189</c:f>
              <c:numCache/>
            </c:numRef>
          </c:yVal>
          <c:bubbleSize>
            <c:numRef>
              <c:f>'2022_Data'!$G$189</c:f>
            </c:numRef>
          </c:bubbleSize>
        </c:ser>
        <c:ser>
          <c:idx val="188"/>
          <c:order val="188"/>
          <c:tx>
            <c:strRef>
              <c:f>'2022_Data'!$A$190</c:f>
            </c:strRef>
          </c:tx>
          <c:dLbls>
            <c:dLblPos val="ctr"/>
            <c:showLegendKey val="0"/>
            <c:showVal val="0"/>
            <c:showCatName val="0"/>
            <c:showSerName val="1"/>
            <c:showPercent val="0"/>
            <c:showBubbleSize val="0"/>
          </c:dLbls>
          <c:xVal>
            <c:strRef>
              <c:f>'2022_Data'!$F$190</c:f>
            </c:strRef>
          </c:xVal>
          <c:yVal>
            <c:numRef>
              <c:f>'2022_Data'!$E$190</c:f>
              <c:numCache/>
            </c:numRef>
          </c:yVal>
          <c:bubbleSize>
            <c:numRef>
              <c:f>'2022_Data'!$G$190</c:f>
            </c:numRef>
          </c:bubbleSize>
        </c:ser>
        <c:ser>
          <c:idx val="189"/>
          <c:order val="189"/>
          <c:tx>
            <c:strRef>
              <c:f>'2022_Data'!$A$191</c:f>
            </c:strRef>
          </c:tx>
          <c:dLbls>
            <c:dLblPos val="ctr"/>
            <c:showLegendKey val="0"/>
            <c:showVal val="0"/>
            <c:showCatName val="0"/>
            <c:showSerName val="1"/>
            <c:showPercent val="0"/>
            <c:showBubbleSize val="0"/>
          </c:dLbls>
          <c:xVal>
            <c:strRef>
              <c:f>'2022_Data'!$F$191</c:f>
            </c:strRef>
          </c:xVal>
          <c:yVal>
            <c:numRef>
              <c:f>'2022_Data'!$E$191</c:f>
              <c:numCache/>
            </c:numRef>
          </c:yVal>
          <c:bubbleSize>
            <c:numRef>
              <c:f>'2022_Data'!$G$191</c:f>
            </c:numRef>
          </c:bubbleSize>
        </c:ser>
        <c:ser>
          <c:idx val="190"/>
          <c:order val="190"/>
          <c:tx>
            <c:strRef>
              <c:f>'2022_Data'!$A$192</c:f>
            </c:strRef>
          </c:tx>
          <c:dLbls>
            <c:dLblPos val="ctr"/>
            <c:showLegendKey val="0"/>
            <c:showVal val="0"/>
            <c:showCatName val="0"/>
            <c:showSerName val="1"/>
            <c:showPercent val="0"/>
            <c:showBubbleSize val="0"/>
          </c:dLbls>
          <c:xVal>
            <c:strRef>
              <c:f>'2022_Data'!$F$192</c:f>
            </c:strRef>
          </c:xVal>
          <c:yVal>
            <c:numRef>
              <c:f>'2022_Data'!$E$192</c:f>
              <c:numCache/>
            </c:numRef>
          </c:yVal>
          <c:bubbleSize>
            <c:numRef>
              <c:f>'2022_Data'!$G$192</c:f>
            </c:numRef>
          </c:bubbleSize>
        </c:ser>
        <c:ser>
          <c:idx val="191"/>
          <c:order val="191"/>
          <c:tx>
            <c:strRef>
              <c:f>'2022_Data'!$A$193</c:f>
            </c:strRef>
          </c:tx>
          <c:dLbls>
            <c:dLblPos val="ctr"/>
            <c:showLegendKey val="0"/>
            <c:showVal val="0"/>
            <c:showCatName val="0"/>
            <c:showSerName val="1"/>
            <c:showPercent val="0"/>
            <c:showBubbleSize val="0"/>
          </c:dLbls>
          <c:xVal>
            <c:strRef>
              <c:f>'2022_Data'!$F$193</c:f>
            </c:strRef>
          </c:xVal>
          <c:yVal>
            <c:numRef>
              <c:f>'2022_Data'!$E$193</c:f>
              <c:numCache/>
            </c:numRef>
          </c:yVal>
          <c:bubbleSize>
            <c:numRef>
              <c:f>'2022_Data'!$G$193</c:f>
            </c:numRef>
          </c:bubbleSize>
        </c:ser>
        <c:ser>
          <c:idx val="192"/>
          <c:order val="192"/>
          <c:tx>
            <c:strRef>
              <c:f>'2022_Data'!$A$194</c:f>
            </c:strRef>
          </c:tx>
          <c:dLbls>
            <c:dLblPos val="ctr"/>
            <c:showLegendKey val="0"/>
            <c:showVal val="0"/>
            <c:showCatName val="0"/>
            <c:showSerName val="1"/>
            <c:showPercent val="0"/>
            <c:showBubbleSize val="0"/>
          </c:dLbls>
          <c:xVal>
            <c:strRef>
              <c:f>'2022_Data'!$F$194</c:f>
            </c:strRef>
          </c:xVal>
          <c:yVal>
            <c:numRef>
              <c:f>'2022_Data'!$E$194</c:f>
              <c:numCache/>
            </c:numRef>
          </c:yVal>
          <c:bubbleSize>
            <c:numRef>
              <c:f>'2022_Data'!$G$194</c:f>
            </c:numRef>
          </c:bubbleSize>
        </c:ser>
        <c:ser>
          <c:idx val="193"/>
          <c:order val="193"/>
          <c:tx>
            <c:strRef>
              <c:f>'2022_Data'!$A$195</c:f>
            </c:strRef>
          </c:tx>
          <c:dLbls>
            <c:dLblPos val="ctr"/>
            <c:showLegendKey val="0"/>
            <c:showVal val="0"/>
            <c:showCatName val="0"/>
            <c:showSerName val="1"/>
            <c:showPercent val="0"/>
            <c:showBubbleSize val="0"/>
          </c:dLbls>
          <c:xVal>
            <c:strRef>
              <c:f>'2022_Data'!$F$195</c:f>
            </c:strRef>
          </c:xVal>
          <c:yVal>
            <c:numRef>
              <c:f>'2022_Data'!$E$195</c:f>
              <c:numCache/>
            </c:numRef>
          </c:yVal>
          <c:bubbleSize>
            <c:numRef>
              <c:f>'2022_Data'!$G$195</c:f>
            </c:numRef>
          </c:bubbleSize>
        </c:ser>
        <c:ser>
          <c:idx val="194"/>
          <c:order val="194"/>
          <c:tx>
            <c:strRef>
              <c:f>'2022_Data'!$A$196</c:f>
            </c:strRef>
          </c:tx>
          <c:dLbls>
            <c:dLblPos val="ctr"/>
            <c:showLegendKey val="0"/>
            <c:showVal val="0"/>
            <c:showCatName val="0"/>
            <c:showSerName val="1"/>
            <c:showPercent val="0"/>
            <c:showBubbleSize val="0"/>
          </c:dLbls>
          <c:xVal>
            <c:strRef>
              <c:f>'2022_Data'!$F$196</c:f>
            </c:strRef>
          </c:xVal>
          <c:yVal>
            <c:numRef>
              <c:f>'2022_Data'!$E$196</c:f>
              <c:numCache/>
            </c:numRef>
          </c:yVal>
          <c:bubbleSize>
            <c:numRef>
              <c:f>'2022_Data'!$G$196</c:f>
            </c:numRef>
          </c:bubbleSize>
        </c:ser>
        <c:ser>
          <c:idx val="195"/>
          <c:order val="195"/>
          <c:tx>
            <c:strRef>
              <c:f>'2022_Data'!$A$197</c:f>
            </c:strRef>
          </c:tx>
          <c:dLbls>
            <c:dLblPos val="ctr"/>
            <c:showLegendKey val="0"/>
            <c:showVal val="0"/>
            <c:showCatName val="0"/>
            <c:showSerName val="1"/>
            <c:showPercent val="0"/>
            <c:showBubbleSize val="0"/>
          </c:dLbls>
          <c:xVal>
            <c:strRef>
              <c:f>'2022_Data'!$F$197</c:f>
            </c:strRef>
          </c:xVal>
          <c:yVal>
            <c:numRef>
              <c:f>'2022_Data'!$E$197</c:f>
              <c:numCache/>
            </c:numRef>
          </c:yVal>
          <c:bubbleSize>
            <c:numRef>
              <c:f>'2022_Data'!$G$197</c:f>
            </c:numRef>
          </c:bubbleSize>
        </c:ser>
        <c:ser>
          <c:idx val="196"/>
          <c:order val="196"/>
          <c:tx>
            <c:strRef>
              <c:f>'2022_Data'!$A$198</c:f>
            </c:strRef>
          </c:tx>
          <c:dLbls>
            <c:dLblPos val="ctr"/>
            <c:showLegendKey val="0"/>
            <c:showVal val="0"/>
            <c:showCatName val="0"/>
            <c:showSerName val="1"/>
            <c:showPercent val="0"/>
            <c:showBubbleSize val="0"/>
          </c:dLbls>
          <c:xVal>
            <c:strRef>
              <c:f>'2022_Data'!$F$198</c:f>
            </c:strRef>
          </c:xVal>
          <c:yVal>
            <c:numRef>
              <c:f>'2022_Data'!$E$198</c:f>
              <c:numCache/>
            </c:numRef>
          </c:yVal>
          <c:bubbleSize>
            <c:numRef>
              <c:f>'2022_Data'!$G$198</c:f>
            </c:numRef>
          </c:bubbleSize>
        </c:ser>
        <c:ser>
          <c:idx val="197"/>
          <c:order val="197"/>
          <c:tx>
            <c:strRef>
              <c:f>'2022_Data'!$A$199</c:f>
            </c:strRef>
          </c:tx>
          <c:dLbls>
            <c:dLblPos val="ctr"/>
            <c:showLegendKey val="0"/>
            <c:showVal val="0"/>
            <c:showCatName val="0"/>
            <c:showSerName val="1"/>
            <c:showPercent val="0"/>
            <c:showBubbleSize val="0"/>
          </c:dLbls>
          <c:xVal>
            <c:strRef>
              <c:f>'2022_Data'!$F$199</c:f>
            </c:strRef>
          </c:xVal>
          <c:yVal>
            <c:numRef>
              <c:f>'2022_Data'!$E$199</c:f>
              <c:numCache/>
            </c:numRef>
          </c:yVal>
          <c:bubbleSize>
            <c:numRef>
              <c:f>'2022_Data'!$G$199</c:f>
            </c:numRef>
          </c:bubbleSize>
        </c:ser>
        <c:ser>
          <c:idx val="198"/>
          <c:order val="198"/>
          <c:tx>
            <c:strRef>
              <c:f>'2022_Data'!$A$200</c:f>
            </c:strRef>
          </c:tx>
          <c:dLbls>
            <c:dLblPos val="ctr"/>
            <c:showLegendKey val="0"/>
            <c:showVal val="0"/>
            <c:showCatName val="0"/>
            <c:showSerName val="1"/>
            <c:showPercent val="0"/>
            <c:showBubbleSize val="0"/>
          </c:dLbls>
          <c:xVal>
            <c:strRef>
              <c:f>'2022_Data'!$F$200</c:f>
            </c:strRef>
          </c:xVal>
          <c:yVal>
            <c:numRef>
              <c:f>'2022_Data'!$E$200</c:f>
              <c:numCache/>
            </c:numRef>
          </c:yVal>
          <c:bubbleSize>
            <c:numRef>
              <c:f>'2022_Data'!$G$200</c:f>
            </c:numRef>
          </c:bubbleSize>
        </c:ser>
        <c:ser>
          <c:idx val="199"/>
          <c:order val="199"/>
          <c:tx>
            <c:strRef>
              <c:f>'2022_Data'!$A$201</c:f>
            </c:strRef>
          </c:tx>
          <c:dLbls>
            <c:dLblPos val="ctr"/>
            <c:showLegendKey val="0"/>
            <c:showVal val="0"/>
            <c:showCatName val="0"/>
            <c:showSerName val="1"/>
            <c:showPercent val="0"/>
            <c:showBubbleSize val="0"/>
          </c:dLbls>
          <c:xVal>
            <c:strRef>
              <c:f>'2022_Data'!$F$201</c:f>
            </c:strRef>
          </c:xVal>
          <c:yVal>
            <c:numRef>
              <c:f>'2022_Data'!$E$201</c:f>
              <c:numCache/>
            </c:numRef>
          </c:yVal>
          <c:bubbleSize>
            <c:numRef>
              <c:f>'2022_Data'!$G$201</c:f>
            </c:numRef>
          </c:bubbleSize>
        </c:ser>
        <c:ser>
          <c:idx val="200"/>
          <c:order val="200"/>
          <c:tx>
            <c:strRef>
              <c:f>'2022_Data'!$A$202</c:f>
            </c:strRef>
          </c:tx>
          <c:dLbls>
            <c:dLblPos val="ctr"/>
            <c:showLegendKey val="0"/>
            <c:showVal val="0"/>
            <c:showCatName val="0"/>
            <c:showSerName val="1"/>
            <c:showPercent val="0"/>
            <c:showBubbleSize val="0"/>
          </c:dLbls>
          <c:xVal>
            <c:strRef>
              <c:f>'2022_Data'!$F$202</c:f>
            </c:strRef>
          </c:xVal>
          <c:yVal>
            <c:numRef>
              <c:f>'2022_Data'!$E$202</c:f>
              <c:numCache/>
            </c:numRef>
          </c:yVal>
          <c:bubbleSize>
            <c:numRef>
              <c:f>'2022_Data'!$G$202</c:f>
            </c:numRef>
          </c:bubbleSize>
        </c:ser>
        <c:ser>
          <c:idx val="201"/>
          <c:order val="201"/>
          <c:tx>
            <c:strRef>
              <c:f>'2022_Data'!$A$203</c:f>
            </c:strRef>
          </c:tx>
          <c:dLbls>
            <c:dLblPos val="ctr"/>
            <c:showLegendKey val="0"/>
            <c:showVal val="0"/>
            <c:showCatName val="0"/>
            <c:showSerName val="1"/>
            <c:showPercent val="0"/>
            <c:showBubbleSize val="0"/>
          </c:dLbls>
          <c:xVal>
            <c:strRef>
              <c:f>'2022_Data'!$F$203</c:f>
            </c:strRef>
          </c:xVal>
          <c:yVal>
            <c:numRef>
              <c:f>'2022_Data'!$E$203</c:f>
              <c:numCache/>
            </c:numRef>
          </c:yVal>
          <c:bubbleSize>
            <c:numRef>
              <c:f>'2022_Data'!$G$203</c:f>
            </c:numRef>
          </c:bubbleSize>
        </c:ser>
        <c:ser>
          <c:idx val="202"/>
          <c:order val="202"/>
          <c:tx>
            <c:strRef>
              <c:f>'2022_Data'!$A$204</c:f>
            </c:strRef>
          </c:tx>
          <c:dLbls>
            <c:dLblPos val="ctr"/>
            <c:showLegendKey val="0"/>
            <c:showVal val="0"/>
            <c:showCatName val="0"/>
            <c:showSerName val="1"/>
            <c:showPercent val="0"/>
            <c:showBubbleSize val="0"/>
          </c:dLbls>
          <c:xVal>
            <c:strRef>
              <c:f>'2022_Data'!$F$204</c:f>
            </c:strRef>
          </c:xVal>
          <c:yVal>
            <c:numRef>
              <c:f>'2022_Data'!$E$204</c:f>
              <c:numCache/>
            </c:numRef>
          </c:yVal>
          <c:bubbleSize>
            <c:numRef>
              <c:f>'2022_Data'!$G$204</c:f>
            </c:numRef>
          </c:bubbleSize>
        </c:ser>
        <c:ser>
          <c:idx val="203"/>
          <c:order val="203"/>
          <c:tx>
            <c:strRef>
              <c:f>'2022_Data'!$A$205</c:f>
            </c:strRef>
          </c:tx>
          <c:dLbls>
            <c:dLblPos val="ctr"/>
            <c:showLegendKey val="0"/>
            <c:showVal val="0"/>
            <c:showCatName val="0"/>
            <c:showSerName val="1"/>
            <c:showPercent val="0"/>
            <c:showBubbleSize val="0"/>
          </c:dLbls>
          <c:xVal>
            <c:strRef>
              <c:f>'2022_Data'!$F$205</c:f>
            </c:strRef>
          </c:xVal>
          <c:yVal>
            <c:numRef>
              <c:f>'2022_Data'!$E$205</c:f>
              <c:numCache/>
            </c:numRef>
          </c:yVal>
          <c:bubbleSize>
            <c:numRef>
              <c:f>'2022_Data'!$G$205</c:f>
            </c:numRef>
          </c:bubbleSize>
        </c:ser>
        <c:ser>
          <c:idx val="204"/>
          <c:order val="204"/>
          <c:tx>
            <c:strRef>
              <c:f>'2022_Data'!$A$206</c:f>
            </c:strRef>
          </c:tx>
          <c:dLbls>
            <c:dLblPos val="ctr"/>
            <c:showLegendKey val="0"/>
            <c:showVal val="0"/>
            <c:showCatName val="0"/>
            <c:showSerName val="1"/>
            <c:showPercent val="0"/>
            <c:showBubbleSize val="0"/>
          </c:dLbls>
          <c:xVal>
            <c:strRef>
              <c:f>'2022_Data'!$F$206</c:f>
            </c:strRef>
          </c:xVal>
          <c:yVal>
            <c:numRef>
              <c:f>'2022_Data'!$E$206</c:f>
              <c:numCache/>
            </c:numRef>
          </c:yVal>
          <c:bubbleSize>
            <c:numRef>
              <c:f>'2022_Data'!$G$206</c:f>
            </c:numRef>
          </c:bubbleSize>
        </c:ser>
        <c:ser>
          <c:idx val="205"/>
          <c:order val="205"/>
          <c:tx>
            <c:strRef>
              <c:f>'2022_Data'!$A$207</c:f>
            </c:strRef>
          </c:tx>
          <c:dLbls>
            <c:dLblPos val="ctr"/>
            <c:showLegendKey val="0"/>
            <c:showVal val="0"/>
            <c:showCatName val="0"/>
            <c:showSerName val="1"/>
            <c:showPercent val="0"/>
            <c:showBubbleSize val="0"/>
          </c:dLbls>
          <c:xVal>
            <c:strRef>
              <c:f>'2022_Data'!$F$207</c:f>
            </c:strRef>
          </c:xVal>
          <c:yVal>
            <c:numRef>
              <c:f>'2022_Data'!$E$207</c:f>
              <c:numCache/>
            </c:numRef>
          </c:yVal>
          <c:bubbleSize>
            <c:numRef>
              <c:f>'2022_Data'!$G$207</c:f>
            </c:numRef>
          </c:bubbleSize>
        </c:ser>
        <c:ser>
          <c:idx val="206"/>
          <c:order val="206"/>
          <c:tx>
            <c:strRef>
              <c:f>'2022_Data'!$A$208</c:f>
            </c:strRef>
          </c:tx>
          <c:dLbls>
            <c:dLblPos val="ctr"/>
            <c:showLegendKey val="0"/>
            <c:showVal val="0"/>
            <c:showCatName val="0"/>
            <c:showSerName val="1"/>
            <c:showPercent val="0"/>
            <c:showBubbleSize val="0"/>
          </c:dLbls>
          <c:xVal>
            <c:strRef>
              <c:f>'2022_Data'!$F$208</c:f>
            </c:strRef>
          </c:xVal>
          <c:yVal>
            <c:numRef>
              <c:f>'2022_Data'!$E$208</c:f>
              <c:numCache/>
            </c:numRef>
          </c:yVal>
          <c:bubbleSize>
            <c:numRef>
              <c:f>'2022_Data'!$G$208</c:f>
            </c:numRef>
          </c:bubbleSize>
        </c:ser>
        <c:ser>
          <c:idx val="207"/>
          <c:order val="207"/>
          <c:tx>
            <c:strRef>
              <c:f>'2022_Data'!$A$209</c:f>
            </c:strRef>
          </c:tx>
          <c:dLbls>
            <c:dLblPos val="ctr"/>
            <c:showLegendKey val="0"/>
            <c:showVal val="0"/>
            <c:showCatName val="0"/>
            <c:showSerName val="1"/>
            <c:showPercent val="0"/>
            <c:showBubbleSize val="0"/>
          </c:dLbls>
          <c:xVal>
            <c:strRef>
              <c:f>'2022_Data'!$F$209</c:f>
            </c:strRef>
          </c:xVal>
          <c:yVal>
            <c:numRef>
              <c:f>'2022_Data'!$E$209</c:f>
              <c:numCache/>
            </c:numRef>
          </c:yVal>
          <c:bubbleSize>
            <c:numRef>
              <c:f>'2022_Data'!$G$209</c:f>
            </c:numRef>
          </c:bubbleSize>
        </c:ser>
        <c:ser>
          <c:idx val="208"/>
          <c:order val="208"/>
          <c:tx>
            <c:strRef>
              <c:f>'2022_Data'!$A$210</c:f>
            </c:strRef>
          </c:tx>
          <c:dLbls>
            <c:dLblPos val="ctr"/>
            <c:showLegendKey val="0"/>
            <c:showVal val="0"/>
            <c:showCatName val="0"/>
            <c:showSerName val="1"/>
            <c:showPercent val="0"/>
            <c:showBubbleSize val="0"/>
          </c:dLbls>
          <c:xVal>
            <c:strRef>
              <c:f>'2022_Data'!$F$210</c:f>
            </c:strRef>
          </c:xVal>
          <c:yVal>
            <c:numRef>
              <c:f>'2022_Data'!$E$210</c:f>
              <c:numCache/>
            </c:numRef>
          </c:yVal>
          <c:bubbleSize>
            <c:numRef>
              <c:f>'2022_Data'!$G$210</c:f>
            </c:numRef>
          </c:bubbleSize>
        </c:ser>
        <c:ser>
          <c:idx val="209"/>
          <c:order val="209"/>
          <c:tx>
            <c:strRef>
              <c:f>'2022_Data'!$A$211</c:f>
            </c:strRef>
          </c:tx>
          <c:dLbls>
            <c:dLblPos val="ctr"/>
            <c:showLegendKey val="0"/>
            <c:showVal val="0"/>
            <c:showCatName val="0"/>
            <c:showSerName val="1"/>
            <c:showPercent val="0"/>
            <c:showBubbleSize val="0"/>
          </c:dLbls>
          <c:xVal>
            <c:strRef>
              <c:f>'2022_Data'!$F$211</c:f>
            </c:strRef>
          </c:xVal>
          <c:yVal>
            <c:numRef>
              <c:f>'2022_Data'!$E$211</c:f>
              <c:numCache/>
            </c:numRef>
          </c:yVal>
          <c:bubbleSize>
            <c:numRef>
              <c:f>'2022_Data'!$G$211</c:f>
            </c:numRef>
          </c:bubbleSize>
        </c:ser>
        <c:ser>
          <c:idx val="210"/>
          <c:order val="210"/>
          <c:tx>
            <c:strRef>
              <c:f>'2022_Data'!$A$212</c:f>
            </c:strRef>
          </c:tx>
          <c:dLbls>
            <c:dLblPos val="ctr"/>
            <c:showLegendKey val="0"/>
            <c:showVal val="0"/>
            <c:showCatName val="0"/>
            <c:showSerName val="1"/>
            <c:showPercent val="0"/>
            <c:showBubbleSize val="0"/>
          </c:dLbls>
          <c:xVal>
            <c:strRef>
              <c:f>'2022_Data'!$F$212</c:f>
            </c:strRef>
          </c:xVal>
          <c:yVal>
            <c:numRef>
              <c:f>'2022_Data'!$E$212</c:f>
              <c:numCache/>
            </c:numRef>
          </c:yVal>
          <c:bubbleSize>
            <c:numRef>
              <c:f>'2022_Data'!$G$212</c:f>
            </c:numRef>
          </c:bubbleSize>
        </c:ser>
        <c:ser>
          <c:idx val="211"/>
          <c:order val="211"/>
          <c:tx>
            <c:strRef>
              <c:f>'2022_Data'!$A$213</c:f>
            </c:strRef>
          </c:tx>
          <c:dLbls>
            <c:dLblPos val="ctr"/>
            <c:showLegendKey val="0"/>
            <c:showVal val="0"/>
            <c:showCatName val="0"/>
            <c:showSerName val="1"/>
            <c:showPercent val="0"/>
            <c:showBubbleSize val="0"/>
          </c:dLbls>
          <c:xVal>
            <c:strRef>
              <c:f>'2022_Data'!$F$213</c:f>
            </c:strRef>
          </c:xVal>
          <c:yVal>
            <c:numRef>
              <c:f>'2022_Data'!$E$213</c:f>
              <c:numCache/>
            </c:numRef>
          </c:yVal>
          <c:bubbleSize>
            <c:numRef>
              <c:f>'2022_Data'!$G$213</c:f>
            </c:numRef>
          </c:bubbleSize>
        </c:ser>
        <c:ser>
          <c:idx val="212"/>
          <c:order val="212"/>
          <c:tx>
            <c:strRef>
              <c:f>'2022_Data'!$A$214</c:f>
            </c:strRef>
          </c:tx>
          <c:dLbls>
            <c:dLblPos val="ctr"/>
            <c:showLegendKey val="0"/>
            <c:showVal val="0"/>
            <c:showCatName val="0"/>
            <c:showSerName val="1"/>
            <c:showPercent val="0"/>
            <c:showBubbleSize val="0"/>
          </c:dLbls>
          <c:xVal>
            <c:strRef>
              <c:f>'2022_Data'!$F$214</c:f>
            </c:strRef>
          </c:xVal>
          <c:yVal>
            <c:numRef>
              <c:f>'2022_Data'!$E$214</c:f>
              <c:numCache/>
            </c:numRef>
          </c:yVal>
          <c:bubbleSize>
            <c:numRef>
              <c:f>'2022_Data'!$G$214</c:f>
            </c:numRef>
          </c:bubbleSize>
        </c:ser>
        <c:ser>
          <c:idx val="213"/>
          <c:order val="213"/>
          <c:tx>
            <c:strRef>
              <c:f>'2022_Data'!$A$215</c:f>
            </c:strRef>
          </c:tx>
          <c:dLbls>
            <c:dLblPos val="ctr"/>
            <c:showLegendKey val="0"/>
            <c:showVal val="0"/>
            <c:showCatName val="0"/>
            <c:showSerName val="1"/>
            <c:showPercent val="0"/>
            <c:showBubbleSize val="0"/>
          </c:dLbls>
          <c:xVal>
            <c:strRef>
              <c:f>'2022_Data'!$F$215</c:f>
            </c:strRef>
          </c:xVal>
          <c:yVal>
            <c:numRef>
              <c:f>'2022_Data'!$E$215</c:f>
              <c:numCache/>
            </c:numRef>
          </c:yVal>
          <c:bubbleSize>
            <c:numRef>
              <c:f>'2022_Data'!$G$215</c:f>
            </c:numRef>
          </c:bubbleSize>
        </c:ser>
        <c:ser>
          <c:idx val="214"/>
          <c:order val="214"/>
          <c:tx>
            <c:strRef>
              <c:f>'2022_Data'!$A$216</c:f>
            </c:strRef>
          </c:tx>
          <c:dLbls>
            <c:dLblPos val="ctr"/>
            <c:showLegendKey val="0"/>
            <c:showVal val="0"/>
            <c:showCatName val="0"/>
            <c:showSerName val="1"/>
            <c:showPercent val="0"/>
            <c:showBubbleSize val="0"/>
          </c:dLbls>
          <c:xVal>
            <c:strRef>
              <c:f>'2022_Data'!$F$216</c:f>
            </c:strRef>
          </c:xVal>
          <c:yVal>
            <c:numRef>
              <c:f>'2022_Data'!$E$216</c:f>
              <c:numCache/>
            </c:numRef>
          </c:yVal>
          <c:bubbleSize>
            <c:numRef>
              <c:f>'2022_Data'!$G$216</c:f>
            </c:numRef>
          </c:bubbleSize>
        </c:ser>
        <c:ser>
          <c:idx val="215"/>
          <c:order val="215"/>
          <c:tx>
            <c:strRef>
              <c:f>'2022_Data'!$A$217</c:f>
            </c:strRef>
          </c:tx>
          <c:dLbls>
            <c:dLblPos val="ctr"/>
            <c:showLegendKey val="0"/>
            <c:showVal val="0"/>
            <c:showCatName val="0"/>
            <c:showSerName val="1"/>
            <c:showPercent val="0"/>
            <c:showBubbleSize val="0"/>
          </c:dLbls>
          <c:xVal>
            <c:strRef>
              <c:f>'2022_Data'!$F$217</c:f>
            </c:strRef>
          </c:xVal>
          <c:yVal>
            <c:numRef>
              <c:f>'2022_Data'!$E$217</c:f>
              <c:numCache/>
            </c:numRef>
          </c:yVal>
          <c:bubbleSize>
            <c:numRef>
              <c:f>'2022_Data'!$G$217</c:f>
            </c:numRef>
          </c:bubbleSize>
        </c:ser>
        <c:ser>
          <c:idx val="216"/>
          <c:order val="216"/>
          <c:tx>
            <c:strRef>
              <c:f>'2022_Data'!$A$218</c:f>
            </c:strRef>
          </c:tx>
          <c:dLbls>
            <c:dLblPos val="ctr"/>
            <c:showLegendKey val="0"/>
            <c:showVal val="0"/>
            <c:showCatName val="0"/>
            <c:showSerName val="1"/>
            <c:showPercent val="0"/>
            <c:showBubbleSize val="0"/>
          </c:dLbls>
          <c:xVal>
            <c:strRef>
              <c:f>'2022_Data'!$F$218</c:f>
            </c:strRef>
          </c:xVal>
          <c:yVal>
            <c:numRef>
              <c:f>'2022_Data'!$E$218</c:f>
              <c:numCache/>
            </c:numRef>
          </c:yVal>
          <c:bubbleSize>
            <c:numRef>
              <c:f>'2022_Data'!$G$218</c:f>
            </c:numRef>
          </c:bubbleSize>
        </c:ser>
        <c:ser>
          <c:idx val="217"/>
          <c:order val="217"/>
          <c:tx>
            <c:strRef>
              <c:f>'2022_Data'!$A$219</c:f>
            </c:strRef>
          </c:tx>
          <c:dLbls>
            <c:dLblPos val="ctr"/>
            <c:showLegendKey val="0"/>
            <c:showVal val="0"/>
            <c:showCatName val="0"/>
            <c:showSerName val="1"/>
            <c:showPercent val="0"/>
            <c:showBubbleSize val="0"/>
          </c:dLbls>
          <c:xVal>
            <c:strRef>
              <c:f>'2022_Data'!$F$219</c:f>
            </c:strRef>
          </c:xVal>
          <c:yVal>
            <c:numRef>
              <c:f>'2022_Data'!$E$219</c:f>
              <c:numCache/>
            </c:numRef>
          </c:yVal>
          <c:bubbleSize>
            <c:numRef>
              <c:f>'2022_Data'!$G$219</c:f>
            </c:numRef>
          </c:bubbleSize>
        </c:ser>
        <c:ser>
          <c:idx val="218"/>
          <c:order val="218"/>
          <c:tx>
            <c:strRef>
              <c:f>'2022_Data'!$A$220</c:f>
            </c:strRef>
          </c:tx>
          <c:dLbls>
            <c:dLblPos val="ctr"/>
            <c:showLegendKey val="0"/>
            <c:showVal val="0"/>
            <c:showCatName val="0"/>
            <c:showSerName val="1"/>
            <c:showPercent val="0"/>
            <c:showBubbleSize val="0"/>
          </c:dLbls>
          <c:xVal>
            <c:strRef>
              <c:f>'2022_Data'!$F$220</c:f>
            </c:strRef>
          </c:xVal>
          <c:yVal>
            <c:numRef>
              <c:f>'2022_Data'!$E$220</c:f>
              <c:numCache/>
            </c:numRef>
          </c:yVal>
          <c:bubbleSize>
            <c:numRef>
              <c:f>'2022_Data'!$G$220</c:f>
            </c:numRef>
          </c:bubbleSize>
        </c:ser>
        <c:ser>
          <c:idx val="219"/>
          <c:order val="219"/>
          <c:tx>
            <c:strRef>
              <c:f>'2022_Data'!$A$221</c:f>
            </c:strRef>
          </c:tx>
          <c:dLbls>
            <c:dLblPos val="ctr"/>
            <c:showLegendKey val="0"/>
            <c:showVal val="0"/>
            <c:showCatName val="0"/>
            <c:showSerName val="1"/>
            <c:showPercent val="0"/>
            <c:showBubbleSize val="0"/>
          </c:dLbls>
          <c:xVal>
            <c:strRef>
              <c:f>'2022_Data'!$F$221</c:f>
            </c:strRef>
          </c:xVal>
          <c:yVal>
            <c:numRef>
              <c:f>'2022_Data'!$E$221</c:f>
              <c:numCache/>
            </c:numRef>
          </c:yVal>
          <c:bubbleSize>
            <c:numRef>
              <c:f>'2022_Data'!$G$221</c:f>
            </c:numRef>
          </c:bubbleSize>
        </c:ser>
        <c:ser>
          <c:idx val="220"/>
          <c:order val="220"/>
          <c:tx>
            <c:strRef>
              <c:f>'2022_Data'!$A$222</c:f>
            </c:strRef>
          </c:tx>
          <c:dLbls>
            <c:dLblPos val="ctr"/>
            <c:showLegendKey val="0"/>
            <c:showVal val="0"/>
            <c:showCatName val="0"/>
            <c:showSerName val="1"/>
            <c:showPercent val="0"/>
            <c:showBubbleSize val="0"/>
          </c:dLbls>
          <c:xVal>
            <c:strRef>
              <c:f>'2022_Data'!$F$222</c:f>
            </c:strRef>
          </c:xVal>
          <c:yVal>
            <c:numRef>
              <c:f>'2022_Data'!$E$222</c:f>
              <c:numCache/>
            </c:numRef>
          </c:yVal>
          <c:bubbleSize>
            <c:numRef>
              <c:f>'2022_Data'!$G$222</c:f>
            </c:numRef>
          </c:bubbleSize>
        </c:ser>
        <c:ser>
          <c:idx val="221"/>
          <c:order val="221"/>
          <c:tx>
            <c:strRef>
              <c:f>'2022_Data'!$A$223</c:f>
            </c:strRef>
          </c:tx>
          <c:dLbls>
            <c:dLblPos val="ctr"/>
            <c:showLegendKey val="0"/>
            <c:showVal val="0"/>
            <c:showCatName val="0"/>
            <c:showSerName val="1"/>
            <c:showPercent val="0"/>
            <c:showBubbleSize val="0"/>
          </c:dLbls>
          <c:xVal>
            <c:strRef>
              <c:f>'2022_Data'!$F$223</c:f>
            </c:strRef>
          </c:xVal>
          <c:yVal>
            <c:numRef>
              <c:f>'2022_Data'!$E$223</c:f>
              <c:numCache/>
            </c:numRef>
          </c:yVal>
          <c:bubbleSize>
            <c:numRef>
              <c:f>'2022_Data'!$G$223</c:f>
            </c:numRef>
          </c:bubbleSize>
        </c:ser>
        <c:ser>
          <c:idx val="222"/>
          <c:order val="222"/>
          <c:tx>
            <c:strRef>
              <c:f>'2022_Data'!$A$224</c:f>
            </c:strRef>
          </c:tx>
          <c:dLbls>
            <c:dLblPos val="ctr"/>
            <c:showLegendKey val="0"/>
            <c:showVal val="0"/>
            <c:showCatName val="0"/>
            <c:showSerName val="1"/>
            <c:showPercent val="0"/>
            <c:showBubbleSize val="0"/>
          </c:dLbls>
          <c:xVal>
            <c:strRef>
              <c:f>'2022_Data'!$F$224</c:f>
            </c:strRef>
          </c:xVal>
          <c:yVal>
            <c:numRef>
              <c:f>'2022_Data'!$E$224</c:f>
              <c:numCache/>
            </c:numRef>
          </c:yVal>
          <c:bubbleSize>
            <c:numRef>
              <c:f>'2022_Data'!$G$224</c:f>
            </c:numRef>
          </c:bubbleSize>
        </c:ser>
        <c:ser>
          <c:idx val="223"/>
          <c:order val="223"/>
          <c:tx>
            <c:strRef>
              <c:f>'2022_Data'!$A$225</c:f>
            </c:strRef>
          </c:tx>
          <c:dLbls>
            <c:dLblPos val="ctr"/>
            <c:showLegendKey val="0"/>
            <c:showVal val="0"/>
            <c:showCatName val="0"/>
            <c:showSerName val="1"/>
            <c:showPercent val="0"/>
            <c:showBubbleSize val="0"/>
          </c:dLbls>
          <c:xVal>
            <c:strRef>
              <c:f>'2022_Data'!$F$225</c:f>
            </c:strRef>
          </c:xVal>
          <c:yVal>
            <c:numRef>
              <c:f>'2022_Data'!$E$225</c:f>
              <c:numCache/>
            </c:numRef>
          </c:yVal>
          <c:bubbleSize>
            <c:numRef>
              <c:f>'2022_Data'!$G$225</c:f>
            </c:numRef>
          </c:bubbleSize>
        </c:ser>
        <c:ser>
          <c:idx val="224"/>
          <c:order val="224"/>
          <c:tx>
            <c:strRef>
              <c:f>'2022_Data'!$A$226</c:f>
            </c:strRef>
          </c:tx>
          <c:dLbls>
            <c:dLblPos val="ctr"/>
            <c:showLegendKey val="0"/>
            <c:showVal val="0"/>
            <c:showCatName val="0"/>
            <c:showSerName val="1"/>
            <c:showPercent val="0"/>
            <c:showBubbleSize val="0"/>
          </c:dLbls>
          <c:xVal>
            <c:strRef>
              <c:f>'2022_Data'!$F$226</c:f>
            </c:strRef>
          </c:xVal>
          <c:yVal>
            <c:numRef>
              <c:f>'2022_Data'!$E$226</c:f>
              <c:numCache/>
            </c:numRef>
          </c:yVal>
          <c:bubbleSize>
            <c:numRef>
              <c:f>'2022_Data'!$G$226</c:f>
            </c:numRef>
          </c:bubbleSize>
        </c:ser>
        <c:ser>
          <c:idx val="225"/>
          <c:order val="225"/>
          <c:tx>
            <c:strRef>
              <c:f>'2022_Data'!$A$227</c:f>
            </c:strRef>
          </c:tx>
          <c:dLbls>
            <c:dLblPos val="ctr"/>
            <c:showLegendKey val="0"/>
            <c:showVal val="0"/>
            <c:showCatName val="0"/>
            <c:showSerName val="1"/>
            <c:showPercent val="0"/>
            <c:showBubbleSize val="0"/>
          </c:dLbls>
          <c:xVal>
            <c:strRef>
              <c:f>'2022_Data'!$F$227</c:f>
            </c:strRef>
          </c:xVal>
          <c:yVal>
            <c:numRef>
              <c:f>'2022_Data'!$E$227</c:f>
              <c:numCache/>
            </c:numRef>
          </c:yVal>
          <c:bubbleSize>
            <c:numRef>
              <c:f>'2022_Data'!$G$227</c:f>
            </c:numRef>
          </c:bubbleSize>
        </c:ser>
        <c:ser>
          <c:idx val="226"/>
          <c:order val="226"/>
          <c:tx>
            <c:strRef>
              <c:f>'2022_Data'!$A$228</c:f>
            </c:strRef>
          </c:tx>
          <c:dLbls>
            <c:dLblPos val="ctr"/>
            <c:showLegendKey val="0"/>
            <c:showVal val="0"/>
            <c:showCatName val="0"/>
            <c:showSerName val="1"/>
            <c:showPercent val="0"/>
            <c:showBubbleSize val="0"/>
          </c:dLbls>
          <c:xVal>
            <c:strRef>
              <c:f>'2022_Data'!$F$228</c:f>
            </c:strRef>
          </c:xVal>
          <c:yVal>
            <c:numRef>
              <c:f>'2022_Data'!$E$228</c:f>
              <c:numCache/>
            </c:numRef>
          </c:yVal>
          <c:bubbleSize>
            <c:numRef>
              <c:f>'2022_Data'!$G$228</c:f>
            </c:numRef>
          </c:bubbleSize>
        </c:ser>
        <c:ser>
          <c:idx val="227"/>
          <c:order val="227"/>
          <c:tx>
            <c:strRef>
              <c:f>'2022_Data'!$A$229</c:f>
            </c:strRef>
          </c:tx>
          <c:dLbls>
            <c:dLblPos val="ctr"/>
            <c:showLegendKey val="0"/>
            <c:showVal val="0"/>
            <c:showCatName val="0"/>
            <c:showSerName val="1"/>
            <c:showPercent val="0"/>
            <c:showBubbleSize val="0"/>
          </c:dLbls>
          <c:xVal>
            <c:strRef>
              <c:f>'2022_Data'!$F$229</c:f>
            </c:strRef>
          </c:xVal>
          <c:yVal>
            <c:numRef>
              <c:f>'2022_Data'!$E$229</c:f>
              <c:numCache/>
            </c:numRef>
          </c:yVal>
          <c:bubbleSize>
            <c:numRef>
              <c:f>'2022_Data'!$G$229</c:f>
            </c:numRef>
          </c:bubbleSize>
        </c:ser>
        <c:ser>
          <c:idx val="228"/>
          <c:order val="228"/>
          <c:tx>
            <c:strRef>
              <c:f>'2022_Data'!$A$230</c:f>
            </c:strRef>
          </c:tx>
          <c:dLbls>
            <c:dLblPos val="ctr"/>
            <c:showLegendKey val="0"/>
            <c:showVal val="0"/>
            <c:showCatName val="0"/>
            <c:showSerName val="1"/>
            <c:showPercent val="0"/>
            <c:showBubbleSize val="0"/>
          </c:dLbls>
          <c:xVal>
            <c:strRef>
              <c:f>'2022_Data'!$F$230</c:f>
            </c:strRef>
          </c:xVal>
          <c:yVal>
            <c:numRef>
              <c:f>'2022_Data'!$E$230</c:f>
              <c:numCache/>
            </c:numRef>
          </c:yVal>
          <c:bubbleSize>
            <c:numRef>
              <c:f>'2022_Data'!$G$230</c:f>
            </c:numRef>
          </c:bubbleSize>
        </c:ser>
        <c:ser>
          <c:idx val="229"/>
          <c:order val="229"/>
          <c:tx>
            <c:strRef>
              <c:f>'2022_Data'!$A$231</c:f>
            </c:strRef>
          </c:tx>
          <c:dLbls>
            <c:dLblPos val="ctr"/>
            <c:showLegendKey val="0"/>
            <c:showVal val="0"/>
            <c:showCatName val="0"/>
            <c:showSerName val="1"/>
            <c:showPercent val="0"/>
            <c:showBubbleSize val="0"/>
          </c:dLbls>
          <c:xVal>
            <c:strRef>
              <c:f>'2022_Data'!$F$231</c:f>
            </c:strRef>
          </c:xVal>
          <c:yVal>
            <c:numRef>
              <c:f>'2022_Data'!$E$231</c:f>
              <c:numCache/>
            </c:numRef>
          </c:yVal>
          <c:bubbleSize>
            <c:numRef>
              <c:f>'2022_Data'!$G$231</c:f>
            </c:numRef>
          </c:bubbleSize>
        </c:ser>
        <c:ser>
          <c:idx val="230"/>
          <c:order val="230"/>
          <c:tx>
            <c:strRef>
              <c:f>'2022_Data'!$A$232</c:f>
            </c:strRef>
          </c:tx>
          <c:dLbls>
            <c:dLblPos val="ctr"/>
            <c:showLegendKey val="0"/>
            <c:showVal val="0"/>
            <c:showCatName val="0"/>
            <c:showSerName val="1"/>
            <c:showPercent val="0"/>
            <c:showBubbleSize val="0"/>
          </c:dLbls>
          <c:xVal>
            <c:strRef>
              <c:f>'2022_Data'!$F$232</c:f>
            </c:strRef>
          </c:xVal>
          <c:yVal>
            <c:numRef>
              <c:f>'2022_Data'!$E$232</c:f>
              <c:numCache/>
            </c:numRef>
          </c:yVal>
          <c:bubbleSize>
            <c:numRef>
              <c:f>'2022_Data'!$G$232</c:f>
            </c:numRef>
          </c:bubbleSize>
        </c:ser>
        <c:ser>
          <c:idx val="231"/>
          <c:order val="231"/>
          <c:tx>
            <c:strRef>
              <c:f>'2022_Data'!$A$233</c:f>
            </c:strRef>
          </c:tx>
          <c:dLbls>
            <c:dLblPos val="ctr"/>
            <c:showLegendKey val="0"/>
            <c:showVal val="0"/>
            <c:showCatName val="0"/>
            <c:showSerName val="1"/>
            <c:showPercent val="0"/>
            <c:showBubbleSize val="0"/>
          </c:dLbls>
          <c:xVal>
            <c:strRef>
              <c:f>'2022_Data'!$F$233</c:f>
            </c:strRef>
          </c:xVal>
          <c:yVal>
            <c:numRef>
              <c:f>'2022_Data'!$E$233</c:f>
              <c:numCache/>
            </c:numRef>
          </c:yVal>
          <c:bubbleSize>
            <c:numRef>
              <c:f>'2022_Data'!$G$233</c:f>
            </c:numRef>
          </c:bubbleSize>
        </c:ser>
        <c:ser>
          <c:idx val="232"/>
          <c:order val="232"/>
          <c:tx>
            <c:strRef>
              <c:f>'2022_Data'!$A$234</c:f>
            </c:strRef>
          </c:tx>
          <c:dLbls>
            <c:dLblPos val="ctr"/>
            <c:showLegendKey val="0"/>
            <c:showVal val="0"/>
            <c:showCatName val="0"/>
            <c:showSerName val="1"/>
            <c:showPercent val="0"/>
            <c:showBubbleSize val="0"/>
          </c:dLbls>
          <c:xVal>
            <c:strRef>
              <c:f>'2022_Data'!$F$234</c:f>
            </c:strRef>
          </c:xVal>
          <c:yVal>
            <c:numRef>
              <c:f>'2022_Data'!$E$234</c:f>
              <c:numCache/>
            </c:numRef>
          </c:yVal>
          <c:bubbleSize>
            <c:numRef>
              <c:f>'2022_Data'!$G$234</c:f>
            </c:numRef>
          </c:bubbleSize>
        </c:ser>
        <c:ser>
          <c:idx val="233"/>
          <c:order val="233"/>
          <c:tx>
            <c:strRef>
              <c:f>'2022_Data'!$A$235</c:f>
            </c:strRef>
          </c:tx>
          <c:dLbls>
            <c:dLblPos val="ctr"/>
            <c:showLegendKey val="0"/>
            <c:showVal val="0"/>
            <c:showCatName val="0"/>
            <c:showSerName val="1"/>
            <c:showPercent val="0"/>
            <c:showBubbleSize val="0"/>
          </c:dLbls>
          <c:xVal>
            <c:strRef>
              <c:f>'2022_Data'!$F$235</c:f>
            </c:strRef>
          </c:xVal>
          <c:yVal>
            <c:numRef>
              <c:f>'2022_Data'!$E$235</c:f>
              <c:numCache/>
            </c:numRef>
          </c:yVal>
          <c:bubbleSize>
            <c:numRef>
              <c:f>'2022_Data'!$G$235</c:f>
            </c:numRef>
          </c:bubbleSize>
        </c:ser>
        <c:ser>
          <c:idx val="234"/>
          <c:order val="234"/>
          <c:tx>
            <c:strRef>
              <c:f>'2022_Data'!$A$236</c:f>
            </c:strRef>
          </c:tx>
          <c:dLbls>
            <c:dLblPos val="ctr"/>
            <c:showLegendKey val="0"/>
            <c:showVal val="0"/>
            <c:showCatName val="0"/>
            <c:showSerName val="1"/>
            <c:showPercent val="0"/>
            <c:showBubbleSize val="0"/>
          </c:dLbls>
          <c:xVal>
            <c:strRef>
              <c:f>'2022_Data'!$F$236</c:f>
            </c:strRef>
          </c:xVal>
          <c:yVal>
            <c:numRef>
              <c:f>'2022_Data'!$E$236</c:f>
              <c:numCache/>
            </c:numRef>
          </c:yVal>
          <c:bubbleSize>
            <c:numRef>
              <c:f>'2022_Data'!$G$236</c:f>
            </c:numRef>
          </c:bubbleSize>
        </c:ser>
        <c:ser>
          <c:idx val="235"/>
          <c:order val="235"/>
          <c:tx>
            <c:strRef>
              <c:f>'2022_Data'!$A$237</c:f>
            </c:strRef>
          </c:tx>
          <c:dLbls>
            <c:dLblPos val="ctr"/>
            <c:showLegendKey val="0"/>
            <c:showVal val="0"/>
            <c:showCatName val="0"/>
            <c:showSerName val="1"/>
            <c:showPercent val="0"/>
            <c:showBubbleSize val="0"/>
          </c:dLbls>
          <c:xVal>
            <c:strRef>
              <c:f>'2022_Data'!$F$237</c:f>
            </c:strRef>
          </c:xVal>
          <c:yVal>
            <c:numRef>
              <c:f>'2022_Data'!$E$237</c:f>
              <c:numCache/>
            </c:numRef>
          </c:yVal>
          <c:bubbleSize>
            <c:numRef>
              <c:f>'2022_Data'!$G$237</c:f>
            </c:numRef>
          </c:bubbleSize>
        </c:ser>
        <c:ser>
          <c:idx val="236"/>
          <c:order val="236"/>
          <c:tx>
            <c:strRef>
              <c:f>'2022_Data'!$A$238</c:f>
            </c:strRef>
          </c:tx>
          <c:dLbls>
            <c:dLblPos val="ctr"/>
            <c:showLegendKey val="0"/>
            <c:showVal val="0"/>
            <c:showCatName val="0"/>
            <c:showSerName val="1"/>
            <c:showPercent val="0"/>
            <c:showBubbleSize val="0"/>
          </c:dLbls>
          <c:xVal>
            <c:strRef>
              <c:f>'2022_Data'!$F$238</c:f>
            </c:strRef>
          </c:xVal>
          <c:yVal>
            <c:numRef>
              <c:f>'2022_Data'!$E$238</c:f>
              <c:numCache/>
            </c:numRef>
          </c:yVal>
          <c:bubbleSize>
            <c:numRef>
              <c:f>'2022_Data'!$G$238</c:f>
            </c:numRef>
          </c:bubbleSize>
        </c:ser>
        <c:ser>
          <c:idx val="237"/>
          <c:order val="237"/>
          <c:tx>
            <c:strRef>
              <c:f>'2022_Data'!$A$239</c:f>
            </c:strRef>
          </c:tx>
          <c:dLbls>
            <c:dLblPos val="ctr"/>
            <c:showLegendKey val="0"/>
            <c:showVal val="0"/>
            <c:showCatName val="0"/>
            <c:showSerName val="1"/>
            <c:showPercent val="0"/>
            <c:showBubbleSize val="0"/>
          </c:dLbls>
          <c:xVal>
            <c:strRef>
              <c:f>'2022_Data'!$F$239</c:f>
            </c:strRef>
          </c:xVal>
          <c:yVal>
            <c:numRef>
              <c:f>'2022_Data'!$E$239</c:f>
              <c:numCache/>
            </c:numRef>
          </c:yVal>
          <c:bubbleSize>
            <c:numRef>
              <c:f>'2022_Data'!$G$239</c:f>
            </c:numRef>
          </c:bubbleSize>
        </c:ser>
        <c:ser>
          <c:idx val="238"/>
          <c:order val="238"/>
          <c:tx>
            <c:strRef>
              <c:f>'2022_Data'!$A$240</c:f>
            </c:strRef>
          </c:tx>
          <c:dLbls>
            <c:dLblPos val="ctr"/>
            <c:showLegendKey val="0"/>
            <c:showVal val="0"/>
            <c:showCatName val="0"/>
            <c:showSerName val="1"/>
            <c:showPercent val="0"/>
            <c:showBubbleSize val="0"/>
          </c:dLbls>
          <c:xVal>
            <c:strRef>
              <c:f>'2022_Data'!$F$240</c:f>
            </c:strRef>
          </c:xVal>
          <c:yVal>
            <c:numRef>
              <c:f>'2022_Data'!$E$240</c:f>
              <c:numCache/>
            </c:numRef>
          </c:yVal>
          <c:bubbleSize>
            <c:numRef>
              <c:f>'2022_Data'!$G$240</c:f>
            </c:numRef>
          </c:bubbleSize>
        </c:ser>
        <c:ser>
          <c:idx val="239"/>
          <c:order val="239"/>
          <c:tx>
            <c:strRef>
              <c:f>'2022_Data'!$A$241</c:f>
            </c:strRef>
          </c:tx>
          <c:dLbls>
            <c:dLblPos val="ctr"/>
            <c:showLegendKey val="0"/>
            <c:showVal val="0"/>
            <c:showCatName val="0"/>
            <c:showSerName val="1"/>
            <c:showPercent val="0"/>
            <c:showBubbleSize val="0"/>
          </c:dLbls>
          <c:xVal>
            <c:strRef>
              <c:f>'2022_Data'!$F$241</c:f>
            </c:strRef>
          </c:xVal>
          <c:yVal>
            <c:numRef>
              <c:f>'2022_Data'!$E$241</c:f>
              <c:numCache/>
            </c:numRef>
          </c:yVal>
          <c:bubbleSize>
            <c:numRef>
              <c:f>'2022_Data'!$G$241</c:f>
            </c:numRef>
          </c:bubbleSize>
        </c:ser>
        <c:ser>
          <c:idx val="240"/>
          <c:order val="240"/>
          <c:tx>
            <c:strRef>
              <c:f>'2022_Data'!$A$242</c:f>
            </c:strRef>
          </c:tx>
          <c:dLbls>
            <c:dLblPos val="ctr"/>
            <c:showLegendKey val="0"/>
            <c:showVal val="0"/>
            <c:showCatName val="0"/>
            <c:showSerName val="1"/>
            <c:showPercent val="0"/>
            <c:showBubbleSize val="0"/>
          </c:dLbls>
          <c:xVal>
            <c:strRef>
              <c:f>'2022_Data'!$F$242</c:f>
            </c:strRef>
          </c:xVal>
          <c:yVal>
            <c:numRef>
              <c:f>'2022_Data'!$E$242</c:f>
              <c:numCache/>
            </c:numRef>
          </c:yVal>
          <c:bubbleSize>
            <c:numRef>
              <c:f>'2022_Data'!$G$242</c:f>
            </c:numRef>
          </c:bubbleSize>
        </c:ser>
        <c:ser>
          <c:idx val="241"/>
          <c:order val="241"/>
          <c:tx>
            <c:strRef>
              <c:f>'2022_Data'!$A$243</c:f>
            </c:strRef>
          </c:tx>
          <c:dLbls>
            <c:dLblPos val="ctr"/>
            <c:showLegendKey val="0"/>
            <c:showVal val="0"/>
            <c:showCatName val="0"/>
            <c:showSerName val="1"/>
            <c:showPercent val="0"/>
            <c:showBubbleSize val="0"/>
          </c:dLbls>
          <c:xVal>
            <c:strRef>
              <c:f>'2022_Data'!$F$243</c:f>
            </c:strRef>
          </c:xVal>
          <c:yVal>
            <c:numRef>
              <c:f>'2022_Data'!$E$243</c:f>
              <c:numCache/>
            </c:numRef>
          </c:yVal>
          <c:bubbleSize>
            <c:numRef>
              <c:f>'2022_Data'!$G$243</c:f>
            </c:numRef>
          </c:bubbleSize>
        </c:ser>
        <c:ser>
          <c:idx val="242"/>
          <c:order val="242"/>
          <c:tx>
            <c:strRef>
              <c:f>'2022_Data'!$A$244</c:f>
            </c:strRef>
          </c:tx>
          <c:dLbls>
            <c:dLblPos val="ctr"/>
            <c:showLegendKey val="0"/>
            <c:showVal val="0"/>
            <c:showCatName val="0"/>
            <c:showSerName val="1"/>
            <c:showPercent val="0"/>
            <c:showBubbleSize val="0"/>
          </c:dLbls>
          <c:xVal>
            <c:strRef>
              <c:f>'2022_Data'!$F$244</c:f>
            </c:strRef>
          </c:xVal>
          <c:yVal>
            <c:numRef>
              <c:f>'2022_Data'!$E$244</c:f>
              <c:numCache/>
            </c:numRef>
          </c:yVal>
          <c:bubbleSize>
            <c:numRef>
              <c:f>'2022_Data'!$G$244</c:f>
            </c:numRef>
          </c:bubbleSize>
        </c:ser>
        <c:ser>
          <c:idx val="243"/>
          <c:order val="243"/>
          <c:tx>
            <c:strRef>
              <c:f>'2022_Data'!$A$245</c:f>
            </c:strRef>
          </c:tx>
          <c:dLbls>
            <c:dLblPos val="ctr"/>
            <c:showLegendKey val="0"/>
            <c:showVal val="0"/>
            <c:showCatName val="0"/>
            <c:showSerName val="1"/>
            <c:showPercent val="0"/>
            <c:showBubbleSize val="0"/>
          </c:dLbls>
          <c:xVal>
            <c:strRef>
              <c:f>'2022_Data'!$F$245</c:f>
            </c:strRef>
          </c:xVal>
          <c:yVal>
            <c:numRef>
              <c:f>'2022_Data'!$E$245</c:f>
              <c:numCache/>
            </c:numRef>
          </c:yVal>
          <c:bubbleSize>
            <c:numRef>
              <c:f>'2022_Data'!$G$245</c:f>
            </c:numRef>
          </c:bubbleSize>
        </c:ser>
        <c:ser>
          <c:idx val="244"/>
          <c:order val="244"/>
          <c:tx>
            <c:strRef>
              <c:f>'2022_Data'!$A$246</c:f>
            </c:strRef>
          </c:tx>
          <c:dLbls>
            <c:dLblPos val="ctr"/>
            <c:showLegendKey val="0"/>
            <c:showVal val="0"/>
            <c:showCatName val="0"/>
            <c:showSerName val="1"/>
            <c:showPercent val="0"/>
            <c:showBubbleSize val="0"/>
          </c:dLbls>
          <c:xVal>
            <c:strRef>
              <c:f>'2022_Data'!$F$246</c:f>
            </c:strRef>
          </c:xVal>
          <c:yVal>
            <c:numRef>
              <c:f>'2022_Data'!$E$246</c:f>
              <c:numCache/>
            </c:numRef>
          </c:yVal>
          <c:bubbleSize>
            <c:numRef>
              <c:f>'2022_Data'!$G$246</c:f>
            </c:numRef>
          </c:bubbleSize>
        </c:ser>
        <c:ser>
          <c:idx val="245"/>
          <c:order val="245"/>
          <c:tx>
            <c:strRef>
              <c:f>'2022_Data'!$A$247</c:f>
            </c:strRef>
          </c:tx>
          <c:dLbls>
            <c:dLblPos val="ctr"/>
            <c:showLegendKey val="0"/>
            <c:showVal val="0"/>
            <c:showCatName val="0"/>
            <c:showSerName val="1"/>
            <c:showPercent val="0"/>
            <c:showBubbleSize val="0"/>
          </c:dLbls>
          <c:xVal>
            <c:strRef>
              <c:f>'2022_Data'!$F$247</c:f>
            </c:strRef>
          </c:xVal>
          <c:yVal>
            <c:numRef>
              <c:f>'2022_Data'!$E$247</c:f>
              <c:numCache/>
            </c:numRef>
          </c:yVal>
          <c:bubbleSize>
            <c:numRef>
              <c:f>'2022_Data'!$G$247</c:f>
            </c:numRef>
          </c:bubbleSize>
        </c:ser>
        <c:ser>
          <c:idx val="246"/>
          <c:order val="246"/>
          <c:tx>
            <c:strRef>
              <c:f>'2022_Data'!$A$248</c:f>
            </c:strRef>
          </c:tx>
          <c:dLbls>
            <c:dLblPos val="ctr"/>
            <c:showLegendKey val="0"/>
            <c:showVal val="0"/>
            <c:showCatName val="0"/>
            <c:showSerName val="1"/>
            <c:showPercent val="0"/>
            <c:showBubbleSize val="0"/>
          </c:dLbls>
          <c:xVal>
            <c:strRef>
              <c:f>'2022_Data'!$F$248</c:f>
            </c:strRef>
          </c:xVal>
          <c:yVal>
            <c:numRef>
              <c:f>'2022_Data'!$E$248</c:f>
              <c:numCache/>
            </c:numRef>
          </c:yVal>
          <c:bubbleSize>
            <c:numRef>
              <c:f>'2022_Data'!$G$248</c:f>
            </c:numRef>
          </c:bubbleSize>
        </c:ser>
        <c:ser>
          <c:idx val="247"/>
          <c:order val="247"/>
          <c:tx>
            <c:strRef>
              <c:f>'2022_Data'!$A$249</c:f>
            </c:strRef>
          </c:tx>
          <c:dLbls>
            <c:dLblPos val="ctr"/>
            <c:showLegendKey val="0"/>
            <c:showVal val="0"/>
            <c:showCatName val="0"/>
            <c:showSerName val="1"/>
            <c:showPercent val="0"/>
            <c:showBubbleSize val="0"/>
          </c:dLbls>
          <c:xVal>
            <c:strRef>
              <c:f>'2022_Data'!$F$249</c:f>
            </c:strRef>
          </c:xVal>
          <c:yVal>
            <c:numRef>
              <c:f>'2022_Data'!$E$249</c:f>
              <c:numCache/>
            </c:numRef>
          </c:yVal>
          <c:bubbleSize>
            <c:numRef>
              <c:f>'2022_Data'!$G$249</c:f>
            </c:numRef>
          </c:bubbleSize>
        </c:ser>
        <c:ser>
          <c:idx val="248"/>
          <c:order val="248"/>
          <c:tx>
            <c:strRef>
              <c:f>'2022_Data'!$A$250</c:f>
            </c:strRef>
          </c:tx>
          <c:dLbls>
            <c:dLblPos val="ctr"/>
            <c:showLegendKey val="0"/>
            <c:showVal val="0"/>
            <c:showCatName val="0"/>
            <c:showSerName val="1"/>
            <c:showPercent val="0"/>
            <c:showBubbleSize val="0"/>
          </c:dLbls>
          <c:xVal>
            <c:strRef>
              <c:f>'2022_Data'!$F$250</c:f>
            </c:strRef>
          </c:xVal>
          <c:yVal>
            <c:numRef>
              <c:f>'2022_Data'!$E$250</c:f>
              <c:numCache/>
            </c:numRef>
          </c:yVal>
          <c:bubbleSize>
            <c:numRef>
              <c:f>'2022_Data'!$G$250</c:f>
            </c:numRef>
          </c:bubbleSize>
        </c:ser>
        <c:ser>
          <c:idx val="249"/>
          <c:order val="249"/>
          <c:tx>
            <c:strRef>
              <c:f>'2022_Data'!$A$251</c:f>
            </c:strRef>
          </c:tx>
          <c:dLbls>
            <c:dLblPos val="ctr"/>
            <c:showLegendKey val="0"/>
            <c:showVal val="0"/>
            <c:showCatName val="0"/>
            <c:showSerName val="1"/>
            <c:showPercent val="0"/>
            <c:showBubbleSize val="0"/>
          </c:dLbls>
          <c:xVal>
            <c:strRef>
              <c:f>'2022_Data'!$F$251</c:f>
            </c:strRef>
          </c:xVal>
          <c:yVal>
            <c:numRef>
              <c:f>'2022_Data'!$E$251</c:f>
              <c:numCache/>
            </c:numRef>
          </c:yVal>
          <c:bubbleSize>
            <c:numRef>
              <c:f>'2022_Data'!$G$251</c:f>
            </c:numRef>
          </c:bubbleSize>
        </c:ser>
        <c:ser>
          <c:idx val="250"/>
          <c:order val="250"/>
          <c:tx>
            <c:strRef>
              <c:f>'2022_Data'!$A$252</c:f>
            </c:strRef>
          </c:tx>
          <c:dLbls>
            <c:dLblPos val="ctr"/>
            <c:showLegendKey val="0"/>
            <c:showVal val="0"/>
            <c:showCatName val="0"/>
            <c:showSerName val="1"/>
            <c:showPercent val="0"/>
            <c:showBubbleSize val="0"/>
          </c:dLbls>
          <c:xVal>
            <c:strRef>
              <c:f>'2022_Data'!$F$252</c:f>
            </c:strRef>
          </c:xVal>
          <c:yVal>
            <c:numRef>
              <c:f>'2022_Data'!$E$252</c:f>
              <c:numCache/>
            </c:numRef>
          </c:yVal>
          <c:bubbleSize>
            <c:numRef>
              <c:f>'2022_Data'!$G$252</c:f>
            </c:numRef>
          </c:bubbleSize>
        </c:ser>
        <c:ser>
          <c:idx val="251"/>
          <c:order val="251"/>
          <c:tx>
            <c:strRef>
              <c:f>'2022_Data'!$A$253</c:f>
            </c:strRef>
          </c:tx>
          <c:dLbls>
            <c:dLblPos val="ctr"/>
            <c:showLegendKey val="0"/>
            <c:showVal val="0"/>
            <c:showCatName val="0"/>
            <c:showSerName val="1"/>
            <c:showPercent val="0"/>
            <c:showBubbleSize val="0"/>
          </c:dLbls>
          <c:xVal>
            <c:strRef>
              <c:f>'2022_Data'!$F$253</c:f>
            </c:strRef>
          </c:xVal>
          <c:yVal>
            <c:numRef>
              <c:f>'2022_Data'!$E$253</c:f>
              <c:numCache/>
            </c:numRef>
          </c:yVal>
          <c:bubbleSize>
            <c:numRef>
              <c:f>'2022_Data'!$G$253</c:f>
            </c:numRef>
          </c:bubbleSize>
        </c:ser>
        <c:ser>
          <c:idx val="252"/>
          <c:order val="252"/>
          <c:tx>
            <c:strRef>
              <c:f>'2022_Data'!$A$254</c:f>
            </c:strRef>
          </c:tx>
          <c:dLbls>
            <c:dLblPos val="ctr"/>
            <c:showLegendKey val="0"/>
            <c:showVal val="0"/>
            <c:showCatName val="0"/>
            <c:showSerName val="1"/>
            <c:showPercent val="0"/>
            <c:showBubbleSize val="0"/>
          </c:dLbls>
          <c:xVal>
            <c:strRef>
              <c:f>'2022_Data'!$F$254</c:f>
            </c:strRef>
          </c:xVal>
          <c:yVal>
            <c:numRef>
              <c:f>'2022_Data'!$E$254</c:f>
              <c:numCache/>
            </c:numRef>
          </c:yVal>
          <c:bubbleSize>
            <c:numRef>
              <c:f>'2022_Data'!$G$254</c:f>
            </c:numRef>
          </c:bubbleSize>
        </c:ser>
        <c:ser>
          <c:idx val="253"/>
          <c:order val="253"/>
          <c:tx>
            <c:strRef>
              <c:f>'2022_Data'!$A$255</c:f>
            </c:strRef>
          </c:tx>
          <c:dLbls>
            <c:dLblPos val="ctr"/>
            <c:showLegendKey val="0"/>
            <c:showVal val="0"/>
            <c:showCatName val="0"/>
            <c:showSerName val="1"/>
            <c:showPercent val="0"/>
            <c:showBubbleSize val="0"/>
          </c:dLbls>
          <c:xVal>
            <c:strRef>
              <c:f>'2022_Data'!$F$255</c:f>
            </c:strRef>
          </c:xVal>
          <c:yVal>
            <c:numRef>
              <c:f>'2022_Data'!$E$255</c:f>
              <c:numCache/>
            </c:numRef>
          </c:yVal>
          <c:bubbleSize>
            <c:numRef>
              <c:f>'2022_Data'!$G$255</c:f>
            </c:numRef>
          </c:bubbleSize>
        </c:ser>
        <c:ser>
          <c:idx val="254"/>
          <c:order val="254"/>
          <c:tx>
            <c:strRef>
              <c:f>'2022_Data'!$A$256</c:f>
            </c:strRef>
          </c:tx>
          <c:dLbls>
            <c:dLblPos val="ctr"/>
            <c:showLegendKey val="0"/>
            <c:showVal val="0"/>
            <c:showCatName val="0"/>
            <c:showSerName val="1"/>
            <c:showPercent val="0"/>
            <c:showBubbleSize val="0"/>
          </c:dLbls>
          <c:xVal>
            <c:strRef>
              <c:f>'2022_Data'!$F$256</c:f>
            </c:strRef>
          </c:xVal>
          <c:yVal>
            <c:numRef>
              <c:f>'2022_Data'!$E$256</c:f>
              <c:numCache/>
            </c:numRef>
          </c:yVal>
          <c:bubbleSize>
            <c:numRef>
              <c:f>'2022_Data'!$G$256</c:f>
            </c:numRef>
          </c:bubbleSize>
        </c:ser>
        <c:ser>
          <c:idx val="255"/>
          <c:order val="255"/>
          <c:tx>
            <c:strRef>
              <c:f>'2022_Data'!$A$257</c:f>
            </c:strRef>
          </c:tx>
          <c:dLbls>
            <c:dLblPos val="ctr"/>
            <c:showLegendKey val="0"/>
            <c:showVal val="0"/>
            <c:showCatName val="0"/>
            <c:showSerName val="1"/>
            <c:showPercent val="0"/>
            <c:showBubbleSize val="0"/>
          </c:dLbls>
          <c:xVal>
            <c:strRef>
              <c:f>'2022_Data'!$F$257</c:f>
            </c:strRef>
          </c:xVal>
          <c:yVal>
            <c:numRef>
              <c:f>'2022_Data'!$E$257</c:f>
              <c:numCache/>
            </c:numRef>
          </c:yVal>
          <c:bubbleSize>
            <c:numRef>
              <c:f>'2022_Data'!$G$257</c:f>
            </c:numRef>
          </c:bubbleSize>
        </c:ser>
        <c:ser>
          <c:idx val="256"/>
          <c:order val="256"/>
          <c:tx>
            <c:strRef>
              <c:f>'2022_Data'!$A$258</c:f>
            </c:strRef>
          </c:tx>
          <c:dLbls>
            <c:dLblPos val="ctr"/>
            <c:showLegendKey val="0"/>
            <c:showVal val="0"/>
            <c:showCatName val="0"/>
            <c:showSerName val="1"/>
            <c:showPercent val="0"/>
            <c:showBubbleSize val="0"/>
          </c:dLbls>
          <c:xVal>
            <c:strRef>
              <c:f>'2022_Data'!$F$258</c:f>
            </c:strRef>
          </c:xVal>
          <c:yVal>
            <c:numRef>
              <c:f>'2022_Data'!$E$258</c:f>
              <c:numCache/>
            </c:numRef>
          </c:yVal>
          <c:bubbleSize>
            <c:numRef>
              <c:f>'2022_Data'!$G$258</c:f>
            </c:numRef>
          </c:bubbleSize>
        </c:ser>
        <c:ser>
          <c:idx val="257"/>
          <c:order val="257"/>
          <c:tx>
            <c:strRef>
              <c:f>'2022_Data'!$A$259</c:f>
            </c:strRef>
          </c:tx>
          <c:dLbls>
            <c:dLblPos val="ctr"/>
            <c:showLegendKey val="0"/>
            <c:showVal val="0"/>
            <c:showCatName val="0"/>
            <c:showSerName val="1"/>
            <c:showPercent val="0"/>
            <c:showBubbleSize val="0"/>
          </c:dLbls>
          <c:xVal>
            <c:strRef>
              <c:f>'2022_Data'!$F$259</c:f>
            </c:strRef>
          </c:xVal>
          <c:yVal>
            <c:numRef>
              <c:f>'2022_Data'!$E$259</c:f>
              <c:numCache/>
            </c:numRef>
          </c:yVal>
          <c:bubbleSize>
            <c:numRef>
              <c:f>'2022_Data'!$G$259</c:f>
            </c:numRef>
          </c:bubbleSize>
        </c:ser>
        <c:ser>
          <c:idx val="258"/>
          <c:order val="258"/>
          <c:tx>
            <c:strRef>
              <c:f>'2022_Data'!$A$260</c:f>
            </c:strRef>
          </c:tx>
          <c:dLbls>
            <c:dLblPos val="ctr"/>
            <c:showLegendKey val="0"/>
            <c:showVal val="0"/>
            <c:showCatName val="0"/>
            <c:showSerName val="1"/>
            <c:showPercent val="0"/>
            <c:showBubbleSize val="0"/>
          </c:dLbls>
          <c:xVal>
            <c:strRef>
              <c:f>'2022_Data'!$F$260</c:f>
            </c:strRef>
          </c:xVal>
          <c:yVal>
            <c:numRef>
              <c:f>'2022_Data'!$E$260</c:f>
              <c:numCache/>
            </c:numRef>
          </c:yVal>
          <c:bubbleSize>
            <c:numRef>
              <c:f>'2022_Data'!$G$260</c:f>
            </c:numRef>
          </c:bubbleSize>
        </c:ser>
        <c:ser>
          <c:idx val="259"/>
          <c:order val="259"/>
          <c:tx>
            <c:strRef>
              <c:f>'2022_Data'!$A$261</c:f>
            </c:strRef>
          </c:tx>
          <c:dLbls>
            <c:dLblPos val="ctr"/>
            <c:showLegendKey val="0"/>
            <c:showVal val="0"/>
            <c:showCatName val="0"/>
            <c:showSerName val="1"/>
            <c:showPercent val="0"/>
            <c:showBubbleSize val="0"/>
          </c:dLbls>
          <c:xVal>
            <c:strRef>
              <c:f>'2022_Data'!$F$261</c:f>
            </c:strRef>
          </c:xVal>
          <c:yVal>
            <c:numRef>
              <c:f>'2022_Data'!$E$261</c:f>
              <c:numCache/>
            </c:numRef>
          </c:yVal>
          <c:bubbleSize>
            <c:numRef>
              <c:f>'2022_Data'!$G$261</c:f>
            </c:numRef>
          </c:bubbleSize>
        </c:ser>
        <c:ser>
          <c:idx val="260"/>
          <c:order val="260"/>
          <c:tx>
            <c:strRef>
              <c:f>'2022_Data'!$A$262</c:f>
            </c:strRef>
          </c:tx>
          <c:dLbls>
            <c:dLblPos val="ctr"/>
            <c:showLegendKey val="0"/>
            <c:showVal val="0"/>
            <c:showCatName val="0"/>
            <c:showSerName val="1"/>
            <c:showPercent val="0"/>
            <c:showBubbleSize val="0"/>
          </c:dLbls>
          <c:xVal>
            <c:strRef>
              <c:f>'2022_Data'!$F$262</c:f>
            </c:strRef>
          </c:xVal>
          <c:yVal>
            <c:numRef>
              <c:f>'2022_Data'!$E$262</c:f>
              <c:numCache/>
            </c:numRef>
          </c:yVal>
          <c:bubbleSize>
            <c:numRef>
              <c:f>'2022_Data'!$G$262</c:f>
            </c:numRef>
          </c:bubbleSize>
        </c:ser>
        <c:ser>
          <c:idx val="261"/>
          <c:order val="261"/>
          <c:tx>
            <c:strRef>
              <c:f>'2022_Data'!$A$263</c:f>
            </c:strRef>
          </c:tx>
          <c:dLbls>
            <c:dLblPos val="ctr"/>
            <c:showLegendKey val="0"/>
            <c:showVal val="0"/>
            <c:showCatName val="0"/>
            <c:showSerName val="1"/>
            <c:showPercent val="0"/>
            <c:showBubbleSize val="0"/>
          </c:dLbls>
          <c:xVal>
            <c:strRef>
              <c:f>'2022_Data'!$F$263</c:f>
            </c:strRef>
          </c:xVal>
          <c:yVal>
            <c:numRef>
              <c:f>'2022_Data'!$E$263</c:f>
              <c:numCache/>
            </c:numRef>
          </c:yVal>
          <c:bubbleSize>
            <c:numRef>
              <c:f>'2022_Data'!$G$263</c:f>
            </c:numRef>
          </c:bubbleSize>
        </c:ser>
        <c:ser>
          <c:idx val="262"/>
          <c:order val="262"/>
          <c:tx>
            <c:strRef>
              <c:f>'2022_Data'!$A$264</c:f>
            </c:strRef>
          </c:tx>
          <c:dLbls>
            <c:dLblPos val="ctr"/>
            <c:showLegendKey val="0"/>
            <c:showVal val="0"/>
            <c:showCatName val="0"/>
            <c:showSerName val="1"/>
            <c:showPercent val="0"/>
            <c:showBubbleSize val="0"/>
          </c:dLbls>
          <c:xVal>
            <c:strRef>
              <c:f>'2022_Data'!$F$264</c:f>
            </c:strRef>
          </c:xVal>
          <c:yVal>
            <c:numRef>
              <c:f>'2022_Data'!$E$264</c:f>
              <c:numCache/>
            </c:numRef>
          </c:yVal>
          <c:bubbleSize>
            <c:numRef>
              <c:f>'2022_Data'!$G$264</c:f>
            </c:numRef>
          </c:bubbleSize>
        </c:ser>
        <c:ser>
          <c:idx val="263"/>
          <c:order val="263"/>
          <c:tx>
            <c:strRef>
              <c:f>'2022_Data'!$A$265</c:f>
            </c:strRef>
          </c:tx>
          <c:dLbls>
            <c:dLblPos val="ctr"/>
            <c:showLegendKey val="0"/>
            <c:showVal val="0"/>
            <c:showCatName val="0"/>
            <c:showSerName val="1"/>
            <c:showPercent val="0"/>
            <c:showBubbleSize val="0"/>
          </c:dLbls>
          <c:xVal>
            <c:strRef>
              <c:f>'2022_Data'!$F$265</c:f>
            </c:strRef>
          </c:xVal>
          <c:yVal>
            <c:numRef>
              <c:f>'2022_Data'!$E$265</c:f>
              <c:numCache/>
            </c:numRef>
          </c:yVal>
          <c:bubbleSize>
            <c:numRef>
              <c:f>'2022_Data'!$G$265</c:f>
            </c:numRef>
          </c:bubbleSize>
        </c:ser>
        <c:ser>
          <c:idx val="264"/>
          <c:order val="264"/>
          <c:tx>
            <c:strRef>
              <c:f>'2022_Data'!$A$266</c:f>
            </c:strRef>
          </c:tx>
          <c:dLbls>
            <c:dLblPos val="ctr"/>
            <c:showLegendKey val="0"/>
            <c:showVal val="0"/>
            <c:showCatName val="0"/>
            <c:showSerName val="1"/>
            <c:showPercent val="0"/>
            <c:showBubbleSize val="0"/>
          </c:dLbls>
          <c:xVal>
            <c:strRef>
              <c:f>'2022_Data'!$F$266</c:f>
            </c:strRef>
          </c:xVal>
          <c:yVal>
            <c:numRef>
              <c:f>'2022_Data'!$E$266</c:f>
              <c:numCache/>
            </c:numRef>
          </c:yVal>
          <c:bubbleSize>
            <c:numRef>
              <c:f>'2022_Data'!$G$266</c:f>
            </c:numRef>
          </c:bubbleSize>
        </c:ser>
        <c:ser>
          <c:idx val="265"/>
          <c:order val="265"/>
          <c:tx>
            <c:strRef>
              <c:f>'2022_Data'!$A$267</c:f>
            </c:strRef>
          </c:tx>
          <c:dLbls>
            <c:dLblPos val="ctr"/>
            <c:showLegendKey val="0"/>
            <c:showVal val="0"/>
            <c:showCatName val="0"/>
            <c:showSerName val="1"/>
            <c:showPercent val="0"/>
            <c:showBubbleSize val="0"/>
          </c:dLbls>
          <c:xVal>
            <c:strRef>
              <c:f>'2022_Data'!$F$267</c:f>
            </c:strRef>
          </c:xVal>
          <c:yVal>
            <c:numRef>
              <c:f>'2022_Data'!$E$267</c:f>
              <c:numCache/>
            </c:numRef>
          </c:yVal>
          <c:bubbleSize>
            <c:numRef>
              <c:f>'2022_Data'!$G$267</c:f>
            </c:numRef>
          </c:bubbleSize>
        </c:ser>
        <c:ser>
          <c:idx val="266"/>
          <c:order val="266"/>
          <c:tx>
            <c:strRef>
              <c:f>'2022_Data'!$A$268</c:f>
            </c:strRef>
          </c:tx>
          <c:dLbls>
            <c:dLblPos val="ctr"/>
            <c:showLegendKey val="0"/>
            <c:showVal val="0"/>
            <c:showCatName val="0"/>
            <c:showSerName val="1"/>
            <c:showPercent val="0"/>
            <c:showBubbleSize val="0"/>
          </c:dLbls>
          <c:xVal>
            <c:strRef>
              <c:f>'2022_Data'!$F$268</c:f>
            </c:strRef>
          </c:xVal>
          <c:yVal>
            <c:numRef>
              <c:f>'2022_Data'!$E$268</c:f>
              <c:numCache/>
            </c:numRef>
          </c:yVal>
          <c:bubbleSize>
            <c:numRef>
              <c:f>'2022_Data'!$G$268</c:f>
            </c:numRef>
          </c:bubbleSize>
        </c:ser>
        <c:ser>
          <c:idx val="267"/>
          <c:order val="267"/>
          <c:tx>
            <c:strRef>
              <c:f>'2022_Data'!$A$269</c:f>
            </c:strRef>
          </c:tx>
          <c:dLbls>
            <c:dLblPos val="ctr"/>
            <c:showLegendKey val="0"/>
            <c:showVal val="0"/>
            <c:showCatName val="0"/>
            <c:showSerName val="1"/>
            <c:showPercent val="0"/>
            <c:showBubbleSize val="0"/>
          </c:dLbls>
          <c:xVal>
            <c:strRef>
              <c:f>'2022_Data'!$F$269</c:f>
            </c:strRef>
          </c:xVal>
          <c:yVal>
            <c:numRef>
              <c:f>'2022_Data'!$E$269</c:f>
              <c:numCache/>
            </c:numRef>
          </c:yVal>
          <c:bubbleSize>
            <c:numRef>
              <c:f>'2022_Data'!$G$269</c:f>
            </c:numRef>
          </c:bubbleSize>
        </c:ser>
        <c:ser>
          <c:idx val="268"/>
          <c:order val="268"/>
          <c:tx>
            <c:strRef>
              <c:f>'2022_Data'!$A$270</c:f>
            </c:strRef>
          </c:tx>
          <c:dLbls>
            <c:dLblPos val="ctr"/>
            <c:showLegendKey val="0"/>
            <c:showVal val="0"/>
            <c:showCatName val="0"/>
            <c:showSerName val="1"/>
            <c:showPercent val="0"/>
            <c:showBubbleSize val="0"/>
          </c:dLbls>
          <c:xVal>
            <c:strRef>
              <c:f>'2022_Data'!$F$270</c:f>
            </c:strRef>
          </c:xVal>
          <c:yVal>
            <c:numRef>
              <c:f>'2022_Data'!$E$270</c:f>
              <c:numCache/>
            </c:numRef>
          </c:yVal>
          <c:bubbleSize>
            <c:numRef>
              <c:f>'2022_Data'!$G$270</c:f>
            </c:numRef>
          </c:bubbleSize>
        </c:ser>
        <c:ser>
          <c:idx val="269"/>
          <c:order val="269"/>
          <c:tx>
            <c:strRef>
              <c:f>'2022_Data'!$A$271</c:f>
            </c:strRef>
          </c:tx>
          <c:dLbls>
            <c:dLblPos val="ctr"/>
            <c:showLegendKey val="0"/>
            <c:showVal val="0"/>
            <c:showCatName val="0"/>
            <c:showSerName val="1"/>
            <c:showPercent val="0"/>
            <c:showBubbleSize val="0"/>
          </c:dLbls>
          <c:xVal>
            <c:strRef>
              <c:f>'2022_Data'!$F$271</c:f>
            </c:strRef>
          </c:xVal>
          <c:yVal>
            <c:numRef>
              <c:f>'2022_Data'!$E$271</c:f>
              <c:numCache/>
            </c:numRef>
          </c:yVal>
          <c:bubbleSize>
            <c:numRef>
              <c:f>'2022_Data'!$G$271</c:f>
            </c:numRef>
          </c:bubbleSize>
        </c:ser>
        <c:ser>
          <c:idx val="270"/>
          <c:order val="270"/>
          <c:tx>
            <c:strRef>
              <c:f>'2022_Data'!$A$272</c:f>
            </c:strRef>
          </c:tx>
          <c:dLbls>
            <c:dLblPos val="ctr"/>
            <c:showLegendKey val="0"/>
            <c:showVal val="0"/>
            <c:showCatName val="0"/>
            <c:showSerName val="1"/>
            <c:showPercent val="0"/>
            <c:showBubbleSize val="0"/>
          </c:dLbls>
          <c:xVal>
            <c:strRef>
              <c:f>'2022_Data'!$F$272</c:f>
            </c:strRef>
          </c:xVal>
          <c:yVal>
            <c:numRef>
              <c:f>'2022_Data'!$E$272</c:f>
              <c:numCache/>
            </c:numRef>
          </c:yVal>
          <c:bubbleSize>
            <c:numRef>
              <c:f>'2022_Data'!$G$272</c:f>
            </c:numRef>
          </c:bubbleSize>
        </c:ser>
        <c:ser>
          <c:idx val="271"/>
          <c:order val="271"/>
          <c:tx>
            <c:strRef>
              <c:f>'2022_Data'!$A$273</c:f>
            </c:strRef>
          </c:tx>
          <c:dLbls>
            <c:dLblPos val="ctr"/>
            <c:showLegendKey val="0"/>
            <c:showVal val="0"/>
            <c:showCatName val="0"/>
            <c:showSerName val="1"/>
            <c:showPercent val="0"/>
            <c:showBubbleSize val="0"/>
          </c:dLbls>
          <c:xVal>
            <c:strRef>
              <c:f>'2022_Data'!$F$273</c:f>
            </c:strRef>
          </c:xVal>
          <c:yVal>
            <c:numRef>
              <c:f>'2022_Data'!$E$273</c:f>
              <c:numCache/>
            </c:numRef>
          </c:yVal>
          <c:bubbleSize>
            <c:numRef>
              <c:f>'2022_Data'!$G$273</c:f>
            </c:numRef>
          </c:bubbleSize>
        </c:ser>
        <c:ser>
          <c:idx val="272"/>
          <c:order val="272"/>
          <c:tx>
            <c:strRef>
              <c:f>'2022_Data'!$A$274</c:f>
            </c:strRef>
          </c:tx>
          <c:dLbls>
            <c:dLblPos val="ctr"/>
            <c:showLegendKey val="0"/>
            <c:showVal val="0"/>
            <c:showCatName val="0"/>
            <c:showSerName val="1"/>
            <c:showPercent val="0"/>
            <c:showBubbleSize val="0"/>
          </c:dLbls>
          <c:xVal>
            <c:strRef>
              <c:f>'2022_Data'!$F$274</c:f>
            </c:strRef>
          </c:xVal>
          <c:yVal>
            <c:numRef>
              <c:f>'2022_Data'!$E$274</c:f>
              <c:numCache/>
            </c:numRef>
          </c:yVal>
          <c:bubbleSize>
            <c:numRef>
              <c:f>'2022_Data'!$G$274</c:f>
            </c:numRef>
          </c:bubbleSize>
        </c:ser>
        <c:ser>
          <c:idx val="273"/>
          <c:order val="273"/>
          <c:tx>
            <c:strRef>
              <c:f>'2022_Data'!$A$275</c:f>
            </c:strRef>
          </c:tx>
          <c:dLbls>
            <c:dLblPos val="ctr"/>
            <c:showLegendKey val="0"/>
            <c:showVal val="0"/>
            <c:showCatName val="0"/>
            <c:showSerName val="1"/>
            <c:showPercent val="0"/>
            <c:showBubbleSize val="0"/>
          </c:dLbls>
          <c:xVal>
            <c:strRef>
              <c:f>'2022_Data'!$F$275</c:f>
            </c:strRef>
          </c:xVal>
          <c:yVal>
            <c:numRef>
              <c:f>'2022_Data'!$E$275</c:f>
              <c:numCache/>
            </c:numRef>
          </c:yVal>
          <c:bubbleSize>
            <c:numRef>
              <c:f>'2022_Data'!$G$275</c:f>
            </c:numRef>
          </c:bubbleSize>
        </c:ser>
        <c:ser>
          <c:idx val="274"/>
          <c:order val="274"/>
          <c:tx>
            <c:strRef>
              <c:f>'2022_Data'!$A$276</c:f>
            </c:strRef>
          </c:tx>
          <c:dLbls>
            <c:dLblPos val="ctr"/>
            <c:showLegendKey val="0"/>
            <c:showVal val="0"/>
            <c:showCatName val="0"/>
            <c:showSerName val="1"/>
            <c:showPercent val="0"/>
            <c:showBubbleSize val="0"/>
          </c:dLbls>
          <c:xVal>
            <c:strRef>
              <c:f>'2022_Data'!$F$276</c:f>
            </c:strRef>
          </c:xVal>
          <c:yVal>
            <c:numRef>
              <c:f>'2022_Data'!$E$276</c:f>
              <c:numCache/>
            </c:numRef>
          </c:yVal>
          <c:bubbleSize>
            <c:numRef>
              <c:f>'2022_Data'!$G$276</c:f>
            </c:numRef>
          </c:bubbleSize>
        </c:ser>
        <c:ser>
          <c:idx val="275"/>
          <c:order val="275"/>
          <c:tx>
            <c:strRef>
              <c:f>'2022_Data'!$A$277</c:f>
            </c:strRef>
          </c:tx>
          <c:dLbls>
            <c:dLblPos val="ctr"/>
            <c:showLegendKey val="0"/>
            <c:showVal val="0"/>
            <c:showCatName val="0"/>
            <c:showSerName val="1"/>
            <c:showPercent val="0"/>
            <c:showBubbleSize val="0"/>
          </c:dLbls>
          <c:xVal>
            <c:strRef>
              <c:f>'2022_Data'!$F$277</c:f>
            </c:strRef>
          </c:xVal>
          <c:yVal>
            <c:numRef>
              <c:f>'2022_Data'!$E$277</c:f>
              <c:numCache/>
            </c:numRef>
          </c:yVal>
          <c:bubbleSize>
            <c:numRef>
              <c:f>'2022_Data'!$G$277</c:f>
            </c:numRef>
          </c:bubbleSize>
        </c:ser>
        <c:ser>
          <c:idx val="276"/>
          <c:order val="276"/>
          <c:tx>
            <c:strRef>
              <c:f>'2022_Data'!$A$278</c:f>
            </c:strRef>
          </c:tx>
          <c:dLbls>
            <c:dLblPos val="ctr"/>
            <c:showLegendKey val="0"/>
            <c:showVal val="0"/>
            <c:showCatName val="0"/>
            <c:showSerName val="1"/>
            <c:showPercent val="0"/>
            <c:showBubbleSize val="0"/>
          </c:dLbls>
          <c:xVal>
            <c:strRef>
              <c:f>'2022_Data'!$F$278</c:f>
            </c:strRef>
          </c:xVal>
          <c:yVal>
            <c:numRef>
              <c:f>'2022_Data'!$E$278</c:f>
              <c:numCache/>
            </c:numRef>
          </c:yVal>
          <c:bubbleSize>
            <c:numRef>
              <c:f>'2022_Data'!$G$278</c:f>
            </c:numRef>
          </c:bubbleSize>
        </c:ser>
        <c:ser>
          <c:idx val="277"/>
          <c:order val="277"/>
          <c:tx>
            <c:strRef>
              <c:f>'2022_Data'!$A$279</c:f>
            </c:strRef>
          </c:tx>
          <c:dLbls>
            <c:dLblPos val="ctr"/>
            <c:showLegendKey val="0"/>
            <c:showVal val="0"/>
            <c:showCatName val="0"/>
            <c:showSerName val="1"/>
            <c:showPercent val="0"/>
            <c:showBubbleSize val="0"/>
          </c:dLbls>
          <c:xVal>
            <c:strRef>
              <c:f>'2022_Data'!$F$279</c:f>
            </c:strRef>
          </c:xVal>
          <c:yVal>
            <c:numRef>
              <c:f>'2022_Data'!$E$279</c:f>
              <c:numCache/>
            </c:numRef>
          </c:yVal>
          <c:bubbleSize>
            <c:numRef>
              <c:f>'2022_Data'!$G$279</c:f>
            </c:numRef>
          </c:bubbleSize>
        </c:ser>
        <c:ser>
          <c:idx val="278"/>
          <c:order val="278"/>
          <c:tx>
            <c:strRef>
              <c:f>'2022_Data'!$A$280</c:f>
            </c:strRef>
          </c:tx>
          <c:dLbls>
            <c:dLblPos val="ctr"/>
            <c:showLegendKey val="0"/>
            <c:showVal val="0"/>
            <c:showCatName val="0"/>
            <c:showSerName val="1"/>
            <c:showPercent val="0"/>
            <c:showBubbleSize val="0"/>
          </c:dLbls>
          <c:xVal>
            <c:strRef>
              <c:f>'2022_Data'!$F$280</c:f>
            </c:strRef>
          </c:xVal>
          <c:yVal>
            <c:numRef>
              <c:f>'2022_Data'!$E$280</c:f>
              <c:numCache/>
            </c:numRef>
          </c:yVal>
          <c:bubbleSize>
            <c:numRef>
              <c:f>'2022_Data'!$G$280</c:f>
            </c:numRef>
          </c:bubbleSize>
        </c:ser>
        <c:ser>
          <c:idx val="279"/>
          <c:order val="279"/>
          <c:tx>
            <c:strRef>
              <c:f>'2022_Data'!$A$281</c:f>
            </c:strRef>
          </c:tx>
          <c:dLbls>
            <c:dLblPos val="ctr"/>
            <c:showLegendKey val="0"/>
            <c:showVal val="0"/>
            <c:showCatName val="0"/>
            <c:showSerName val="1"/>
            <c:showPercent val="0"/>
            <c:showBubbleSize val="0"/>
          </c:dLbls>
          <c:xVal>
            <c:strRef>
              <c:f>'2022_Data'!$F$281</c:f>
            </c:strRef>
          </c:xVal>
          <c:yVal>
            <c:numRef>
              <c:f>'2022_Data'!$E$281</c:f>
              <c:numCache/>
            </c:numRef>
          </c:yVal>
          <c:bubbleSize>
            <c:numRef>
              <c:f>'2022_Data'!$G$281</c:f>
            </c:numRef>
          </c:bubbleSize>
        </c:ser>
        <c:ser>
          <c:idx val="280"/>
          <c:order val="280"/>
          <c:tx>
            <c:strRef>
              <c:f>'2022_Data'!$A$282</c:f>
            </c:strRef>
          </c:tx>
          <c:dLbls>
            <c:dLblPos val="ctr"/>
            <c:showLegendKey val="0"/>
            <c:showVal val="0"/>
            <c:showCatName val="0"/>
            <c:showSerName val="1"/>
            <c:showPercent val="0"/>
            <c:showBubbleSize val="0"/>
          </c:dLbls>
          <c:xVal>
            <c:strRef>
              <c:f>'2022_Data'!$F$282</c:f>
            </c:strRef>
          </c:xVal>
          <c:yVal>
            <c:numRef>
              <c:f>'2022_Data'!$E$282</c:f>
              <c:numCache/>
            </c:numRef>
          </c:yVal>
          <c:bubbleSize>
            <c:numRef>
              <c:f>'2022_Data'!$G$282</c:f>
            </c:numRef>
          </c:bubbleSize>
        </c:ser>
        <c:ser>
          <c:idx val="281"/>
          <c:order val="281"/>
          <c:tx>
            <c:strRef>
              <c:f>'2022_Data'!$A$283</c:f>
            </c:strRef>
          </c:tx>
          <c:dLbls>
            <c:dLblPos val="ctr"/>
            <c:showLegendKey val="0"/>
            <c:showVal val="0"/>
            <c:showCatName val="0"/>
            <c:showSerName val="1"/>
            <c:showPercent val="0"/>
            <c:showBubbleSize val="0"/>
          </c:dLbls>
          <c:xVal>
            <c:strRef>
              <c:f>'2022_Data'!$F$283</c:f>
            </c:strRef>
          </c:xVal>
          <c:yVal>
            <c:numRef>
              <c:f>'2022_Data'!$E$283</c:f>
              <c:numCache/>
            </c:numRef>
          </c:yVal>
          <c:bubbleSize>
            <c:numRef>
              <c:f>'2022_Data'!$G$283</c:f>
            </c:numRef>
          </c:bubbleSize>
        </c:ser>
        <c:ser>
          <c:idx val="282"/>
          <c:order val="282"/>
          <c:tx>
            <c:strRef>
              <c:f>'2022_Data'!$A$284</c:f>
            </c:strRef>
          </c:tx>
          <c:dLbls>
            <c:dLblPos val="ctr"/>
            <c:showLegendKey val="0"/>
            <c:showVal val="0"/>
            <c:showCatName val="0"/>
            <c:showSerName val="1"/>
            <c:showPercent val="0"/>
            <c:showBubbleSize val="0"/>
          </c:dLbls>
          <c:xVal>
            <c:strRef>
              <c:f>'2022_Data'!$F$284</c:f>
            </c:strRef>
          </c:xVal>
          <c:yVal>
            <c:numRef>
              <c:f>'2022_Data'!$E$284</c:f>
              <c:numCache/>
            </c:numRef>
          </c:yVal>
          <c:bubbleSize>
            <c:numRef>
              <c:f>'2022_Data'!$G$284</c:f>
            </c:numRef>
          </c:bubbleSize>
        </c:ser>
        <c:ser>
          <c:idx val="283"/>
          <c:order val="283"/>
          <c:tx>
            <c:strRef>
              <c:f>'2022_Data'!$A$285</c:f>
            </c:strRef>
          </c:tx>
          <c:dLbls>
            <c:dLblPos val="ctr"/>
            <c:showLegendKey val="0"/>
            <c:showVal val="0"/>
            <c:showCatName val="0"/>
            <c:showSerName val="1"/>
            <c:showPercent val="0"/>
            <c:showBubbleSize val="0"/>
          </c:dLbls>
          <c:xVal>
            <c:strRef>
              <c:f>'2022_Data'!$F$285</c:f>
            </c:strRef>
          </c:xVal>
          <c:yVal>
            <c:numRef>
              <c:f>'2022_Data'!$E$285</c:f>
              <c:numCache/>
            </c:numRef>
          </c:yVal>
          <c:bubbleSize>
            <c:numRef>
              <c:f>'2022_Data'!$G$285</c:f>
            </c:numRef>
          </c:bubbleSize>
        </c:ser>
        <c:ser>
          <c:idx val="284"/>
          <c:order val="284"/>
          <c:tx>
            <c:strRef>
              <c:f>'2022_Data'!$A$286</c:f>
            </c:strRef>
          </c:tx>
          <c:dLbls>
            <c:dLblPos val="ctr"/>
            <c:showLegendKey val="0"/>
            <c:showVal val="0"/>
            <c:showCatName val="0"/>
            <c:showSerName val="1"/>
            <c:showPercent val="0"/>
            <c:showBubbleSize val="0"/>
          </c:dLbls>
          <c:xVal>
            <c:strRef>
              <c:f>'2022_Data'!$F$286</c:f>
            </c:strRef>
          </c:xVal>
          <c:yVal>
            <c:numRef>
              <c:f>'2022_Data'!$E$286</c:f>
              <c:numCache/>
            </c:numRef>
          </c:yVal>
          <c:bubbleSize>
            <c:numRef>
              <c:f>'2022_Data'!$G$286</c:f>
            </c:numRef>
          </c:bubbleSize>
        </c:ser>
        <c:ser>
          <c:idx val="285"/>
          <c:order val="285"/>
          <c:tx>
            <c:strRef>
              <c:f>'2022_Data'!$A$287</c:f>
            </c:strRef>
          </c:tx>
          <c:dLbls>
            <c:dLblPos val="ctr"/>
            <c:showLegendKey val="0"/>
            <c:showVal val="0"/>
            <c:showCatName val="0"/>
            <c:showSerName val="1"/>
            <c:showPercent val="0"/>
            <c:showBubbleSize val="0"/>
          </c:dLbls>
          <c:xVal>
            <c:strRef>
              <c:f>'2022_Data'!$F$287</c:f>
            </c:strRef>
          </c:xVal>
          <c:yVal>
            <c:numRef>
              <c:f>'2022_Data'!$E$287</c:f>
              <c:numCache/>
            </c:numRef>
          </c:yVal>
          <c:bubbleSize>
            <c:numRef>
              <c:f>'2022_Data'!$G$287</c:f>
            </c:numRef>
          </c:bubbleSize>
        </c:ser>
        <c:ser>
          <c:idx val="286"/>
          <c:order val="286"/>
          <c:tx>
            <c:strRef>
              <c:f>'2022_Data'!$A$288</c:f>
            </c:strRef>
          </c:tx>
          <c:dLbls>
            <c:dLblPos val="ctr"/>
            <c:showLegendKey val="0"/>
            <c:showVal val="0"/>
            <c:showCatName val="0"/>
            <c:showSerName val="1"/>
            <c:showPercent val="0"/>
            <c:showBubbleSize val="0"/>
          </c:dLbls>
          <c:xVal>
            <c:strRef>
              <c:f>'2022_Data'!$F$288</c:f>
            </c:strRef>
          </c:xVal>
          <c:yVal>
            <c:numRef>
              <c:f>'2022_Data'!$E$288</c:f>
              <c:numCache/>
            </c:numRef>
          </c:yVal>
          <c:bubbleSize>
            <c:numRef>
              <c:f>'2022_Data'!$G$288</c:f>
            </c:numRef>
          </c:bubbleSize>
        </c:ser>
        <c:ser>
          <c:idx val="287"/>
          <c:order val="287"/>
          <c:tx>
            <c:strRef>
              <c:f>'2022_Data'!$A$289</c:f>
            </c:strRef>
          </c:tx>
          <c:dLbls>
            <c:dLblPos val="ctr"/>
            <c:showLegendKey val="0"/>
            <c:showVal val="0"/>
            <c:showCatName val="0"/>
            <c:showSerName val="1"/>
            <c:showPercent val="0"/>
            <c:showBubbleSize val="0"/>
          </c:dLbls>
          <c:xVal>
            <c:strRef>
              <c:f>'2022_Data'!$F$289</c:f>
            </c:strRef>
          </c:xVal>
          <c:yVal>
            <c:numRef>
              <c:f>'2022_Data'!$E$289</c:f>
              <c:numCache/>
            </c:numRef>
          </c:yVal>
          <c:bubbleSize>
            <c:numRef>
              <c:f>'2022_Data'!$G$289</c:f>
            </c:numRef>
          </c:bubbleSize>
        </c:ser>
        <c:ser>
          <c:idx val="288"/>
          <c:order val="288"/>
          <c:tx>
            <c:strRef>
              <c:f>'2022_Data'!$A$290</c:f>
            </c:strRef>
          </c:tx>
          <c:dLbls>
            <c:dLblPos val="ctr"/>
            <c:showLegendKey val="0"/>
            <c:showVal val="0"/>
            <c:showCatName val="0"/>
            <c:showSerName val="1"/>
            <c:showPercent val="0"/>
            <c:showBubbleSize val="0"/>
          </c:dLbls>
          <c:xVal>
            <c:strRef>
              <c:f>'2022_Data'!$F$290</c:f>
            </c:strRef>
          </c:xVal>
          <c:yVal>
            <c:numRef>
              <c:f>'2022_Data'!$E$290</c:f>
              <c:numCache/>
            </c:numRef>
          </c:yVal>
          <c:bubbleSize>
            <c:numRef>
              <c:f>'2022_Data'!$G$290</c:f>
            </c:numRef>
          </c:bubbleSize>
        </c:ser>
        <c:ser>
          <c:idx val="289"/>
          <c:order val="289"/>
          <c:tx>
            <c:strRef>
              <c:f>'2022_Data'!$A$291</c:f>
            </c:strRef>
          </c:tx>
          <c:dLbls>
            <c:dLblPos val="ctr"/>
            <c:showLegendKey val="0"/>
            <c:showVal val="0"/>
            <c:showCatName val="0"/>
            <c:showSerName val="1"/>
            <c:showPercent val="0"/>
            <c:showBubbleSize val="0"/>
          </c:dLbls>
          <c:xVal>
            <c:strRef>
              <c:f>'2022_Data'!$F$291</c:f>
            </c:strRef>
          </c:xVal>
          <c:yVal>
            <c:numRef>
              <c:f>'2022_Data'!$E$291</c:f>
              <c:numCache/>
            </c:numRef>
          </c:yVal>
          <c:bubbleSize>
            <c:numRef>
              <c:f>'2022_Data'!$G$291</c:f>
            </c:numRef>
          </c:bubbleSize>
        </c:ser>
        <c:ser>
          <c:idx val="290"/>
          <c:order val="290"/>
          <c:tx>
            <c:strRef>
              <c:f>'2022_Data'!$A$292</c:f>
            </c:strRef>
          </c:tx>
          <c:dLbls>
            <c:dLblPos val="ctr"/>
            <c:showLegendKey val="0"/>
            <c:showVal val="0"/>
            <c:showCatName val="0"/>
            <c:showSerName val="1"/>
            <c:showPercent val="0"/>
            <c:showBubbleSize val="0"/>
          </c:dLbls>
          <c:xVal>
            <c:strRef>
              <c:f>'2022_Data'!$F$292</c:f>
            </c:strRef>
          </c:xVal>
          <c:yVal>
            <c:numRef>
              <c:f>'2022_Data'!$E$292</c:f>
              <c:numCache/>
            </c:numRef>
          </c:yVal>
          <c:bubbleSize>
            <c:numRef>
              <c:f>'2022_Data'!$G$292</c:f>
            </c:numRef>
          </c:bubbleSize>
        </c:ser>
        <c:ser>
          <c:idx val="291"/>
          <c:order val="291"/>
          <c:tx>
            <c:strRef>
              <c:f>'2022_Data'!$A$293</c:f>
            </c:strRef>
          </c:tx>
          <c:dLbls>
            <c:dLblPos val="ctr"/>
            <c:showLegendKey val="0"/>
            <c:showVal val="0"/>
            <c:showCatName val="0"/>
            <c:showSerName val="1"/>
            <c:showPercent val="0"/>
            <c:showBubbleSize val="0"/>
          </c:dLbls>
          <c:xVal>
            <c:strRef>
              <c:f>'2022_Data'!$F$293</c:f>
            </c:strRef>
          </c:xVal>
          <c:yVal>
            <c:numRef>
              <c:f>'2022_Data'!$E$293</c:f>
              <c:numCache/>
            </c:numRef>
          </c:yVal>
          <c:bubbleSize>
            <c:numRef>
              <c:f>'2022_Data'!$G$293</c:f>
            </c:numRef>
          </c:bubbleSize>
        </c:ser>
        <c:ser>
          <c:idx val="292"/>
          <c:order val="292"/>
          <c:tx>
            <c:strRef>
              <c:f>'2022_Data'!$A$294</c:f>
            </c:strRef>
          </c:tx>
          <c:dLbls>
            <c:dLblPos val="ctr"/>
            <c:showLegendKey val="0"/>
            <c:showVal val="0"/>
            <c:showCatName val="0"/>
            <c:showSerName val="1"/>
            <c:showPercent val="0"/>
            <c:showBubbleSize val="0"/>
          </c:dLbls>
          <c:xVal>
            <c:strRef>
              <c:f>'2022_Data'!$F$294</c:f>
            </c:strRef>
          </c:xVal>
          <c:yVal>
            <c:numRef>
              <c:f>'2022_Data'!$E$294</c:f>
              <c:numCache/>
            </c:numRef>
          </c:yVal>
          <c:bubbleSize>
            <c:numRef>
              <c:f>'2022_Data'!$G$294</c:f>
            </c:numRef>
          </c:bubbleSize>
        </c:ser>
        <c:ser>
          <c:idx val="293"/>
          <c:order val="293"/>
          <c:tx>
            <c:strRef>
              <c:f>'2022_Data'!$A$295</c:f>
            </c:strRef>
          </c:tx>
          <c:dLbls>
            <c:dLblPos val="ctr"/>
            <c:showLegendKey val="0"/>
            <c:showVal val="0"/>
            <c:showCatName val="0"/>
            <c:showSerName val="1"/>
            <c:showPercent val="0"/>
            <c:showBubbleSize val="0"/>
          </c:dLbls>
          <c:xVal>
            <c:strRef>
              <c:f>'2022_Data'!$F$295</c:f>
            </c:strRef>
          </c:xVal>
          <c:yVal>
            <c:numRef>
              <c:f>'2022_Data'!$E$295</c:f>
              <c:numCache/>
            </c:numRef>
          </c:yVal>
          <c:bubbleSize>
            <c:numRef>
              <c:f>'2022_Data'!$G$295</c:f>
            </c:numRef>
          </c:bubbleSize>
        </c:ser>
        <c:ser>
          <c:idx val="294"/>
          <c:order val="294"/>
          <c:tx>
            <c:strRef>
              <c:f>'2022_Data'!$A$296</c:f>
            </c:strRef>
          </c:tx>
          <c:dLbls>
            <c:dLblPos val="ctr"/>
            <c:showLegendKey val="0"/>
            <c:showVal val="0"/>
            <c:showCatName val="0"/>
            <c:showSerName val="1"/>
            <c:showPercent val="0"/>
            <c:showBubbleSize val="0"/>
          </c:dLbls>
          <c:xVal>
            <c:strRef>
              <c:f>'2022_Data'!$F$296</c:f>
            </c:strRef>
          </c:xVal>
          <c:yVal>
            <c:numRef>
              <c:f>'2022_Data'!$E$296</c:f>
              <c:numCache/>
            </c:numRef>
          </c:yVal>
          <c:bubbleSize>
            <c:numRef>
              <c:f>'2022_Data'!$G$296</c:f>
            </c:numRef>
          </c:bubbleSize>
        </c:ser>
        <c:ser>
          <c:idx val="295"/>
          <c:order val="295"/>
          <c:tx>
            <c:strRef>
              <c:f>'2022_Data'!$A$297</c:f>
            </c:strRef>
          </c:tx>
          <c:dLbls>
            <c:dLblPos val="ctr"/>
            <c:showLegendKey val="0"/>
            <c:showVal val="0"/>
            <c:showCatName val="0"/>
            <c:showSerName val="1"/>
            <c:showPercent val="0"/>
            <c:showBubbleSize val="0"/>
          </c:dLbls>
          <c:xVal>
            <c:strRef>
              <c:f>'2022_Data'!$F$297</c:f>
            </c:strRef>
          </c:xVal>
          <c:yVal>
            <c:numRef>
              <c:f>'2022_Data'!$E$297</c:f>
              <c:numCache/>
            </c:numRef>
          </c:yVal>
          <c:bubbleSize>
            <c:numRef>
              <c:f>'2022_Data'!$G$297</c:f>
            </c:numRef>
          </c:bubbleSize>
        </c:ser>
        <c:ser>
          <c:idx val="296"/>
          <c:order val="296"/>
          <c:tx>
            <c:strRef>
              <c:f>'2022_Data'!$A$298</c:f>
            </c:strRef>
          </c:tx>
          <c:dLbls>
            <c:dLblPos val="ctr"/>
            <c:showLegendKey val="0"/>
            <c:showVal val="0"/>
            <c:showCatName val="0"/>
            <c:showSerName val="1"/>
            <c:showPercent val="0"/>
            <c:showBubbleSize val="0"/>
          </c:dLbls>
          <c:xVal>
            <c:strRef>
              <c:f>'2022_Data'!$F$298</c:f>
            </c:strRef>
          </c:xVal>
          <c:yVal>
            <c:numRef>
              <c:f>'2022_Data'!$E$298</c:f>
              <c:numCache/>
            </c:numRef>
          </c:yVal>
          <c:bubbleSize>
            <c:numRef>
              <c:f>'2022_Data'!$G$298</c:f>
            </c:numRef>
          </c:bubbleSize>
        </c:ser>
        <c:ser>
          <c:idx val="297"/>
          <c:order val="297"/>
          <c:tx>
            <c:strRef>
              <c:f>'2022_Data'!$A$299</c:f>
            </c:strRef>
          </c:tx>
          <c:dLbls>
            <c:dLblPos val="ctr"/>
            <c:showLegendKey val="0"/>
            <c:showVal val="0"/>
            <c:showCatName val="0"/>
            <c:showSerName val="1"/>
            <c:showPercent val="0"/>
            <c:showBubbleSize val="0"/>
          </c:dLbls>
          <c:xVal>
            <c:strRef>
              <c:f>'2022_Data'!$F$299</c:f>
            </c:strRef>
          </c:xVal>
          <c:yVal>
            <c:numRef>
              <c:f>'2022_Data'!$E$299</c:f>
              <c:numCache/>
            </c:numRef>
          </c:yVal>
          <c:bubbleSize>
            <c:numRef>
              <c:f>'2022_Data'!$G$299</c:f>
            </c:numRef>
          </c:bubbleSize>
        </c:ser>
        <c:ser>
          <c:idx val="298"/>
          <c:order val="298"/>
          <c:tx>
            <c:strRef>
              <c:f>'2022_Data'!$A$300</c:f>
            </c:strRef>
          </c:tx>
          <c:dLbls>
            <c:dLblPos val="ctr"/>
            <c:showLegendKey val="0"/>
            <c:showVal val="0"/>
            <c:showCatName val="0"/>
            <c:showSerName val="1"/>
            <c:showPercent val="0"/>
            <c:showBubbleSize val="0"/>
          </c:dLbls>
          <c:xVal>
            <c:strRef>
              <c:f>'2022_Data'!$F$300</c:f>
            </c:strRef>
          </c:xVal>
          <c:yVal>
            <c:numRef>
              <c:f>'2022_Data'!$E$300</c:f>
              <c:numCache/>
            </c:numRef>
          </c:yVal>
          <c:bubbleSize>
            <c:numRef>
              <c:f>'2022_Data'!$G$300</c:f>
            </c:numRef>
          </c:bubbleSize>
        </c:ser>
        <c:ser>
          <c:idx val="299"/>
          <c:order val="299"/>
          <c:tx>
            <c:strRef>
              <c:f>'2022_Data'!$A$301</c:f>
            </c:strRef>
          </c:tx>
          <c:dLbls>
            <c:dLblPos val="ctr"/>
            <c:showLegendKey val="0"/>
            <c:showVal val="0"/>
            <c:showCatName val="0"/>
            <c:showSerName val="1"/>
            <c:showPercent val="0"/>
            <c:showBubbleSize val="0"/>
          </c:dLbls>
          <c:xVal>
            <c:strRef>
              <c:f>'2022_Data'!$F$301</c:f>
            </c:strRef>
          </c:xVal>
          <c:yVal>
            <c:numRef>
              <c:f>'2022_Data'!$E$301</c:f>
              <c:numCache/>
            </c:numRef>
          </c:yVal>
          <c:bubbleSize>
            <c:numRef>
              <c:f>'2022_Data'!$G$301</c:f>
            </c:numRef>
          </c:bubbleSize>
        </c:ser>
        <c:ser>
          <c:idx val="300"/>
          <c:order val="300"/>
          <c:tx>
            <c:strRef>
              <c:f>'2022_Data'!$A$302</c:f>
            </c:strRef>
          </c:tx>
          <c:dLbls>
            <c:dLblPos val="ctr"/>
            <c:showLegendKey val="0"/>
            <c:showVal val="0"/>
            <c:showCatName val="0"/>
            <c:showSerName val="1"/>
            <c:showPercent val="0"/>
            <c:showBubbleSize val="0"/>
          </c:dLbls>
          <c:xVal>
            <c:strRef>
              <c:f>'2022_Data'!$F$302</c:f>
            </c:strRef>
          </c:xVal>
          <c:yVal>
            <c:numRef>
              <c:f>'2022_Data'!$E$302</c:f>
              <c:numCache/>
            </c:numRef>
          </c:yVal>
          <c:bubbleSize>
            <c:numRef>
              <c:f>'2022_Data'!$G$302</c:f>
            </c:numRef>
          </c:bubbleSize>
        </c:ser>
        <c:ser>
          <c:idx val="301"/>
          <c:order val="301"/>
          <c:tx>
            <c:strRef>
              <c:f>'2022_Data'!$A$303</c:f>
            </c:strRef>
          </c:tx>
          <c:dLbls>
            <c:dLblPos val="ctr"/>
            <c:showLegendKey val="0"/>
            <c:showVal val="0"/>
            <c:showCatName val="0"/>
            <c:showSerName val="1"/>
            <c:showPercent val="0"/>
            <c:showBubbleSize val="0"/>
          </c:dLbls>
          <c:xVal>
            <c:strRef>
              <c:f>'2022_Data'!$F$303</c:f>
            </c:strRef>
          </c:xVal>
          <c:yVal>
            <c:numRef>
              <c:f>'2022_Data'!$E$303</c:f>
              <c:numCache/>
            </c:numRef>
          </c:yVal>
          <c:bubbleSize>
            <c:numRef>
              <c:f>'2022_Data'!$G$303</c:f>
            </c:numRef>
          </c:bubbleSize>
        </c:ser>
        <c:ser>
          <c:idx val="302"/>
          <c:order val="302"/>
          <c:tx>
            <c:strRef>
              <c:f>'2022_Data'!$A$304</c:f>
            </c:strRef>
          </c:tx>
          <c:dLbls>
            <c:dLblPos val="ctr"/>
            <c:showLegendKey val="0"/>
            <c:showVal val="0"/>
            <c:showCatName val="0"/>
            <c:showSerName val="1"/>
            <c:showPercent val="0"/>
            <c:showBubbleSize val="0"/>
          </c:dLbls>
          <c:xVal>
            <c:strRef>
              <c:f>'2022_Data'!$F$304</c:f>
            </c:strRef>
          </c:xVal>
          <c:yVal>
            <c:numRef>
              <c:f>'2022_Data'!$E$304</c:f>
              <c:numCache/>
            </c:numRef>
          </c:yVal>
          <c:bubbleSize>
            <c:numRef>
              <c:f>'2022_Data'!$G$304</c:f>
            </c:numRef>
          </c:bubbleSize>
        </c:ser>
        <c:ser>
          <c:idx val="303"/>
          <c:order val="303"/>
          <c:tx>
            <c:strRef>
              <c:f>'2022_Data'!$A$305</c:f>
            </c:strRef>
          </c:tx>
          <c:dLbls>
            <c:dLblPos val="ctr"/>
            <c:showLegendKey val="0"/>
            <c:showVal val="0"/>
            <c:showCatName val="0"/>
            <c:showSerName val="1"/>
            <c:showPercent val="0"/>
            <c:showBubbleSize val="0"/>
          </c:dLbls>
          <c:xVal>
            <c:strRef>
              <c:f>'2022_Data'!$F$305</c:f>
            </c:strRef>
          </c:xVal>
          <c:yVal>
            <c:numRef>
              <c:f>'2022_Data'!$E$305</c:f>
              <c:numCache/>
            </c:numRef>
          </c:yVal>
          <c:bubbleSize>
            <c:numRef>
              <c:f>'2022_Data'!$G$305</c:f>
            </c:numRef>
          </c:bubbleSize>
        </c:ser>
        <c:ser>
          <c:idx val="304"/>
          <c:order val="304"/>
          <c:tx>
            <c:strRef>
              <c:f>'2022_Data'!$A$306</c:f>
            </c:strRef>
          </c:tx>
          <c:dLbls>
            <c:dLblPos val="ctr"/>
            <c:showLegendKey val="0"/>
            <c:showVal val="0"/>
            <c:showCatName val="0"/>
            <c:showSerName val="1"/>
            <c:showPercent val="0"/>
            <c:showBubbleSize val="0"/>
          </c:dLbls>
          <c:xVal>
            <c:strRef>
              <c:f>'2022_Data'!$F$306</c:f>
            </c:strRef>
          </c:xVal>
          <c:yVal>
            <c:numRef>
              <c:f>'2022_Data'!$E$306</c:f>
              <c:numCache/>
            </c:numRef>
          </c:yVal>
          <c:bubbleSize>
            <c:numRef>
              <c:f>'2022_Data'!$G$306</c:f>
            </c:numRef>
          </c:bubbleSize>
        </c:ser>
        <c:ser>
          <c:idx val="305"/>
          <c:order val="305"/>
          <c:tx>
            <c:strRef>
              <c:f>'2022_Data'!$A$307</c:f>
            </c:strRef>
          </c:tx>
          <c:dLbls>
            <c:dLblPos val="ctr"/>
            <c:showLegendKey val="0"/>
            <c:showVal val="0"/>
            <c:showCatName val="0"/>
            <c:showSerName val="1"/>
            <c:showPercent val="0"/>
            <c:showBubbleSize val="0"/>
          </c:dLbls>
          <c:xVal>
            <c:strRef>
              <c:f>'2022_Data'!$F$307</c:f>
            </c:strRef>
          </c:xVal>
          <c:yVal>
            <c:numRef>
              <c:f>'2022_Data'!$E$307</c:f>
              <c:numCache/>
            </c:numRef>
          </c:yVal>
          <c:bubbleSize>
            <c:numRef>
              <c:f>'2022_Data'!$G$307</c:f>
            </c:numRef>
          </c:bubbleSize>
        </c:ser>
        <c:ser>
          <c:idx val="306"/>
          <c:order val="306"/>
          <c:tx>
            <c:strRef>
              <c:f>'2022_Data'!$A$308</c:f>
            </c:strRef>
          </c:tx>
          <c:dLbls>
            <c:dLblPos val="ctr"/>
            <c:showLegendKey val="0"/>
            <c:showVal val="0"/>
            <c:showCatName val="0"/>
            <c:showSerName val="1"/>
            <c:showPercent val="0"/>
            <c:showBubbleSize val="0"/>
          </c:dLbls>
          <c:xVal>
            <c:strRef>
              <c:f>'2022_Data'!$F$308</c:f>
            </c:strRef>
          </c:xVal>
          <c:yVal>
            <c:numRef>
              <c:f>'2022_Data'!$E$308</c:f>
              <c:numCache/>
            </c:numRef>
          </c:yVal>
          <c:bubbleSize>
            <c:numRef>
              <c:f>'2022_Data'!$G$308</c:f>
            </c:numRef>
          </c:bubbleSize>
        </c:ser>
        <c:ser>
          <c:idx val="307"/>
          <c:order val="307"/>
          <c:tx>
            <c:strRef>
              <c:f>'2022_Data'!$A$309</c:f>
            </c:strRef>
          </c:tx>
          <c:dLbls>
            <c:dLblPos val="ctr"/>
            <c:showLegendKey val="0"/>
            <c:showVal val="0"/>
            <c:showCatName val="0"/>
            <c:showSerName val="1"/>
            <c:showPercent val="0"/>
            <c:showBubbleSize val="0"/>
          </c:dLbls>
          <c:xVal>
            <c:strRef>
              <c:f>'2022_Data'!$F$309</c:f>
            </c:strRef>
          </c:xVal>
          <c:yVal>
            <c:numRef>
              <c:f>'2022_Data'!$E$309</c:f>
              <c:numCache/>
            </c:numRef>
          </c:yVal>
          <c:bubbleSize>
            <c:numRef>
              <c:f>'2022_Data'!$G$309</c:f>
            </c:numRef>
          </c:bubbleSize>
        </c:ser>
        <c:ser>
          <c:idx val="308"/>
          <c:order val="308"/>
          <c:tx>
            <c:strRef>
              <c:f>'2022_Data'!$A$310</c:f>
            </c:strRef>
          </c:tx>
          <c:dLbls>
            <c:dLblPos val="ctr"/>
            <c:showLegendKey val="0"/>
            <c:showVal val="0"/>
            <c:showCatName val="0"/>
            <c:showSerName val="1"/>
            <c:showPercent val="0"/>
            <c:showBubbleSize val="0"/>
          </c:dLbls>
          <c:xVal>
            <c:strRef>
              <c:f>'2022_Data'!$F$310</c:f>
            </c:strRef>
          </c:xVal>
          <c:yVal>
            <c:numRef>
              <c:f>'2022_Data'!$E$310</c:f>
              <c:numCache/>
            </c:numRef>
          </c:yVal>
          <c:bubbleSize>
            <c:numRef>
              <c:f>'2022_Data'!$G$310</c:f>
            </c:numRef>
          </c:bubbleSize>
        </c:ser>
        <c:ser>
          <c:idx val="309"/>
          <c:order val="309"/>
          <c:tx>
            <c:strRef>
              <c:f>'2022_Data'!$A$311</c:f>
            </c:strRef>
          </c:tx>
          <c:dLbls>
            <c:dLblPos val="ctr"/>
            <c:showLegendKey val="0"/>
            <c:showVal val="0"/>
            <c:showCatName val="0"/>
            <c:showSerName val="1"/>
            <c:showPercent val="0"/>
            <c:showBubbleSize val="0"/>
          </c:dLbls>
          <c:xVal>
            <c:strRef>
              <c:f>'2022_Data'!$F$311</c:f>
            </c:strRef>
          </c:xVal>
          <c:yVal>
            <c:numRef>
              <c:f>'2022_Data'!$E$311</c:f>
              <c:numCache/>
            </c:numRef>
          </c:yVal>
          <c:bubbleSize>
            <c:numRef>
              <c:f>'2022_Data'!$G$311</c:f>
            </c:numRef>
          </c:bubbleSize>
        </c:ser>
        <c:ser>
          <c:idx val="310"/>
          <c:order val="310"/>
          <c:tx>
            <c:strRef>
              <c:f>'2022_Data'!$A$312</c:f>
            </c:strRef>
          </c:tx>
          <c:dLbls>
            <c:dLblPos val="ctr"/>
            <c:showLegendKey val="0"/>
            <c:showVal val="0"/>
            <c:showCatName val="0"/>
            <c:showSerName val="1"/>
            <c:showPercent val="0"/>
            <c:showBubbleSize val="0"/>
          </c:dLbls>
          <c:xVal>
            <c:strRef>
              <c:f>'2022_Data'!$F$312</c:f>
            </c:strRef>
          </c:xVal>
          <c:yVal>
            <c:numRef>
              <c:f>'2022_Data'!$E$312</c:f>
              <c:numCache/>
            </c:numRef>
          </c:yVal>
          <c:bubbleSize>
            <c:numRef>
              <c:f>'2022_Data'!$G$312</c:f>
            </c:numRef>
          </c:bubbleSize>
        </c:ser>
        <c:ser>
          <c:idx val="311"/>
          <c:order val="311"/>
          <c:tx>
            <c:strRef>
              <c:f>'2022_Data'!$A$313</c:f>
            </c:strRef>
          </c:tx>
          <c:dLbls>
            <c:dLblPos val="ctr"/>
            <c:showLegendKey val="0"/>
            <c:showVal val="0"/>
            <c:showCatName val="0"/>
            <c:showSerName val="1"/>
            <c:showPercent val="0"/>
            <c:showBubbleSize val="0"/>
          </c:dLbls>
          <c:xVal>
            <c:strRef>
              <c:f>'2022_Data'!$F$313</c:f>
            </c:strRef>
          </c:xVal>
          <c:yVal>
            <c:numRef>
              <c:f>'2022_Data'!$E$313</c:f>
              <c:numCache/>
            </c:numRef>
          </c:yVal>
          <c:bubbleSize>
            <c:numRef>
              <c:f>'2022_Data'!$G$313</c:f>
            </c:numRef>
          </c:bubbleSize>
        </c:ser>
        <c:ser>
          <c:idx val="312"/>
          <c:order val="312"/>
          <c:tx>
            <c:strRef>
              <c:f>'2022_Data'!$A$314</c:f>
            </c:strRef>
          </c:tx>
          <c:dLbls>
            <c:dLblPos val="ctr"/>
            <c:showLegendKey val="0"/>
            <c:showVal val="0"/>
            <c:showCatName val="0"/>
            <c:showSerName val="1"/>
            <c:showPercent val="0"/>
            <c:showBubbleSize val="0"/>
          </c:dLbls>
          <c:xVal>
            <c:strRef>
              <c:f>'2022_Data'!$F$314</c:f>
            </c:strRef>
          </c:xVal>
          <c:yVal>
            <c:numRef>
              <c:f>'2022_Data'!$E$314</c:f>
              <c:numCache/>
            </c:numRef>
          </c:yVal>
          <c:bubbleSize>
            <c:numRef>
              <c:f>'2022_Data'!$G$314</c:f>
            </c:numRef>
          </c:bubbleSize>
        </c:ser>
        <c:ser>
          <c:idx val="313"/>
          <c:order val="313"/>
          <c:tx>
            <c:strRef>
              <c:f>'2022_Data'!$A$315</c:f>
            </c:strRef>
          </c:tx>
          <c:dLbls>
            <c:dLblPos val="ctr"/>
            <c:showLegendKey val="0"/>
            <c:showVal val="0"/>
            <c:showCatName val="0"/>
            <c:showSerName val="1"/>
            <c:showPercent val="0"/>
            <c:showBubbleSize val="0"/>
          </c:dLbls>
          <c:xVal>
            <c:strRef>
              <c:f>'2022_Data'!$F$315</c:f>
            </c:strRef>
          </c:xVal>
          <c:yVal>
            <c:numRef>
              <c:f>'2022_Data'!$E$315</c:f>
              <c:numCache/>
            </c:numRef>
          </c:yVal>
          <c:bubbleSize>
            <c:numRef>
              <c:f>'2022_Data'!$G$315</c:f>
            </c:numRef>
          </c:bubbleSize>
        </c:ser>
        <c:ser>
          <c:idx val="314"/>
          <c:order val="314"/>
          <c:tx>
            <c:strRef>
              <c:f>'2022_Data'!$A$316</c:f>
            </c:strRef>
          </c:tx>
          <c:dLbls>
            <c:dLblPos val="ctr"/>
            <c:showLegendKey val="0"/>
            <c:showVal val="0"/>
            <c:showCatName val="0"/>
            <c:showSerName val="1"/>
            <c:showPercent val="0"/>
            <c:showBubbleSize val="0"/>
          </c:dLbls>
          <c:xVal>
            <c:strRef>
              <c:f>'2022_Data'!$F$316</c:f>
            </c:strRef>
          </c:xVal>
          <c:yVal>
            <c:numRef>
              <c:f>'2022_Data'!$E$316</c:f>
              <c:numCache/>
            </c:numRef>
          </c:yVal>
          <c:bubbleSize>
            <c:numRef>
              <c:f>'2022_Data'!$G$316</c:f>
            </c:numRef>
          </c:bubbleSize>
        </c:ser>
        <c:ser>
          <c:idx val="315"/>
          <c:order val="315"/>
          <c:tx>
            <c:strRef>
              <c:f>'2022_Data'!$A$317</c:f>
            </c:strRef>
          </c:tx>
          <c:dLbls>
            <c:dLblPos val="ctr"/>
            <c:showLegendKey val="0"/>
            <c:showVal val="0"/>
            <c:showCatName val="0"/>
            <c:showSerName val="1"/>
            <c:showPercent val="0"/>
            <c:showBubbleSize val="0"/>
          </c:dLbls>
          <c:xVal>
            <c:strRef>
              <c:f>'2022_Data'!$F$317</c:f>
            </c:strRef>
          </c:xVal>
          <c:yVal>
            <c:numRef>
              <c:f>'2022_Data'!$E$317</c:f>
              <c:numCache/>
            </c:numRef>
          </c:yVal>
          <c:bubbleSize>
            <c:numRef>
              <c:f>'2022_Data'!$G$317</c:f>
            </c:numRef>
          </c:bubbleSize>
        </c:ser>
        <c:ser>
          <c:idx val="316"/>
          <c:order val="316"/>
          <c:tx>
            <c:strRef>
              <c:f>'2022_Data'!$A$318</c:f>
            </c:strRef>
          </c:tx>
          <c:dLbls>
            <c:dLblPos val="ctr"/>
            <c:showLegendKey val="0"/>
            <c:showVal val="0"/>
            <c:showCatName val="0"/>
            <c:showSerName val="1"/>
            <c:showPercent val="0"/>
            <c:showBubbleSize val="0"/>
          </c:dLbls>
          <c:xVal>
            <c:strRef>
              <c:f>'2022_Data'!$F$318</c:f>
            </c:strRef>
          </c:xVal>
          <c:yVal>
            <c:numRef>
              <c:f>'2022_Data'!$E$318</c:f>
              <c:numCache/>
            </c:numRef>
          </c:yVal>
          <c:bubbleSize>
            <c:numRef>
              <c:f>'2022_Data'!$G$318</c:f>
            </c:numRef>
          </c:bubbleSize>
        </c:ser>
        <c:ser>
          <c:idx val="317"/>
          <c:order val="317"/>
          <c:tx>
            <c:strRef>
              <c:f>'2022_Data'!$A$319</c:f>
            </c:strRef>
          </c:tx>
          <c:dLbls>
            <c:dLblPos val="ctr"/>
            <c:showLegendKey val="0"/>
            <c:showVal val="0"/>
            <c:showCatName val="0"/>
            <c:showSerName val="1"/>
            <c:showPercent val="0"/>
            <c:showBubbleSize val="0"/>
          </c:dLbls>
          <c:xVal>
            <c:strRef>
              <c:f>'2022_Data'!$F$319</c:f>
            </c:strRef>
          </c:xVal>
          <c:yVal>
            <c:numRef>
              <c:f>'2022_Data'!$E$319</c:f>
              <c:numCache/>
            </c:numRef>
          </c:yVal>
          <c:bubbleSize>
            <c:numRef>
              <c:f>'2022_Data'!$G$319</c:f>
            </c:numRef>
          </c:bubbleSize>
        </c:ser>
        <c:ser>
          <c:idx val="318"/>
          <c:order val="318"/>
          <c:tx>
            <c:strRef>
              <c:f>'2022_Data'!$A$320</c:f>
            </c:strRef>
          </c:tx>
          <c:dLbls>
            <c:dLblPos val="ctr"/>
            <c:showLegendKey val="0"/>
            <c:showVal val="0"/>
            <c:showCatName val="0"/>
            <c:showSerName val="1"/>
            <c:showPercent val="0"/>
            <c:showBubbleSize val="0"/>
          </c:dLbls>
          <c:xVal>
            <c:strRef>
              <c:f>'2022_Data'!$F$320</c:f>
            </c:strRef>
          </c:xVal>
          <c:yVal>
            <c:numRef>
              <c:f>'2022_Data'!$E$320</c:f>
              <c:numCache/>
            </c:numRef>
          </c:yVal>
          <c:bubbleSize>
            <c:numRef>
              <c:f>'2022_Data'!$G$320</c:f>
            </c:numRef>
          </c:bubbleSize>
        </c:ser>
        <c:ser>
          <c:idx val="319"/>
          <c:order val="319"/>
          <c:tx>
            <c:strRef>
              <c:f>'2022_Data'!$A$321</c:f>
            </c:strRef>
          </c:tx>
          <c:dLbls>
            <c:dLblPos val="ctr"/>
            <c:showLegendKey val="0"/>
            <c:showVal val="0"/>
            <c:showCatName val="0"/>
            <c:showSerName val="1"/>
            <c:showPercent val="0"/>
            <c:showBubbleSize val="0"/>
          </c:dLbls>
          <c:xVal>
            <c:strRef>
              <c:f>'2022_Data'!$F$321</c:f>
            </c:strRef>
          </c:xVal>
          <c:yVal>
            <c:numRef>
              <c:f>'2022_Data'!$E$321</c:f>
              <c:numCache/>
            </c:numRef>
          </c:yVal>
          <c:bubbleSize>
            <c:numRef>
              <c:f>'2022_Data'!$G$321</c:f>
            </c:numRef>
          </c:bubbleSize>
        </c:ser>
        <c:ser>
          <c:idx val="320"/>
          <c:order val="320"/>
          <c:tx>
            <c:strRef>
              <c:f>'2022_Data'!$A$322</c:f>
            </c:strRef>
          </c:tx>
          <c:dLbls>
            <c:dLblPos val="ctr"/>
            <c:showLegendKey val="0"/>
            <c:showVal val="0"/>
            <c:showCatName val="0"/>
            <c:showSerName val="1"/>
            <c:showPercent val="0"/>
            <c:showBubbleSize val="0"/>
          </c:dLbls>
          <c:xVal>
            <c:strRef>
              <c:f>'2022_Data'!$F$322</c:f>
            </c:strRef>
          </c:xVal>
          <c:yVal>
            <c:numRef>
              <c:f>'2022_Data'!$E$322</c:f>
              <c:numCache/>
            </c:numRef>
          </c:yVal>
          <c:bubbleSize>
            <c:numRef>
              <c:f>'2022_Data'!$G$322</c:f>
            </c:numRef>
          </c:bubbleSize>
        </c:ser>
        <c:ser>
          <c:idx val="321"/>
          <c:order val="321"/>
          <c:tx>
            <c:strRef>
              <c:f>'2022_Data'!$A$323</c:f>
            </c:strRef>
          </c:tx>
          <c:dLbls>
            <c:dLblPos val="ctr"/>
            <c:showLegendKey val="0"/>
            <c:showVal val="0"/>
            <c:showCatName val="0"/>
            <c:showSerName val="1"/>
            <c:showPercent val="0"/>
            <c:showBubbleSize val="0"/>
          </c:dLbls>
          <c:xVal>
            <c:strRef>
              <c:f>'2022_Data'!$F$323</c:f>
            </c:strRef>
          </c:xVal>
          <c:yVal>
            <c:numRef>
              <c:f>'2022_Data'!$E$323</c:f>
              <c:numCache/>
            </c:numRef>
          </c:yVal>
          <c:bubbleSize>
            <c:numRef>
              <c:f>'2022_Data'!$G$323</c:f>
            </c:numRef>
          </c:bubbleSize>
        </c:ser>
        <c:ser>
          <c:idx val="322"/>
          <c:order val="322"/>
          <c:tx>
            <c:strRef>
              <c:f>'2022_Data'!$A$324</c:f>
            </c:strRef>
          </c:tx>
          <c:dLbls>
            <c:dLblPos val="ctr"/>
            <c:showLegendKey val="0"/>
            <c:showVal val="0"/>
            <c:showCatName val="0"/>
            <c:showSerName val="1"/>
            <c:showPercent val="0"/>
            <c:showBubbleSize val="0"/>
          </c:dLbls>
          <c:xVal>
            <c:strRef>
              <c:f>'2022_Data'!$F$324</c:f>
            </c:strRef>
          </c:xVal>
          <c:yVal>
            <c:numRef>
              <c:f>'2022_Data'!$E$324</c:f>
              <c:numCache/>
            </c:numRef>
          </c:yVal>
          <c:bubbleSize>
            <c:numRef>
              <c:f>'2022_Data'!$G$324</c:f>
            </c:numRef>
          </c:bubbleSize>
        </c:ser>
        <c:ser>
          <c:idx val="323"/>
          <c:order val="323"/>
          <c:tx>
            <c:strRef>
              <c:f>'2022_Data'!$A$325</c:f>
            </c:strRef>
          </c:tx>
          <c:dLbls>
            <c:dLblPos val="ctr"/>
            <c:showLegendKey val="0"/>
            <c:showVal val="0"/>
            <c:showCatName val="0"/>
            <c:showSerName val="1"/>
            <c:showPercent val="0"/>
            <c:showBubbleSize val="0"/>
          </c:dLbls>
          <c:xVal>
            <c:strRef>
              <c:f>'2022_Data'!$F$325</c:f>
            </c:strRef>
          </c:xVal>
          <c:yVal>
            <c:numRef>
              <c:f>'2022_Data'!$E$325</c:f>
              <c:numCache/>
            </c:numRef>
          </c:yVal>
          <c:bubbleSize>
            <c:numRef>
              <c:f>'2022_Data'!$G$325</c:f>
            </c:numRef>
          </c:bubbleSize>
        </c:ser>
        <c:ser>
          <c:idx val="324"/>
          <c:order val="324"/>
          <c:tx>
            <c:strRef>
              <c:f>'2022_Data'!$A$326</c:f>
            </c:strRef>
          </c:tx>
          <c:dLbls>
            <c:dLblPos val="ctr"/>
            <c:showLegendKey val="0"/>
            <c:showVal val="0"/>
            <c:showCatName val="0"/>
            <c:showSerName val="1"/>
            <c:showPercent val="0"/>
            <c:showBubbleSize val="0"/>
          </c:dLbls>
          <c:xVal>
            <c:strRef>
              <c:f>'2022_Data'!$F$326</c:f>
            </c:strRef>
          </c:xVal>
          <c:yVal>
            <c:numRef>
              <c:f>'2022_Data'!$E$326</c:f>
              <c:numCache/>
            </c:numRef>
          </c:yVal>
          <c:bubbleSize>
            <c:numRef>
              <c:f>'2022_Data'!$G$326</c:f>
            </c:numRef>
          </c:bubbleSize>
        </c:ser>
        <c:ser>
          <c:idx val="325"/>
          <c:order val="325"/>
          <c:tx>
            <c:strRef>
              <c:f>'2022_Data'!$A$327</c:f>
            </c:strRef>
          </c:tx>
          <c:dLbls>
            <c:dLblPos val="ctr"/>
            <c:showLegendKey val="0"/>
            <c:showVal val="0"/>
            <c:showCatName val="0"/>
            <c:showSerName val="1"/>
            <c:showPercent val="0"/>
            <c:showBubbleSize val="0"/>
          </c:dLbls>
          <c:xVal>
            <c:strRef>
              <c:f>'2022_Data'!$F$327</c:f>
            </c:strRef>
          </c:xVal>
          <c:yVal>
            <c:numRef>
              <c:f>'2022_Data'!$E$327</c:f>
              <c:numCache/>
            </c:numRef>
          </c:yVal>
          <c:bubbleSize>
            <c:numRef>
              <c:f>'2022_Data'!$G$327</c:f>
            </c:numRef>
          </c:bubbleSize>
        </c:ser>
        <c:ser>
          <c:idx val="326"/>
          <c:order val="326"/>
          <c:tx>
            <c:strRef>
              <c:f>'2022_Data'!$A$328</c:f>
            </c:strRef>
          </c:tx>
          <c:dLbls>
            <c:dLblPos val="ctr"/>
            <c:showLegendKey val="0"/>
            <c:showVal val="0"/>
            <c:showCatName val="0"/>
            <c:showSerName val="1"/>
            <c:showPercent val="0"/>
            <c:showBubbleSize val="0"/>
          </c:dLbls>
          <c:xVal>
            <c:strRef>
              <c:f>'2022_Data'!$F$328</c:f>
            </c:strRef>
          </c:xVal>
          <c:yVal>
            <c:numRef>
              <c:f>'2022_Data'!$E$328</c:f>
              <c:numCache/>
            </c:numRef>
          </c:yVal>
          <c:bubbleSize>
            <c:numRef>
              <c:f>'2022_Data'!$G$328</c:f>
            </c:numRef>
          </c:bubbleSize>
        </c:ser>
        <c:ser>
          <c:idx val="327"/>
          <c:order val="327"/>
          <c:tx>
            <c:strRef>
              <c:f>'2022_Data'!$A$329</c:f>
            </c:strRef>
          </c:tx>
          <c:dLbls>
            <c:dLblPos val="ctr"/>
            <c:showLegendKey val="0"/>
            <c:showVal val="0"/>
            <c:showCatName val="0"/>
            <c:showSerName val="1"/>
            <c:showPercent val="0"/>
            <c:showBubbleSize val="0"/>
          </c:dLbls>
          <c:xVal>
            <c:strRef>
              <c:f>'2022_Data'!$F$329</c:f>
            </c:strRef>
          </c:xVal>
          <c:yVal>
            <c:numRef>
              <c:f>'2022_Data'!$E$329</c:f>
              <c:numCache/>
            </c:numRef>
          </c:yVal>
          <c:bubbleSize>
            <c:numRef>
              <c:f>'2022_Data'!$G$329</c:f>
            </c:numRef>
          </c:bubbleSize>
        </c:ser>
        <c:ser>
          <c:idx val="328"/>
          <c:order val="328"/>
          <c:tx>
            <c:strRef>
              <c:f>'2022_Data'!$A$330</c:f>
            </c:strRef>
          </c:tx>
          <c:dLbls>
            <c:dLblPos val="ctr"/>
            <c:showLegendKey val="0"/>
            <c:showVal val="0"/>
            <c:showCatName val="0"/>
            <c:showSerName val="1"/>
            <c:showPercent val="0"/>
            <c:showBubbleSize val="0"/>
          </c:dLbls>
          <c:xVal>
            <c:strRef>
              <c:f>'2022_Data'!$F$330</c:f>
            </c:strRef>
          </c:xVal>
          <c:yVal>
            <c:numRef>
              <c:f>'2022_Data'!$E$330</c:f>
              <c:numCache/>
            </c:numRef>
          </c:yVal>
          <c:bubbleSize>
            <c:numRef>
              <c:f>'2022_Data'!$G$330</c:f>
            </c:numRef>
          </c:bubbleSize>
        </c:ser>
        <c:ser>
          <c:idx val="329"/>
          <c:order val="329"/>
          <c:tx>
            <c:strRef>
              <c:f>'2022_Data'!$A$331</c:f>
            </c:strRef>
          </c:tx>
          <c:dLbls>
            <c:dLblPos val="ctr"/>
            <c:showLegendKey val="0"/>
            <c:showVal val="0"/>
            <c:showCatName val="0"/>
            <c:showSerName val="1"/>
            <c:showPercent val="0"/>
            <c:showBubbleSize val="0"/>
          </c:dLbls>
          <c:xVal>
            <c:strRef>
              <c:f>'2022_Data'!$F$331</c:f>
            </c:strRef>
          </c:xVal>
          <c:yVal>
            <c:numRef>
              <c:f>'2022_Data'!$E$331</c:f>
              <c:numCache/>
            </c:numRef>
          </c:yVal>
          <c:bubbleSize>
            <c:numRef>
              <c:f>'2022_Data'!$G$331</c:f>
            </c:numRef>
          </c:bubbleSize>
        </c:ser>
        <c:ser>
          <c:idx val="330"/>
          <c:order val="330"/>
          <c:tx>
            <c:strRef>
              <c:f>'2022_Data'!$A$332</c:f>
            </c:strRef>
          </c:tx>
          <c:dLbls>
            <c:dLblPos val="ctr"/>
            <c:showLegendKey val="0"/>
            <c:showVal val="0"/>
            <c:showCatName val="0"/>
            <c:showSerName val="1"/>
            <c:showPercent val="0"/>
            <c:showBubbleSize val="0"/>
          </c:dLbls>
          <c:xVal>
            <c:strRef>
              <c:f>'2022_Data'!$F$332</c:f>
            </c:strRef>
          </c:xVal>
          <c:yVal>
            <c:numRef>
              <c:f>'2022_Data'!$E$332</c:f>
              <c:numCache/>
            </c:numRef>
          </c:yVal>
          <c:bubbleSize>
            <c:numRef>
              <c:f>'2022_Data'!$G$332</c:f>
            </c:numRef>
          </c:bubbleSize>
        </c:ser>
        <c:ser>
          <c:idx val="331"/>
          <c:order val="331"/>
          <c:tx>
            <c:strRef>
              <c:f>'2022_Data'!$A$333</c:f>
            </c:strRef>
          </c:tx>
          <c:dLbls>
            <c:dLblPos val="ctr"/>
            <c:showLegendKey val="0"/>
            <c:showVal val="0"/>
            <c:showCatName val="0"/>
            <c:showSerName val="1"/>
            <c:showPercent val="0"/>
            <c:showBubbleSize val="0"/>
          </c:dLbls>
          <c:xVal>
            <c:strRef>
              <c:f>'2022_Data'!$F$333</c:f>
            </c:strRef>
          </c:xVal>
          <c:yVal>
            <c:numRef>
              <c:f>'2022_Data'!$E$333</c:f>
              <c:numCache/>
            </c:numRef>
          </c:yVal>
          <c:bubbleSize>
            <c:numRef>
              <c:f>'2022_Data'!$G$333</c:f>
            </c:numRef>
          </c:bubbleSize>
        </c:ser>
        <c:ser>
          <c:idx val="332"/>
          <c:order val="332"/>
          <c:tx>
            <c:strRef>
              <c:f>'2022_Data'!$A$334</c:f>
            </c:strRef>
          </c:tx>
          <c:dLbls>
            <c:dLblPos val="ctr"/>
            <c:showLegendKey val="0"/>
            <c:showVal val="0"/>
            <c:showCatName val="0"/>
            <c:showSerName val="1"/>
            <c:showPercent val="0"/>
            <c:showBubbleSize val="0"/>
          </c:dLbls>
          <c:xVal>
            <c:strRef>
              <c:f>'2022_Data'!$F$334</c:f>
            </c:strRef>
          </c:xVal>
          <c:yVal>
            <c:numRef>
              <c:f>'2022_Data'!$E$334</c:f>
              <c:numCache/>
            </c:numRef>
          </c:yVal>
          <c:bubbleSize>
            <c:numRef>
              <c:f>'2022_Data'!$G$334</c:f>
            </c:numRef>
          </c:bubbleSize>
        </c:ser>
        <c:ser>
          <c:idx val="333"/>
          <c:order val="333"/>
          <c:tx>
            <c:strRef>
              <c:f>'2022_Data'!$A$335</c:f>
            </c:strRef>
          </c:tx>
          <c:dLbls>
            <c:dLblPos val="ctr"/>
            <c:showLegendKey val="0"/>
            <c:showVal val="0"/>
            <c:showCatName val="0"/>
            <c:showSerName val="1"/>
            <c:showPercent val="0"/>
            <c:showBubbleSize val="0"/>
          </c:dLbls>
          <c:xVal>
            <c:strRef>
              <c:f>'2022_Data'!$F$335</c:f>
            </c:strRef>
          </c:xVal>
          <c:yVal>
            <c:numRef>
              <c:f>'2022_Data'!$E$335</c:f>
              <c:numCache/>
            </c:numRef>
          </c:yVal>
          <c:bubbleSize>
            <c:numRef>
              <c:f>'2022_Data'!$G$335</c:f>
            </c:numRef>
          </c:bubbleSize>
        </c:ser>
        <c:ser>
          <c:idx val="334"/>
          <c:order val="334"/>
          <c:tx>
            <c:strRef>
              <c:f>'2022_Data'!$A$336</c:f>
            </c:strRef>
          </c:tx>
          <c:dLbls>
            <c:dLblPos val="ctr"/>
            <c:showLegendKey val="0"/>
            <c:showVal val="0"/>
            <c:showCatName val="0"/>
            <c:showSerName val="1"/>
            <c:showPercent val="0"/>
            <c:showBubbleSize val="0"/>
          </c:dLbls>
          <c:xVal>
            <c:strRef>
              <c:f>'2022_Data'!$F$336</c:f>
            </c:strRef>
          </c:xVal>
          <c:yVal>
            <c:numRef>
              <c:f>'2022_Data'!$E$336</c:f>
              <c:numCache/>
            </c:numRef>
          </c:yVal>
          <c:bubbleSize>
            <c:numRef>
              <c:f>'2022_Data'!$G$336</c:f>
            </c:numRef>
          </c:bubbleSize>
        </c:ser>
        <c:ser>
          <c:idx val="335"/>
          <c:order val="335"/>
          <c:tx>
            <c:strRef>
              <c:f>'2022_Data'!$A$337</c:f>
            </c:strRef>
          </c:tx>
          <c:dLbls>
            <c:dLblPos val="ctr"/>
            <c:showLegendKey val="0"/>
            <c:showVal val="0"/>
            <c:showCatName val="0"/>
            <c:showSerName val="1"/>
            <c:showPercent val="0"/>
            <c:showBubbleSize val="0"/>
          </c:dLbls>
          <c:xVal>
            <c:strRef>
              <c:f>'2022_Data'!$F$337</c:f>
            </c:strRef>
          </c:xVal>
          <c:yVal>
            <c:numRef>
              <c:f>'2022_Data'!$E$337</c:f>
              <c:numCache/>
            </c:numRef>
          </c:yVal>
          <c:bubbleSize>
            <c:numRef>
              <c:f>'2022_Data'!$G$337</c:f>
            </c:numRef>
          </c:bubbleSize>
        </c:ser>
        <c:ser>
          <c:idx val="336"/>
          <c:order val="336"/>
          <c:tx>
            <c:strRef>
              <c:f>'2022_Data'!$A$338</c:f>
            </c:strRef>
          </c:tx>
          <c:dLbls>
            <c:dLblPos val="ctr"/>
            <c:showLegendKey val="0"/>
            <c:showVal val="0"/>
            <c:showCatName val="0"/>
            <c:showSerName val="1"/>
            <c:showPercent val="0"/>
            <c:showBubbleSize val="0"/>
          </c:dLbls>
          <c:xVal>
            <c:strRef>
              <c:f>'2022_Data'!$F$338</c:f>
            </c:strRef>
          </c:xVal>
          <c:yVal>
            <c:numRef>
              <c:f>'2022_Data'!$E$338</c:f>
              <c:numCache/>
            </c:numRef>
          </c:yVal>
          <c:bubbleSize>
            <c:numRef>
              <c:f>'2022_Data'!$G$338</c:f>
            </c:numRef>
          </c:bubbleSize>
        </c:ser>
        <c:ser>
          <c:idx val="337"/>
          <c:order val="337"/>
          <c:tx>
            <c:strRef>
              <c:f>'2022_Data'!$A$339</c:f>
            </c:strRef>
          </c:tx>
          <c:dLbls>
            <c:dLblPos val="ctr"/>
            <c:showLegendKey val="0"/>
            <c:showVal val="0"/>
            <c:showCatName val="0"/>
            <c:showSerName val="1"/>
            <c:showPercent val="0"/>
            <c:showBubbleSize val="0"/>
          </c:dLbls>
          <c:xVal>
            <c:strRef>
              <c:f>'2022_Data'!$F$339</c:f>
            </c:strRef>
          </c:xVal>
          <c:yVal>
            <c:numRef>
              <c:f>'2022_Data'!$E$339</c:f>
              <c:numCache/>
            </c:numRef>
          </c:yVal>
          <c:bubbleSize>
            <c:numRef>
              <c:f>'2022_Data'!$G$339</c:f>
            </c:numRef>
          </c:bubbleSize>
        </c:ser>
        <c:ser>
          <c:idx val="338"/>
          <c:order val="338"/>
          <c:tx>
            <c:strRef>
              <c:f>'2022_Data'!$A$340</c:f>
            </c:strRef>
          </c:tx>
          <c:dLbls>
            <c:dLblPos val="ctr"/>
            <c:showLegendKey val="0"/>
            <c:showVal val="0"/>
            <c:showCatName val="0"/>
            <c:showSerName val="1"/>
            <c:showPercent val="0"/>
            <c:showBubbleSize val="0"/>
          </c:dLbls>
          <c:xVal>
            <c:strRef>
              <c:f>'2022_Data'!$F$340</c:f>
            </c:strRef>
          </c:xVal>
          <c:yVal>
            <c:numRef>
              <c:f>'2022_Data'!$E$340</c:f>
              <c:numCache/>
            </c:numRef>
          </c:yVal>
          <c:bubbleSize>
            <c:numRef>
              <c:f>'2022_Data'!$G$340</c:f>
            </c:numRef>
          </c:bubbleSize>
        </c:ser>
        <c:ser>
          <c:idx val="339"/>
          <c:order val="339"/>
          <c:tx>
            <c:strRef>
              <c:f>'2022_Data'!$A$341</c:f>
            </c:strRef>
          </c:tx>
          <c:dLbls>
            <c:dLblPos val="ctr"/>
            <c:showLegendKey val="0"/>
            <c:showVal val="0"/>
            <c:showCatName val="0"/>
            <c:showSerName val="1"/>
            <c:showPercent val="0"/>
            <c:showBubbleSize val="0"/>
          </c:dLbls>
          <c:xVal>
            <c:strRef>
              <c:f>'2022_Data'!$F$341</c:f>
            </c:strRef>
          </c:xVal>
          <c:yVal>
            <c:numRef>
              <c:f>'2022_Data'!$E$341</c:f>
              <c:numCache/>
            </c:numRef>
          </c:yVal>
          <c:bubbleSize>
            <c:numRef>
              <c:f>'2022_Data'!$G$341</c:f>
            </c:numRef>
          </c:bubbleSize>
        </c:ser>
        <c:ser>
          <c:idx val="340"/>
          <c:order val="340"/>
          <c:tx>
            <c:strRef>
              <c:f>'2022_Data'!$A$342</c:f>
            </c:strRef>
          </c:tx>
          <c:dLbls>
            <c:dLblPos val="ctr"/>
            <c:showLegendKey val="0"/>
            <c:showVal val="0"/>
            <c:showCatName val="0"/>
            <c:showSerName val="1"/>
            <c:showPercent val="0"/>
            <c:showBubbleSize val="0"/>
          </c:dLbls>
          <c:xVal>
            <c:strRef>
              <c:f>'2022_Data'!$F$342</c:f>
            </c:strRef>
          </c:xVal>
          <c:yVal>
            <c:numRef>
              <c:f>'2022_Data'!$E$342</c:f>
              <c:numCache/>
            </c:numRef>
          </c:yVal>
          <c:bubbleSize>
            <c:numRef>
              <c:f>'2022_Data'!$G$342</c:f>
            </c:numRef>
          </c:bubbleSize>
        </c:ser>
        <c:ser>
          <c:idx val="341"/>
          <c:order val="341"/>
          <c:tx>
            <c:strRef>
              <c:f>'2022_Data'!$A$343</c:f>
            </c:strRef>
          </c:tx>
          <c:dLbls>
            <c:dLblPos val="ctr"/>
            <c:showLegendKey val="0"/>
            <c:showVal val="0"/>
            <c:showCatName val="0"/>
            <c:showSerName val="1"/>
            <c:showPercent val="0"/>
            <c:showBubbleSize val="0"/>
          </c:dLbls>
          <c:xVal>
            <c:strRef>
              <c:f>'2022_Data'!$F$343</c:f>
            </c:strRef>
          </c:xVal>
          <c:yVal>
            <c:numRef>
              <c:f>'2022_Data'!$E$343</c:f>
              <c:numCache/>
            </c:numRef>
          </c:yVal>
          <c:bubbleSize>
            <c:numRef>
              <c:f>'2022_Data'!$G$343</c:f>
            </c:numRef>
          </c:bubbleSize>
        </c:ser>
        <c:ser>
          <c:idx val="342"/>
          <c:order val="342"/>
          <c:tx>
            <c:strRef>
              <c:f>'2022_Data'!$A$344</c:f>
            </c:strRef>
          </c:tx>
          <c:dLbls>
            <c:dLblPos val="ctr"/>
            <c:showLegendKey val="0"/>
            <c:showVal val="0"/>
            <c:showCatName val="0"/>
            <c:showSerName val="1"/>
            <c:showPercent val="0"/>
            <c:showBubbleSize val="0"/>
          </c:dLbls>
          <c:xVal>
            <c:strRef>
              <c:f>'2022_Data'!$F$344</c:f>
            </c:strRef>
          </c:xVal>
          <c:yVal>
            <c:numRef>
              <c:f>'2022_Data'!$E$344</c:f>
              <c:numCache/>
            </c:numRef>
          </c:yVal>
          <c:bubbleSize>
            <c:numRef>
              <c:f>'2022_Data'!$G$344</c:f>
            </c:numRef>
          </c:bubbleSize>
        </c:ser>
        <c:ser>
          <c:idx val="343"/>
          <c:order val="343"/>
          <c:tx>
            <c:strRef>
              <c:f>'2022_Data'!$A$345</c:f>
            </c:strRef>
          </c:tx>
          <c:dLbls>
            <c:dLblPos val="ctr"/>
            <c:showLegendKey val="0"/>
            <c:showVal val="0"/>
            <c:showCatName val="0"/>
            <c:showSerName val="1"/>
            <c:showPercent val="0"/>
            <c:showBubbleSize val="0"/>
          </c:dLbls>
          <c:xVal>
            <c:strRef>
              <c:f>'2022_Data'!$F$345</c:f>
            </c:strRef>
          </c:xVal>
          <c:yVal>
            <c:numRef>
              <c:f>'2022_Data'!$E$345</c:f>
              <c:numCache/>
            </c:numRef>
          </c:yVal>
          <c:bubbleSize>
            <c:numRef>
              <c:f>'2022_Data'!$G$345</c:f>
            </c:numRef>
          </c:bubbleSize>
        </c:ser>
        <c:ser>
          <c:idx val="344"/>
          <c:order val="344"/>
          <c:tx>
            <c:strRef>
              <c:f>'2022_Data'!$A$346</c:f>
            </c:strRef>
          </c:tx>
          <c:dLbls>
            <c:dLblPos val="ctr"/>
            <c:showLegendKey val="0"/>
            <c:showVal val="0"/>
            <c:showCatName val="0"/>
            <c:showSerName val="1"/>
            <c:showPercent val="0"/>
            <c:showBubbleSize val="0"/>
          </c:dLbls>
          <c:xVal>
            <c:strRef>
              <c:f>'2022_Data'!$F$346</c:f>
            </c:strRef>
          </c:xVal>
          <c:yVal>
            <c:numRef>
              <c:f>'2022_Data'!$E$346</c:f>
              <c:numCache/>
            </c:numRef>
          </c:yVal>
          <c:bubbleSize>
            <c:numRef>
              <c:f>'2022_Data'!$G$346</c:f>
            </c:numRef>
          </c:bubbleSize>
        </c:ser>
        <c:ser>
          <c:idx val="345"/>
          <c:order val="345"/>
          <c:tx>
            <c:strRef>
              <c:f>'2022_Data'!$A$347</c:f>
            </c:strRef>
          </c:tx>
          <c:dLbls>
            <c:dLblPos val="ctr"/>
            <c:showLegendKey val="0"/>
            <c:showVal val="0"/>
            <c:showCatName val="0"/>
            <c:showSerName val="1"/>
            <c:showPercent val="0"/>
            <c:showBubbleSize val="0"/>
          </c:dLbls>
          <c:xVal>
            <c:strRef>
              <c:f>'2022_Data'!$F$347</c:f>
            </c:strRef>
          </c:xVal>
          <c:yVal>
            <c:numRef>
              <c:f>'2022_Data'!$E$347</c:f>
              <c:numCache/>
            </c:numRef>
          </c:yVal>
          <c:bubbleSize>
            <c:numRef>
              <c:f>'2022_Data'!$G$347</c:f>
            </c:numRef>
          </c:bubbleSize>
        </c:ser>
        <c:ser>
          <c:idx val="346"/>
          <c:order val="346"/>
          <c:tx>
            <c:strRef>
              <c:f>'2022_Data'!$A$348</c:f>
            </c:strRef>
          </c:tx>
          <c:dLbls>
            <c:dLblPos val="ctr"/>
            <c:showLegendKey val="0"/>
            <c:showVal val="0"/>
            <c:showCatName val="0"/>
            <c:showSerName val="1"/>
            <c:showPercent val="0"/>
            <c:showBubbleSize val="0"/>
          </c:dLbls>
          <c:xVal>
            <c:strRef>
              <c:f>'2022_Data'!$F$348</c:f>
            </c:strRef>
          </c:xVal>
          <c:yVal>
            <c:numRef>
              <c:f>'2022_Data'!$E$348</c:f>
              <c:numCache/>
            </c:numRef>
          </c:yVal>
          <c:bubbleSize>
            <c:numRef>
              <c:f>'2022_Data'!$G$348</c:f>
            </c:numRef>
          </c:bubbleSize>
        </c:ser>
        <c:ser>
          <c:idx val="347"/>
          <c:order val="347"/>
          <c:tx>
            <c:strRef>
              <c:f>'2022_Data'!$A$349</c:f>
            </c:strRef>
          </c:tx>
          <c:dLbls>
            <c:dLblPos val="ctr"/>
            <c:showLegendKey val="0"/>
            <c:showVal val="0"/>
            <c:showCatName val="0"/>
            <c:showSerName val="1"/>
            <c:showPercent val="0"/>
            <c:showBubbleSize val="0"/>
          </c:dLbls>
          <c:xVal>
            <c:strRef>
              <c:f>'2022_Data'!$F$349</c:f>
            </c:strRef>
          </c:xVal>
          <c:yVal>
            <c:numRef>
              <c:f>'2022_Data'!$E$349</c:f>
              <c:numCache/>
            </c:numRef>
          </c:yVal>
          <c:bubbleSize>
            <c:numRef>
              <c:f>'2022_Data'!$G$349</c:f>
            </c:numRef>
          </c:bubbleSize>
        </c:ser>
        <c:ser>
          <c:idx val="348"/>
          <c:order val="348"/>
          <c:tx>
            <c:strRef>
              <c:f>'2022_Data'!$A$350</c:f>
            </c:strRef>
          </c:tx>
          <c:dLbls>
            <c:dLblPos val="ctr"/>
            <c:showLegendKey val="0"/>
            <c:showVal val="0"/>
            <c:showCatName val="0"/>
            <c:showSerName val="1"/>
            <c:showPercent val="0"/>
            <c:showBubbleSize val="0"/>
          </c:dLbls>
          <c:xVal>
            <c:strRef>
              <c:f>'2022_Data'!$F$350</c:f>
            </c:strRef>
          </c:xVal>
          <c:yVal>
            <c:numRef>
              <c:f>'2022_Data'!$E$350</c:f>
              <c:numCache/>
            </c:numRef>
          </c:yVal>
          <c:bubbleSize>
            <c:numRef>
              <c:f>'2022_Data'!$G$350</c:f>
            </c:numRef>
          </c:bubbleSize>
        </c:ser>
        <c:ser>
          <c:idx val="349"/>
          <c:order val="349"/>
          <c:tx>
            <c:strRef>
              <c:f>'2022_Data'!$A$351</c:f>
            </c:strRef>
          </c:tx>
          <c:dLbls>
            <c:dLblPos val="ctr"/>
            <c:showLegendKey val="0"/>
            <c:showVal val="0"/>
            <c:showCatName val="0"/>
            <c:showSerName val="1"/>
            <c:showPercent val="0"/>
            <c:showBubbleSize val="0"/>
          </c:dLbls>
          <c:xVal>
            <c:strRef>
              <c:f>'2022_Data'!$F$351</c:f>
            </c:strRef>
          </c:xVal>
          <c:yVal>
            <c:numRef>
              <c:f>'2022_Data'!$E$351</c:f>
              <c:numCache/>
            </c:numRef>
          </c:yVal>
          <c:bubbleSize>
            <c:numRef>
              <c:f>'2022_Data'!$G$351</c:f>
            </c:numRef>
          </c:bubbleSize>
        </c:ser>
        <c:ser>
          <c:idx val="350"/>
          <c:order val="350"/>
          <c:tx>
            <c:strRef>
              <c:f>'2022_Data'!$A$352</c:f>
            </c:strRef>
          </c:tx>
          <c:dLbls>
            <c:dLblPos val="ctr"/>
            <c:showLegendKey val="0"/>
            <c:showVal val="0"/>
            <c:showCatName val="0"/>
            <c:showSerName val="1"/>
            <c:showPercent val="0"/>
            <c:showBubbleSize val="0"/>
          </c:dLbls>
          <c:xVal>
            <c:strRef>
              <c:f>'2022_Data'!$F$352</c:f>
            </c:strRef>
          </c:xVal>
          <c:yVal>
            <c:numRef>
              <c:f>'2022_Data'!$E$352</c:f>
              <c:numCache/>
            </c:numRef>
          </c:yVal>
          <c:bubbleSize>
            <c:numRef>
              <c:f>'2022_Data'!$G$352</c:f>
            </c:numRef>
          </c:bubbleSize>
        </c:ser>
        <c:ser>
          <c:idx val="351"/>
          <c:order val="351"/>
          <c:tx>
            <c:strRef>
              <c:f>'2022_Data'!$A$353</c:f>
            </c:strRef>
          </c:tx>
          <c:dLbls>
            <c:dLblPos val="ctr"/>
            <c:showLegendKey val="0"/>
            <c:showVal val="0"/>
            <c:showCatName val="0"/>
            <c:showSerName val="1"/>
            <c:showPercent val="0"/>
            <c:showBubbleSize val="0"/>
          </c:dLbls>
          <c:xVal>
            <c:strRef>
              <c:f>'2022_Data'!$F$353</c:f>
            </c:strRef>
          </c:xVal>
          <c:yVal>
            <c:numRef>
              <c:f>'2022_Data'!$E$353</c:f>
              <c:numCache/>
            </c:numRef>
          </c:yVal>
          <c:bubbleSize>
            <c:numRef>
              <c:f>'2022_Data'!$G$353</c:f>
            </c:numRef>
          </c:bubbleSize>
        </c:ser>
        <c:ser>
          <c:idx val="352"/>
          <c:order val="352"/>
          <c:tx>
            <c:strRef>
              <c:f>'2022_Data'!$A$354</c:f>
            </c:strRef>
          </c:tx>
          <c:dLbls>
            <c:dLblPos val="ctr"/>
            <c:showLegendKey val="0"/>
            <c:showVal val="0"/>
            <c:showCatName val="0"/>
            <c:showSerName val="1"/>
            <c:showPercent val="0"/>
            <c:showBubbleSize val="0"/>
          </c:dLbls>
          <c:xVal>
            <c:strRef>
              <c:f>'2022_Data'!$F$354</c:f>
            </c:strRef>
          </c:xVal>
          <c:yVal>
            <c:numRef>
              <c:f>'2022_Data'!$E$354</c:f>
              <c:numCache/>
            </c:numRef>
          </c:yVal>
          <c:bubbleSize>
            <c:numRef>
              <c:f>'2022_Data'!$G$354</c:f>
            </c:numRef>
          </c:bubbleSize>
        </c:ser>
        <c:ser>
          <c:idx val="353"/>
          <c:order val="353"/>
          <c:tx>
            <c:strRef>
              <c:f>'2022_Data'!$A$355</c:f>
            </c:strRef>
          </c:tx>
          <c:dLbls>
            <c:dLblPos val="ctr"/>
            <c:showLegendKey val="0"/>
            <c:showVal val="0"/>
            <c:showCatName val="0"/>
            <c:showSerName val="1"/>
            <c:showPercent val="0"/>
            <c:showBubbleSize val="0"/>
          </c:dLbls>
          <c:xVal>
            <c:strRef>
              <c:f>'2022_Data'!$F$355</c:f>
            </c:strRef>
          </c:xVal>
          <c:yVal>
            <c:numRef>
              <c:f>'2022_Data'!$E$355</c:f>
              <c:numCache/>
            </c:numRef>
          </c:yVal>
          <c:bubbleSize>
            <c:numRef>
              <c:f>'2022_Data'!$G$355</c:f>
            </c:numRef>
          </c:bubbleSize>
        </c:ser>
        <c:ser>
          <c:idx val="354"/>
          <c:order val="354"/>
          <c:tx>
            <c:strRef>
              <c:f>'2022_Data'!$A$356</c:f>
            </c:strRef>
          </c:tx>
          <c:dLbls>
            <c:dLblPos val="ctr"/>
            <c:showLegendKey val="0"/>
            <c:showVal val="0"/>
            <c:showCatName val="0"/>
            <c:showSerName val="1"/>
            <c:showPercent val="0"/>
            <c:showBubbleSize val="0"/>
          </c:dLbls>
          <c:xVal>
            <c:strRef>
              <c:f>'2022_Data'!$F$356</c:f>
            </c:strRef>
          </c:xVal>
          <c:yVal>
            <c:numRef>
              <c:f>'2022_Data'!$E$356</c:f>
              <c:numCache/>
            </c:numRef>
          </c:yVal>
          <c:bubbleSize>
            <c:numRef>
              <c:f>'2022_Data'!$G$356</c:f>
            </c:numRef>
          </c:bubbleSize>
        </c:ser>
        <c:ser>
          <c:idx val="355"/>
          <c:order val="355"/>
          <c:tx>
            <c:strRef>
              <c:f>'2022_Data'!$A$357</c:f>
            </c:strRef>
          </c:tx>
          <c:dLbls>
            <c:dLblPos val="ctr"/>
            <c:showLegendKey val="0"/>
            <c:showVal val="0"/>
            <c:showCatName val="0"/>
            <c:showSerName val="1"/>
            <c:showPercent val="0"/>
            <c:showBubbleSize val="0"/>
          </c:dLbls>
          <c:xVal>
            <c:strRef>
              <c:f>'2022_Data'!$F$357</c:f>
            </c:strRef>
          </c:xVal>
          <c:yVal>
            <c:numRef>
              <c:f>'2022_Data'!$E$357</c:f>
              <c:numCache/>
            </c:numRef>
          </c:yVal>
          <c:bubbleSize>
            <c:numRef>
              <c:f>'2022_Data'!$G$357</c:f>
            </c:numRef>
          </c:bubbleSize>
        </c:ser>
        <c:ser>
          <c:idx val="356"/>
          <c:order val="356"/>
          <c:tx>
            <c:strRef>
              <c:f>'2022_Data'!$A$358</c:f>
            </c:strRef>
          </c:tx>
          <c:dLbls>
            <c:dLblPos val="ctr"/>
            <c:showLegendKey val="0"/>
            <c:showVal val="0"/>
            <c:showCatName val="0"/>
            <c:showSerName val="1"/>
            <c:showPercent val="0"/>
            <c:showBubbleSize val="0"/>
          </c:dLbls>
          <c:xVal>
            <c:strRef>
              <c:f>'2022_Data'!$F$358</c:f>
            </c:strRef>
          </c:xVal>
          <c:yVal>
            <c:numRef>
              <c:f>'2022_Data'!$E$358</c:f>
              <c:numCache/>
            </c:numRef>
          </c:yVal>
          <c:bubbleSize>
            <c:numRef>
              <c:f>'2022_Data'!$G$358</c:f>
            </c:numRef>
          </c:bubbleSize>
        </c:ser>
        <c:ser>
          <c:idx val="357"/>
          <c:order val="357"/>
          <c:tx>
            <c:strRef>
              <c:f>'2022_Data'!$A$359</c:f>
            </c:strRef>
          </c:tx>
          <c:dLbls>
            <c:dLblPos val="ctr"/>
            <c:showLegendKey val="0"/>
            <c:showVal val="0"/>
            <c:showCatName val="0"/>
            <c:showSerName val="1"/>
            <c:showPercent val="0"/>
            <c:showBubbleSize val="0"/>
          </c:dLbls>
          <c:xVal>
            <c:strRef>
              <c:f>'2022_Data'!$F$359</c:f>
            </c:strRef>
          </c:xVal>
          <c:yVal>
            <c:numRef>
              <c:f>'2022_Data'!$E$359</c:f>
              <c:numCache/>
            </c:numRef>
          </c:yVal>
          <c:bubbleSize>
            <c:numRef>
              <c:f>'2022_Data'!$G$359</c:f>
            </c:numRef>
          </c:bubbleSize>
        </c:ser>
        <c:ser>
          <c:idx val="358"/>
          <c:order val="358"/>
          <c:tx>
            <c:strRef>
              <c:f>'2022_Data'!$A$360</c:f>
            </c:strRef>
          </c:tx>
          <c:dLbls>
            <c:dLblPos val="ctr"/>
            <c:showLegendKey val="0"/>
            <c:showVal val="0"/>
            <c:showCatName val="0"/>
            <c:showSerName val="1"/>
            <c:showPercent val="0"/>
            <c:showBubbleSize val="0"/>
          </c:dLbls>
          <c:xVal>
            <c:strRef>
              <c:f>'2022_Data'!$F$360</c:f>
            </c:strRef>
          </c:xVal>
          <c:yVal>
            <c:numRef>
              <c:f>'2022_Data'!$E$360</c:f>
              <c:numCache/>
            </c:numRef>
          </c:yVal>
          <c:bubbleSize>
            <c:numRef>
              <c:f>'2022_Data'!$G$360</c:f>
            </c:numRef>
          </c:bubbleSize>
        </c:ser>
        <c:ser>
          <c:idx val="359"/>
          <c:order val="359"/>
          <c:tx>
            <c:strRef>
              <c:f>'2022_Data'!$A$361</c:f>
            </c:strRef>
          </c:tx>
          <c:dLbls>
            <c:dLblPos val="ctr"/>
            <c:showLegendKey val="0"/>
            <c:showVal val="0"/>
            <c:showCatName val="0"/>
            <c:showSerName val="1"/>
            <c:showPercent val="0"/>
            <c:showBubbleSize val="0"/>
          </c:dLbls>
          <c:xVal>
            <c:strRef>
              <c:f>'2022_Data'!$F$361</c:f>
            </c:strRef>
          </c:xVal>
          <c:yVal>
            <c:numRef>
              <c:f>'2022_Data'!$E$361</c:f>
              <c:numCache/>
            </c:numRef>
          </c:yVal>
          <c:bubbleSize>
            <c:numRef>
              <c:f>'2022_Data'!$G$361</c:f>
            </c:numRef>
          </c:bubbleSize>
        </c:ser>
        <c:ser>
          <c:idx val="360"/>
          <c:order val="360"/>
          <c:tx>
            <c:strRef>
              <c:f>'2022_Data'!$A$362</c:f>
            </c:strRef>
          </c:tx>
          <c:dLbls>
            <c:dLblPos val="ctr"/>
            <c:showLegendKey val="0"/>
            <c:showVal val="0"/>
            <c:showCatName val="0"/>
            <c:showSerName val="1"/>
            <c:showPercent val="0"/>
            <c:showBubbleSize val="0"/>
          </c:dLbls>
          <c:xVal>
            <c:strRef>
              <c:f>'2022_Data'!$F$362</c:f>
            </c:strRef>
          </c:xVal>
          <c:yVal>
            <c:numRef>
              <c:f>'2022_Data'!$E$362</c:f>
              <c:numCache/>
            </c:numRef>
          </c:yVal>
          <c:bubbleSize>
            <c:numRef>
              <c:f>'2022_Data'!$G$362</c:f>
            </c:numRef>
          </c:bubbleSize>
        </c:ser>
        <c:ser>
          <c:idx val="361"/>
          <c:order val="361"/>
          <c:tx>
            <c:strRef>
              <c:f>'2022_Data'!$A$363</c:f>
            </c:strRef>
          </c:tx>
          <c:dLbls>
            <c:dLblPos val="ctr"/>
            <c:showLegendKey val="0"/>
            <c:showVal val="0"/>
            <c:showCatName val="0"/>
            <c:showSerName val="1"/>
            <c:showPercent val="0"/>
            <c:showBubbleSize val="0"/>
          </c:dLbls>
          <c:xVal>
            <c:strRef>
              <c:f>'2022_Data'!$F$363</c:f>
            </c:strRef>
          </c:xVal>
          <c:yVal>
            <c:numRef>
              <c:f>'2022_Data'!$E$363</c:f>
              <c:numCache/>
            </c:numRef>
          </c:yVal>
          <c:bubbleSize>
            <c:numRef>
              <c:f>'2022_Data'!$G$363</c:f>
            </c:numRef>
          </c:bubbleSize>
        </c:ser>
        <c:ser>
          <c:idx val="362"/>
          <c:order val="362"/>
          <c:tx>
            <c:strRef>
              <c:f>'2022_Data'!$A$364</c:f>
            </c:strRef>
          </c:tx>
          <c:dLbls>
            <c:dLblPos val="ctr"/>
            <c:showLegendKey val="0"/>
            <c:showVal val="0"/>
            <c:showCatName val="0"/>
            <c:showSerName val="1"/>
            <c:showPercent val="0"/>
            <c:showBubbleSize val="0"/>
          </c:dLbls>
          <c:xVal>
            <c:strRef>
              <c:f>'2022_Data'!$F$364</c:f>
            </c:strRef>
          </c:xVal>
          <c:yVal>
            <c:numRef>
              <c:f>'2022_Data'!$E$364</c:f>
              <c:numCache/>
            </c:numRef>
          </c:yVal>
          <c:bubbleSize>
            <c:numRef>
              <c:f>'2022_Data'!$G$364</c:f>
            </c:numRef>
          </c:bubbleSize>
        </c:ser>
        <c:ser>
          <c:idx val="363"/>
          <c:order val="363"/>
          <c:tx>
            <c:strRef>
              <c:f>'2022_Data'!$A$365</c:f>
            </c:strRef>
          </c:tx>
          <c:dLbls>
            <c:dLblPos val="ctr"/>
            <c:showLegendKey val="0"/>
            <c:showVal val="0"/>
            <c:showCatName val="0"/>
            <c:showSerName val="1"/>
            <c:showPercent val="0"/>
            <c:showBubbleSize val="0"/>
          </c:dLbls>
          <c:xVal>
            <c:strRef>
              <c:f>'2022_Data'!$F$365</c:f>
            </c:strRef>
          </c:xVal>
          <c:yVal>
            <c:numRef>
              <c:f>'2022_Data'!$E$365</c:f>
              <c:numCache/>
            </c:numRef>
          </c:yVal>
          <c:bubbleSize>
            <c:numRef>
              <c:f>'2022_Data'!$G$365</c:f>
            </c:numRef>
          </c:bubbleSize>
        </c:ser>
        <c:ser>
          <c:idx val="364"/>
          <c:order val="364"/>
          <c:tx>
            <c:strRef>
              <c:f>'2022_Data'!$A$366</c:f>
            </c:strRef>
          </c:tx>
          <c:dLbls>
            <c:dLblPos val="ctr"/>
            <c:showLegendKey val="0"/>
            <c:showVal val="0"/>
            <c:showCatName val="0"/>
            <c:showSerName val="1"/>
            <c:showPercent val="0"/>
            <c:showBubbleSize val="0"/>
          </c:dLbls>
          <c:xVal>
            <c:strRef>
              <c:f>'2022_Data'!$F$366</c:f>
            </c:strRef>
          </c:xVal>
          <c:yVal>
            <c:numRef>
              <c:f>'2022_Data'!$E$366</c:f>
              <c:numCache/>
            </c:numRef>
          </c:yVal>
          <c:bubbleSize>
            <c:numRef>
              <c:f>'2022_Data'!$G$366</c:f>
            </c:numRef>
          </c:bubbleSize>
        </c:ser>
        <c:ser>
          <c:idx val="365"/>
          <c:order val="365"/>
          <c:tx>
            <c:strRef>
              <c:f>'2022_Data'!$A$367</c:f>
            </c:strRef>
          </c:tx>
          <c:dLbls>
            <c:dLblPos val="ctr"/>
            <c:showLegendKey val="0"/>
            <c:showVal val="0"/>
            <c:showCatName val="0"/>
            <c:showSerName val="1"/>
            <c:showPercent val="0"/>
            <c:showBubbleSize val="0"/>
          </c:dLbls>
          <c:xVal>
            <c:strRef>
              <c:f>'2022_Data'!$F$367</c:f>
            </c:strRef>
          </c:xVal>
          <c:yVal>
            <c:numRef>
              <c:f>'2022_Data'!$E$367</c:f>
              <c:numCache/>
            </c:numRef>
          </c:yVal>
          <c:bubbleSize>
            <c:numRef>
              <c:f>'2022_Data'!$G$367</c:f>
            </c:numRef>
          </c:bubbleSize>
        </c:ser>
        <c:ser>
          <c:idx val="366"/>
          <c:order val="366"/>
          <c:tx>
            <c:strRef>
              <c:f>'2022_Data'!$A$368</c:f>
            </c:strRef>
          </c:tx>
          <c:dLbls>
            <c:dLblPos val="ctr"/>
            <c:showLegendKey val="0"/>
            <c:showVal val="0"/>
            <c:showCatName val="0"/>
            <c:showSerName val="1"/>
            <c:showPercent val="0"/>
            <c:showBubbleSize val="0"/>
          </c:dLbls>
          <c:xVal>
            <c:strRef>
              <c:f>'2022_Data'!$F$368</c:f>
            </c:strRef>
          </c:xVal>
          <c:yVal>
            <c:numRef>
              <c:f>'2022_Data'!$E$368</c:f>
              <c:numCache/>
            </c:numRef>
          </c:yVal>
          <c:bubbleSize>
            <c:numRef>
              <c:f>'2022_Data'!$G$368</c:f>
            </c:numRef>
          </c:bubbleSize>
        </c:ser>
        <c:ser>
          <c:idx val="367"/>
          <c:order val="367"/>
          <c:tx>
            <c:strRef>
              <c:f>'2022_Data'!$A$369</c:f>
            </c:strRef>
          </c:tx>
          <c:dLbls>
            <c:dLblPos val="ctr"/>
            <c:showLegendKey val="0"/>
            <c:showVal val="0"/>
            <c:showCatName val="0"/>
            <c:showSerName val="1"/>
            <c:showPercent val="0"/>
            <c:showBubbleSize val="0"/>
          </c:dLbls>
          <c:xVal>
            <c:strRef>
              <c:f>'2022_Data'!$F$369</c:f>
            </c:strRef>
          </c:xVal>
          <c:yVal>
            <c:numRef>
              <c:f>'2022_Data'!$E$369</c:f>
              <c:numCache/>
            </c:numRef>
          </c:yVal>
          <c:bubbleSize>
            <c:numRef>
              <c:f>'2022_Data'!$G$369</c:f>
            </c:numRef>
          </c:bubbleSize>
        </c:ser>
        <c:ser>
          <c:idx val="368"/>
          <c:order val="368"/>
          <c:tx>
            <c:strRef>
              <c:f>'2022_Data'!$A$370</c:f>
            </c:strRef>
          </c:tx>
          <c:dLbls>
            <c:dLblPos val="ctr"/>
            <c:showLegendKey val="0"/>
            <c:showVal val="0"/>
            <c:showCatName val="0"/>
            <c:showSerName val="1"/>
            <c:showPercent val="0"/>
            <c:showBubbleSize val="0"/>
          </c:dLbls>
          <c:xVal>
            <c:strRef>
              <c:f>'2022_Data'!$F$370</c:f>
            </c:strRef>
          </c:xVal>
          <c:yVal>
            <c:numRef>
              <c:f>'2022_Data'!$E$370</c:f>
              <c:numCache/>
            </c:numRef>
          </c:yVal>
          <c:bubbleSize>
            <c:numRef>
              <c:f>'2022_Data'!$G$370</c:f>
            </c:numRef>
          </c:bubbleSize>
        </c:ser>
        <c:ser>
          <c:idx val="369"/>
          <c:order val="369"/>
          <c:tx>
            <c:strRef>
              <c:f>'2022_Data'!$A$371</c:f>
            </c:strRef>
          </c:tx>
          <c:dLbls>
            <c:dLblPos val="ctr"/>
            <c:showLegendKey val="0"/>
            <c:showVal val="0"/>
            <c:showCatName val="0"/>
            <c:showSerName val="1"/>
            <c:showPercent val="0"/>
            <c:showBubbleSize val="0"/>
          </c:dLbls>
          <c:xVal>
            <c:strRef>
              <c:f>'2022_Data'!$F$371</c:f>
            </c:strRef>
          </c:xVal>
          <c:yVal>
            <c:numRef>
              <c:f>'2022_Data'!$E$371</c:f>
              <c:numCache/>
            </c:numRef>
          </c:yVal>
          <c:bubbleSize>
            <c:numRef>
              <c:f>'2022_Data'!$G$371</c:f>
            </c:numRef>
          </c:bubbleSize>
        </c:ser>
        <c:ser>
          <c:idx val="370"/>
          <c:order val="370"/>
          <c:tx>
            <c:strRef>
              <c:f>'2022_Data'!$A$372</c:f>
            </c:strRef>
          </c:tx>
          <c:dLbls>
            <c:dLblPos val="ctr"/>
            <c:showLegendKey val="0"/>
            <c:showVal val="0"/>
            <c:showCatName val="0"/>
            <c:showSerName val="1"/>
            <c:showPercent val="0"/>
            <c:showBubbleSize val="0"/>
          </c:dLbls>
          <c:xVal>
            <c:strRef>
              <c:f>'2022_Data'!$F$372</c:f>
            </c:strRef>
          </c:xVal>
          <c:yVal>
            <c:numRef>
              <c:f>'2022_Data'!$E$372</c:f>
              <c:numCache/>
            </c:numRef>
          </c:yVal>
          <c:bubbleSize>
            <c:numRef>
              <c:f>'2022_Data'!$G$372</c:f>
            </c:numRef>
          </c:bubbleSize>
        </c:ser>
        <c:ser>
          <c:idx val="371"/>
          <c:order val="371"/>
          <c:tx>
            <c:strRef>
              <c:f>'2022_Data'!$A$373</c:f>
            </c:strRef>
          </c:tx>
          <c:dLbls>
            <c:dLblPos val="ctr"/>
            <c:showLegendKey val="0"/>
            <c:showVal val="0"/>
            <c:showCatName val="0"/>
            <c:showSerName val="1"/>
            <c:showPercent val="0"/>
            <c:showBubbleSize val="0"/>
          </c:dLbls>
          <c:xVal>
            <c:strRef>
              <c:f>'2022_Data'!$F$373</c:f>
            </c:strRef>
          </c:xVal>
          <c:yVal>
            <c:numRef>
              <c:f>'2022_Data'!$E$373</c:f>
              <c:numCache/>
            </c:numRef>
          </c:yVal>
          <c:bubbleSize>
            <c:numRef>
              <c:f>'2022_Data'!$G$373</c:f>
            </c:numRef>
          </c:bubbleSize>
        </c:ser>
        <c:ser>
          <c:idx val="372"/>
          <c:order val="372"/>
          <c:tx>
            <c:strRef>
              <c:f>'2022_Data'!$A$374</c:f>
            </c:strRef>
          </c:tx>
          <c:dLbls>
            <c:dLblPos val="ctr"/>
            <c:showLegendKey val="0"/>
            <c:showVal val="0"/>
            <c:showCatName val="0"/>
            <c:showSerName val="1"/>
            <c:showPercent val="0"/>
            <c:showBubbleSize val="0"/>
          </c:dLbls>
          <c:xVal>
            <c:strRef>
              <c:f>'2022_Data'!$F$374</c:f>
            </c:strRef>
          </c:xVal>
          <c:yVal>
            <c:numRef>
              <c:f>'2022_Data'!$E$374</c:f>
              <c:numCache/>
            </c:numRef>
          </c:yVal>
          <c:bubbleSize>
            <c:numRef>
              <c:f>'2022_Data'!$G$374</c:f>
            </c:numRef>
          </c:bubbleSize>
        </c:ser>
        <c:ser>
          <c:idx val="373"/>
          <c:order val="373"/>
          <c:tx>
            <c:strRef>
              <c:f>'2022_Data'!$A$375</c:f>
            </c:strRef>
          </c:tx>
          <c:dLbls>
            <c:dLblPos val="ctr"/>
            <c:showLegendKey val="0"/>
            <c:showVal val="0"/>
            <c:showCatName val="0"/>
            <c:showSerName val="1"/>
            <c:showPercent val="0"/>
            <c:showBubbleSize val="0"/>
          </c:dLbls>
          <c:xVal>
            <c:strRef>
              <c:f>'2022_Data'!$F$375</c:f>
            </c:strRef>
          </c:xVal>
          <c:yVal>
            <c:numRef>
              <c:f>'2022_Data'!$E$375</c:f>
              <c:numCache/>
            </c:numRef>
          </c:yVal>
          <c:bubbleSize>
            <c:numRef>
              <c:f>'2022_Data'!$G$375</c:f>
            </c:numRef>
          </c:bubbleSize>
        </c:ser>
        <c:ser>
          <c:idx val="374"/>
          <c:order val="374"/>
          <c:tx>
            <c:strRef>
              <c:f>'2022_Data'!$A$376</c:f>
            </c:strRef>
          </c:tx>
          <c:dLbls>
            <c:dLblPos val="ctr"/>
            <c:showLegendKey val="0"/>
            <c:showVal val="0"/>
            <c:showCatName val="0"/>
            <c:showSerName val="1"/>
            <c:showPercent val="0"/>
            <c:showBubbleSize val="0"/>
          </c:dLbls>
          <c:xVal>
            <c:strRef>
              <c:f>'2022_Data'!$F$376</c:f>
            </c:strRef>
          </c:xVal>
          <c:yVal>
            <c:numRef>
              <c:f>'2022_Data'!$E$376</c:f>
              <c:numCache/>
            </c:numRef>
          </c:yVal>
          <c:bubbleSize>
            <c:numRef>
              <c:f>'2022_Data'!$G$376</c:f>
            </c:numRef>
          </c:bubbleSize>
        </c:ser>
        <c:ser>
          <c:idx val="375"/>
          <c:order val="375"/>
          <c:tx>
            <c:strRef>
              <c:f>'2022_Data'!$A$377</c:f>
            </c:strRef>
          </c:tx>
          <c:dLbls>
            <c:dLblPos val="ctr"/>
            <c:showLegendKey val="0"/>
            <c:showVal val="0"/>
            <c:showCatName val="0"/>
            <c:showSerName val="1"/>
            <c:showPercent val="0"/>
            <c:showBubbleSize val="0"/>
          </c:dLbls>
          <c:xVal>
            <c:strRef>
              <c:f>'2022_Data'!$F$377</c:f>
            </c:strRef>
          </c:xVal>
          <c:yVal>
            <c:numRef>
              <c:f>'2022_Data'!$E$377</c:f>
              <c:numCache/>
            </c:numRef>
          </c:yVal>
          <c:bubbleSize>
            <c:numRef>
              <c:f>'2022_Data'!$G$377</c:f>
            </c:numRef>
          </c:bubbleSize>
        </c:ser>
        <c:ser>
          <c:idx val="376"/>
          <c:order val="376"/>
          <c:tx>
            <c:strRef>
              <c:f>'2022_Data'!$A$378</c:f>
            </c:strRef>
          </c:tx>
          <c:dLbls>
            <c:dLblPos val="ctr"/>
            <c:showLegendKey val="0"/>
            <c:showVal val="0"/>
            <c:showCatName val="0"/>
            <c:showSerName val="1"/>
            <c:showPercent val="0"/>
            <c:showBubbleSize val="0"/>
          </c:dLbls>
          <c:xVal>
            <c:strRef>
              <c:f>'2022_Data'!$F$378</c:f>
            </c:strRef>
          </c:xVal>
          <c:yVal>
            <c:numRef>
              <c:f>'2022_Data'!$E$378</c:f>
              <c:numCache/>
            </c:numRef>
          </c:yVal>
          <c:bubbleSize>
            <c:numRef>
              <c:f>'2022_Data'!$G$378</c:f>
            </c:numRef>
          </c:bubbleSize>
        </c:ser>
        <c:ser>
          <c:idx val="377"/>
          <c:order val="377"/>
          <c:tx>
            <c:strRef>
              <c:f>'2022_Data'!$A$379</c:f>
            </c:strRef>
          </c:tx>
          <c:dLbls>
            <c:dLblPos val="ctr"/>
            <c:showLegendKey val="0"/>
            <c:showVal val="0"/>
            <c:showCatName val="0"/>
            <c:showSerName val="1"/>
            <c:showPercent val="0"/>
            <c:showBubbleSize val="0"/>
          </c:dLbls>
          <c:xVal>
            <c:strRef>
              <c:f>'2022_Data'!$F$379</c:f>
            </c:strRef>
          </c:xVal>
          <c:yVal>
            <c:numRef>
              <c:f>'2022_Data'!$E$379</c:f>
              <c:numCache/>
            </c:numRef>
          </c:yVal>
          <c:bubbleSize>
            <c:numRef>
              <c:f>'2022_Data'!$G$379</c:f>
            </c:numRef>
          </c:bubbleSize>
        </c:ser>
        <c:ser>
          <c:idx val="378"/>
          <c:order val="378"/>
          <c:tx>
            <c:strRef>
              <c:f>'2022_Data'!$A$380</c:f>
            </c:strRef>
          </c:tx>
          <c:dLbls>
            <c:dLblPos val="ctr"/>
            <c:showLegendKey val="0"/>
            <c:showVal val="0"/>
            <c:showCatName val="0"/>
            <c:showSerName val="1"/>
            <c:showPercent val="0"/>
            <c:showBubbleSize val="0"/>
          </c:dLbls>
          <c:xVal>
            <c:strRef>
              <c:f>'2022_Data'!$F$380</c:f>
            </c:strRef>
          </c:xVal>
          <c:yVal>
            <c:numRef>
              <c:f>'2022_Data'!$E$380</c:f>
              <c:numCache/>
            </c:numRef>
          </c:yVal>
          <c:bubbleSize>
            <c:numRef>
              <c:f>'2022_Data'!$G$380</c:f>
            </c:numRef>
          </c:bubbleSize>
        </c:ser>
        <c:ser>
          <c:idx val="379"/>
          <c:order val="379"/>
          <c:tx>
            <c:strRef>
              <c:f>'2022_Data'!$A$381</c:f>
            </c:strRef>
          </c:tx>
          <c:dLbls>
            <c:dLblPos val="ctr"/>
            <c:showLegendKey val="0"/>
            <c:showVal val="0"/>
            <c:showCatName val="0"/>
            <c:showSerName val="1"/>
            <c:showPercent val="0"/>
            <c:showBubbleSize val="0"/>
          </c:dLbls>
          <c:xVal>
            <c:strRef>
              <c:f>'2022_Data'!$F$381</c:f>
            </c:strRef>
          </c:xVal>
          <c:yVal>
            <c:numRef>
              <c:f>'2022_Data'!$E$381</c:f>
              <c:numCache/>
            </c:numRef>
          </c:yVal>
          <c:bubbleSize>
            <c:numRef>
              <c:f>'2022_Data'!$G$381</c:f>
            </c:numRef>
          </c:bubbleSize>
        </c:ser>
        <c:ser>
          <c:idx val="380"/>
          <c:order val="380"/>
          <c:tx>
            <c:strRef>
              <c:f>'2022_Data'!$A$382</c:f>
            </c:strRef>
          </c:tx>
          <c:dLbls>
            <c:dLblPos val="ctr"/>
            <c:showLegendKey val="0"/>
            <c:showVal val="0"/>
            <c:showCatName val="0"/>
            <c:showSerName val="1"/>
            <c:showPercent val="0"/>
            <c:showBubbleSize val="0"/>
          </c:dLbls>
          <c:xVal>
            <c:strRef>
              <c:f>'2022_Data'!$F$382</c:f>
            </c:strRef>
          </c:xVal>
          <c:yVal>
            <c:numRef>
              <c:f>'2022_Data'!$E$382</c:f>
              <c:numCache/>
            </c:numRef>
          </c:yVal>
          <c:bubbleSize>
            <c:numRef>
              <c:f>'2022_Data'!$G$382</c:f>
            </c:numRef>
          </c:bubbleSize>
        </c:ser>
        <c:ser>
          <c:idx val="381"/>
          <c:order val="381"/>
          <c:tx>
            <c:strRef>
              <c:f>'2022_Data'!$A$383</c:f>
            </c:strRef>
          </c:tx>
          <c:dLbls>
            <c:dLblPos val="ctr"/>
            <c:showLegendKey val="0"/>
            <c:showVal val="0"/>
            <c:showCatName val="0"/>
            <c:showSerName val="1"/>
            <c:showPercent val="0"/>
            <c:showBubbleSize val="0"/>
          </c:dLbls>
          <c:xVal>
            <c:strRef>
              <c:f>'2022_Data'!$F$383</c:f>
            </c:strRef>
          </c:xVal>
          <c:yVal>
            <c:numRef>
              <c:f>'2022_Data'!$E$383</c:f>
              <c:numCache/>
            </c:numRef>
          </c:yVal>
          <c:bubbleSize>
            <c:numRef>
              <c:f>'2022_Data'!$G$383</c:f>
            </c:numRef>
          </c:bubbleSize>
        </c:ser>
        <c:ser>
          <c:idx val="382"/>
          <c:order val="382"/>
          <c:tx>
            <c:strRef>
              <c:f>'2022_Data'!$A$384</c:f>
            </c:strRef>
          </c:tx>
          <c:dLbls>
            <c:dLblPos val="ctr"/>
            <c:showLegendKey val="0"/>
            <c:showVal val="0"/>
            <c:showCatName val="0"/>
            <c:showSerName val="1"/>
            <c:showPercent val="0"/>
            <c:showBubbleSize val="0"/>
          </c:dLbls>
          <c:xVal>
            <c:strRef>
              <c:f>'2022_Data'!$F$384</c:f>
            </c:strRef>
          </c:xVal>
          <c:yVal>
            <c:numRef>
              <c:f>'2022_Data'!$E$384</c:f>
              <c:numCache/>
            </c:numRef>
          </c:yVal>
          <c:bubbleSize>
            <c:numRef>
              <c:f>'2022_Data'!$G$384</c:f>
            </c:numRef>
          </c:bubbleSize>
        </c:ser>
        <c:ser>
          <c:idx val="383"/>
          <c:order val="383"/>
          <c:tx>
            <c:strRef>
              <c:f>'2022_Data'!$A$385</c:f>
            </c:strRef>
          </c:tx>
          <c:dLbls>
            <c:dLblPos val="ctr"/>
            <c:showLegendKey val="0"/>
            <c:showVal val="0"/>
            <c:showCatName val="0"/>
            <c:showSerName val="1"/>
            <c:showPercent val="0"/>
            <c:showBubbleSize val="0"/>
          </c:dLbls>
          <c:xVal>
            <c:strRef>
              <c:f>'2022_Data'!$F$385</c:f>
            </c:strRef>
          </c:xVal>
          <c:yVal>
            <c:numRef>
              <c:f>'2022_Data'!$E$385</c:f>
              <c:numCache/>
            </c:numRef>
          </c:yVal>
          <c:bubbleSize>
            <c:numRef>
              <c:f>'2022_Data'!$G$385</c:f>
            </c:numRef>
          </c:bubbleSize>
        </c:ser>
        <c:ser>
          <c:idx val="384"/>
          <c:order val="384"/>
          <c:tx>
            <c:strRef>
              <c:f>'2022_Data'!$A$386</c:f>
            </c:strRef>
          </c:tx>
          <c:dLbls>
            <c:dLblPos val="ctr"/>
            <c:showLegendKey val="0"/>
            <c:showVal val="0"/>
            <c:showCatName val="0"/>
            <c:showSerName val="1"/>
            <c:showPercent val="0"/>
            <c:showBubbleSize val="0"/>
          </c:dLbls>
          <c:xVal>
            <c:strRef>
              <c:f>'2022_Data'!$F$386</c:f>
            </c:strRef>
          </c:xVal>
          <c:yVal>
            <c:numRef>
              <c:f>'2022_Data'!$E$386</c:f>
              <c:numCache/>
            </c:numRef>
          </c:yVal>
          <c:bubbleSize>
            <c:numRef>
              <c:f>'2022_Data'!$G$386</c:f>
            </c:numRef>
          </c:bubbleSize>
        </c:ser>
        <c:ser>
          <c:idx val="385"/>
          <c:order val="385"/>
          <c:tx>
            <c:strRef>
              <c:f>'2022_Data'!$A$387</c:f>
            </c:strRef>
          </c:tx>
          <c:dLbls>
            <c:dLblPos val="ctr"/>
            <c:showLegendKey val="0"/>
            <c:showVal val="0"/>
            <c:showCatName val="0"/>
            <c:showSerName val="1"/>
            <c:showPercent val="0"/>
            <c:showBubbleSize val="0"/>
          </c:dLbls>
          <c:xVal>
            <c:strRef>
              <c:f>'2022_Data'!$F$387</c:f>
            </c:strRef>
          </c:xVal>
          <c:yVal>
            <c:numRef>
              <c:f>'2022_Data'!$E$387</c:f>
              <c:numCache/>
            </c:numRef>
          </c:yVal>
          <c:bubbleSize>
            <c:numRef>
              <c:f>'2022_Data'!$G$387</c:f>
            </c:numRef>
          </c:bubbleSize>
        </c:ser>
        <c:ser>
          <c:idx val="386"/>
          <c:order val="386"/>
          <c:tx>
            <c:strRef>
              <c:f>'2022_Data'!$A$388</c:f>
            </c:strRef>
          </c:tx>
          <c:dLbls>
            <c:dLblPos val="ctr"/>
            <c:showLegendKey val="0"/>
            <c:showVal val="0"/>
            <c:showCatName val="0"/>
            <c:showSerName val="1"/>
            <c:showPercent val="0"/>
            <c:showBubbleSize val="0"/>
          </c:dLbls>
          <c:xVal>
            <c:strRef>
              <c:f>'2022_Data'!$F$388</c:f>
            </c:strRef>
          </c:xVal>
          <c:yVal>
            <c:numRef>
              <c:f>'2022_Data'!$E$388</c:f>
              <c:numCache/>
            </c:numRef>
          </c:yVal>
          <c:bubbleSize>
            <c:numRef>
              <c:f>'2022_Data'!$G$388</c:f>
            </c:numRef>
          </c:bubbleSize>
        </c:ser>
        <c:ser>
          <c:idx val="387"/>
          <c:order val="387"/>
          <c:tx>
            <c:strRef>
              <c:f>'2022_Data'!$A$389</c:f>
            </c:strRef>
          </c:tx>
          <c:dLbls>
            <c:dLblPos val="ctr"/>
            <c:showLegendKey val="0"/>
            <c:showVal val="0"/>
            <c:showCatName val="0"/>
            <c:showSerName val="1"/>
            <c:showPercent val="0"/>
            <c:showBubbleSize val="0"/>
          </c:dLbls>
          <c:xVal>
            <c:strRef>
              <c:f>'2022_Data'!$F$389</c:f>
            </c:strRef>
          </c:xVal>
          <c:yVal>
            <c:numRef>
              <c:f>'2022_Data'!$E$389</c:f>
              <c:numCache/>
            </c:numRef>
          </c:yVal>
          <c:bubbleSize>
            <c:numRef>
              <c:f>'2022_Data'!$G$389</c:f>
            </c:numRef>
          </c:bubbleSize>
        </c:ser>
        <c:ser>
          <c:idx val="388"/>
          <c:order val="388"/>
          <c:tx>
            <c:strRef>
              <c:f>'2022_Data'!$A$390</c:f>
            </c:strRef>
          </c:tx>
          <c:dLbls>
            <c:dLblPos val="ctr"/>
            <c:showLegendKey val="0"/>
            <c:showVal val="0"/>
            <c:showCatName val="0"/>
            <c:showSerName val="1"/>
            <c:showPercent val="0"/>
            <c:showBubbleSize val="0"/>
          </c:dLbls>
          <c:xVal>
            <c:strRef>
              <c:f>'2022_Data'!$F$390</c:f>
            </c:strRef>
          </c:xVal>
          <c:yVal>
            <c:numRef>
              <c:f>'2022_Data'!$E$390</c:f>
              <c:numCache/>
            </c:numRef>
          </c:yVal>
          <c:bubbleSize>
            <c:numRef>
              <c:f>'2022_Data'!$G$390</c:f>
            </c:numRef>
          </c:bubbleSize>
        </c:ser>
        <c:ser>
          <c:idx val="389"/>
          <c:order val="389"/>
          <c:tx>
            <c:strRef>
              <c:f>'2022_Data'!$A$391</c:f>
            </c:strRef>
          </c:tx>
          <c:dLbls>
            <c:dLblPos val="ctr"/>
            <c:showLegendKey val="0"/>
            <c:showVal val="0"/>
            <c:showCatName val="0"/>
            <c:showSerName val="1"/>
            <c:showPercent val="0"/>
            <c:showBubbleSize val="0"/>
          </c:dLbls>
          <c:xVal>
            <c:strRef>
              <c:f>'2022_Data'!$F$391</c:f>
            </c:strRef>
          </c:xVal>
          <c:yVal>
            <c:numRef>
              <c:f>'2022_Data'!$E$391</c:f>
              <c:numCache/>
            </c:numRef>
          </c:yVal>
          <c:bubbleSize>
            <c:numRef>
              <c:f>'2022_Data'!$G$391</c:f>
            </c:numRef>
          </c:bubbleSize>
        </c:ser>
        <c:ser>
          <c:idx val="390"/>
          <c:order val="390"/>
          <c:tx>
            <c:strRef>
              <c:f>'2022_Data'!$A$392</c:f>
            </c:strRef>
          </c:tx>
          <c:dLbls>
            <c:dLblPos val="ctr"/>
            <c:showLegendKey val="0"/>
            <c:showVal val="0"/>
            <c:showCatName val="0"/>
            <c:showSerName val="1"/>
            <c:showPercent val="0"/>
            <c:showBubbleSize val="0"/>
          </c:dLbls>
          <c:xVal>
            <c:strRef>
              <c:f>'2022_Data'!$F$392</c:f>
            </c:strRef>
          </c:xVal>
          <c:yVal>
            <c:numRef>
              <c:f>'2022_Data'!$E$392</c:f>
              <c:numCache/>
            </c:numRef>
          </c:yVal>
          <c:bubbleSize>
            <c:numRef>
              <c:f>'2022_Data'!$G$392</c:f>
            </c:numRef>
          </c:bubbleSize>
        </c:ser>
        <c:ser>
          <c:idx val="391"/>
          <c:order val="391"/>
          <c:tx>
            <c:strRef>
              <c:f>'2022_Data'!$A$393</c:f>
            </c:strRef>
          </c:tx>
          <c:dLbls>
            <c:dLblPos val="ctr"/>
            <c:showLegendKey val="0"/>
            <c:showVal val="0"/>
            <c:showCatName val="0"/>
            <c:showSerName val="1"/>
            <c:showPercent val="0"/>
            <c:showBubbleSize val="0"/>
          </c:dLbls>
          <c:xVal>
            <c:strRef>
              <c:f>'2022_Data'!$F$393</c:f>
            </c:strRef>
          </c:xVal>
          <c:yVal>
            <c:numRef>
              <c:f>'2022_Data'!$E$393</c:f>
              <c:numCache/>
            </c:numRef>
          </c:yVal>
          <c:bubbleSize>
            <c:numRef>
              <c:f>'2022_Data'!$G$393</c:f>
            </c:numRef>
          </c:bubbleSize>
        </c:ser>
        <c:ser>
          <c:idx val="392"/>
          <c:order val="392"/>
          <c:tx>
            <c:strRef>
              <c:f>'2022_Data'!$A$394</c:f>
            </c:strRef>
          </c:tx>
          <c:dLbls>
            <c:dLblPos val="ctr"/>
            <c:showLegendKey val="0"/>
            <c:showVal val="0"/>
            <c:showCatName val="0"/>
            <c:showSerName val="1"/>
            <c:showPercent val="0"/>
            <c:showBubbleSize val="0"/>
          </c:dLbls>
          <c:xVal>
            <c:strRef>
              <c:f>'2022_Data'!$F$394</c:f>
            </c:strRef>
          </c:xVal>
          <c:yVal>
            <c:numRef>
              <c:f>'2022_Data'!$E$394</c:f>
              <c:numCache/>
            </c:numRef>
          </c:yVal>
          <c:bubbleSize>
            <c:numRef>
              <c:f>'2022_Data'!$G$394</c:f>
            </c:numRef>
          </c:bubbleSize>
        </c:ser>
        <c:ser>
          <c:idx val="393"/>
          <c:order val="393"/>
          <c:tx>
            <c:strRef>
              <c:f>'2022_Data'!$A$395</c:f>
            </c:strRef>
          </c:tx>
          <c:dLbls>
            <c:dLblPos val="ctr"/>
            <c:showLegendKey val="0"/>
            <c:showVal val="0"/>
            <c:showCatName val="0"/>
            <c:showSerName val="1"/>
            <c:showPercent val="0"/>
            <c:showBubbleSize val="0"/>
          </c:dLbls>
          <c:xVal>
            <c:strRef>
              <c:f>'2022_Data'!$F$395</c:f>
            </c:strRef>
          </c:xVal>
          <c:yVal>
            <c:numRef>
              <c:f>'2022_Data'!$E$395</c:f>
              <c:numCache/>
            </c:numRef>
          </c:yVal>
          <c:bubbleSize>
            <c:numRef>
              <c:f>'2022_Data'!$G$395</c:f>
            </c:numRef>
          </c:bubbleSize>
        </c:ser>
        <c:ser>
          <c:idx val="394"/>
          <c:order val="394"/>
          <c:tx>
            <c:strRef>
              <c:f>'2022_Data'!$A$396</c:f>
            </c:strRef>
          </c:tx>
          <c:dLbls>
            <c:dLblPos val="ctr"/>
            <c:showLegendKey val="0"/>
            <c:showVal val="0"/>
            <c:showCatName val="0"/>
            <c:showSerName val="1"/>
            <c:showPercent val="0"/>
            <c:showBubbleSize val="0"/>
          </c:dLbls>
          <c:xVal>
            <c:strRef>
              <c:f>'2022_Data'!$F$396</c:f>
            </c:strRef>
          </c:xVal>
          <c:yVal>
            <c:numRef>
              <c:f>'2022_Data'!$E$396</c:f>
              <c:numCache/>
            </c:numRef>
          </c:yVal>
          <c:bubbleSize>
            <c:numRef>
              <c:f>'2022_Data'!$G$396</c:f>
            </c:numRef>
          </c:bubbleSize>
        </c:ser>
        <c:ser>
          <c:idx val="395"/>
          <c:order val="395"/>
          <c:tx>
            <c:strRef>
              <c:f>'2022_Data'!$A$397</c:f>
            </c:strRef>
          </c:tx>
          <c:dLbls>
            <c:dLblPos val="ctr"/>
            <c:showLegendKey val="0"/>
            <c:showVal val="0"/>
            <c:showCatName val="0"/>
            <c:showSerName val="1"/>
            <c:showPercent val="0"/>
            <c:showBubbleSize val="0"/>
          </c:dLbls>
          <c:xVal>
            <c:strRef>
              <c:f>'2022_Data'!$F$397</c:f>
            </c:strRef>
          </c:xVal>
          <c:yVal>
            <c:numRef>
              <c:f>'2022_Data'!$E$397</c:f>
              <c:numCache/>
            </c:numRef>
          </c:yVal>
          <c:bubbleSize>
            <c:numRef>
              <c:f>'2022_Data'!$G$397</c:f>
            </c:numRef>
          </c:bubbleSize>
        </c:ser>
        <c:ser>
          <c:idx val="396"/>
          <c:order val="396"/>
          <c:tx>
            <c:strRef>
              <c:f>'2022_Data'!$A$398</c:f>
            </c:strRef>
          </c:tx>
          <c:dLbls>
            <c:dLblPos val="ctr"/>
            <c:showLegendKey val="0"/>
            <c:showVal val="0"/>
            <c:showCatName val="0"/>
            <c:showSerName val="1"/>
            <c:showPercent val="0"/>
            <c:showBubbleSize val="0"/>
          </c:dLbls>
          <c:xVal>
            <c:strRef>
              <c:f>'2022_Data'!$F$398</c:f>
            </c:strRef>
          </c:xVal>
          <c:yVal>
            <c:numRef>
              <c:f>'2022_Data'!$E$398</c:f>
              <c:numCache/>
            </c:numRef>
          </c:yVal>
          <c:bubbleSize>
            <c:numRef>
              <c:f>'2022_Data'!$G$398</c:f>
            </c:numRef>
          </c:bubbleSize>
        </c:ser>
        <c:ser>
          <c:idx val="397"/>
          <c:order val="397"/>
          <c:tx>
            <c:strRef>
              <c:f>'2022_Data'!$A$399</c:f>
            </c:strRef>
          </c:tx>
          <c:dLbls>
            <c:dLblPos val="ctr"/>
            <c:showLegendKey val="0"/>
            <c:showVal val="0"/>
            <c:showCatName val="0"/>
            <c:showSerName val="1"/>
            <c:showPercent val="0"/>
            <c:showBubbleSize val="0"/>
          </c:dLbls>
          <c:xVal>
            <c:strRef>
              <c:f>'2022_Data'!$F$399</c:f>
            </c:strRef>
          </c:xVal>
          <c:yVal>
            <c:numRef>
              <c:f>'2022_Data'!$E$399</c:f>
              <c:numCache/>
            </c:numRef>
          </c:yVal>
          <c:bubbleSize>
            <c:numRef>
              <c:f>'2022_Data'!$G$399</c:f>
            </c:numRef>
          </c:bubbleSize>
        </c:ser>
        <c:ser>
          <c:idx val="398"/>
          <c:order val="398"/>
          <c:tx>
            <c:strRef>
              <c:f>'2022_Data'!$A$400</c:f>
            </c:strRef>
          </c:tx>
          <c:dLbls>
            <c:dLblPos val="ctr"/>
            <c:showLegendKey val="0"/>
            <c:showVal val="0"/>
            <c:showCatName val="0"/>
            <c:showSerName val="1"/>
            <c:showPercent val="0"/>
            <c:showBubbleSize val="0"/>
          </c:dLbls>
          <c:xVal>
            <c:strRef>
              <c:f>'2022_Data'!$F$400</c:f>
            </c:strRef>
          </c:xVal>
          <c:yVal>
            <c:numRef>
              <c:f>'2022_Data'!$E$400</c:f>
              <c:numCache/>
            </c:numRef>
          </c:yVal>
          <c:bubbleSize>
            <c:numRef>
              <c:f>'2022_Data'!$G$400</c:f>
            </c:numRef>
          </c:bubbleSize>
        </c:ser>
        <c:ser>
          <c:idx val="399"/>
          <c:order val="399"/>
          <c:tx>
            <c:strRef>
              <c:f>'2022_Data'!$A$401</c:f>
            </c:strRef>
          </c:tx>
          <c:dLbls>
            <c:dLblPos val="ctr"/>
            <c:showLegendKey val="0"/>
            <c:showVal val="0"/>
            <c:showCatName val="0"/>
            <c:showSerName val="1"/>
            <c:showPercent val="0"/>
            <c:showBubbleSize val="0"/>
          </c:dLbls>
          <c:xVal>
            <c:strRef>
              <c:f>'2022_Data'!$F$401</c:f>
            </c:strRef>
          </c:xVal>
          <c:yVal>
            <c:numRef>
              <c:f>'2022_Data'!$E$401</c:f>
              <c:numCache/>
            </c:numRef>
          </c:yVal>
          <c:bubbleSize>
            <c:numRef>
              <c:f>'2022_Data'!$G$401</c:f>
            </c:numRef>
          </c:bubbleSize>
        </c:ser>
        <c:ser>
          <c:idx val="400"/>
          <c:order val="400"/>
          <c:tx>
            <c:strRef>
              <c:f>'2022_Data'!$A$402</c:f>
            </c:strRef>
          </c:tx>
          <c:dLbls>
            <c:dLblPos val="ctr"/>
            <c:showLegendKey val="0"/>
            <c:showVal val="0"/>
            <c:showCatName val="0"/>
            <c:showSerName val="1"/>
            <c:showPercent val="0"/>
            <c:showBubbleSize val="0"/>
          </c:dLbls>
          <c:xVal>
            <c:strRef>
              <c:f>'2022_Data'!$F$402</c:f>
            </c:strRef>
          </c:xVal>
          <c:yVal>
            <c:numRef>
              <c:f>'2022_Data'!$E$402</c:f>
              <c:numCache/>
            </c:numRef>
          </c:yVal>
          <c:bubbleSize>
            <c:numRef>
              <c:f>'2022_Data'!$G$402</c:f>
            </c:numRef>
          </c:bubbleSize>
        </c:ser>
        <c:ser>
          <c:idx val="401"/>
          <c:order val="401"/>
          <c:tx>
            <c:strRef>
              <c:f>'2022_Data'!$A$403</c:f>
            </c:strRef>
          </c:tx>
          <c:dLbls>
            <c:dLblPos val="ctr"/>
            <c:showLegendKey val="0"/>
            <c:showVal val="0"/>
            <c:showCatName val="0"/>
            <c:showSerName val="1"/>
            <c:showPercent val="0"/>
            <c:showBubbleSize val="0"/>
          </c:dLbls>
          <c:xVal>
            <c:strRef>
              <c:f>'2022_Data'!$F$403</c:f>
            </c:strRef>
          </c:xVal>
          <c:yVal>
            <c:numRef>
              <c:f>'2022_Data'!$E$403</c:f>
              <c:numCache/>
            </c:numRef>
          </c:yVal>
          <c:bubbleSize>
            <c:numRef>
              <c:f>'2022_Data'!$G$403</c:f>
            </c:numRef>
          </c:bubbleSize>
        </c:ser>
        <c:ser>
          <c:idx val="402"/>
          <c:order val="402"/>
          <c:tx>
            <c:strRef>
              <c:f>'2022_Data'!$A$404</c:f>
            </c:strRef>
          </c:tx>
          <c:dLbls>
            <c:dLblPos val="ctr"/>
            <c:showLegendKey val="0"/>
            <c:showVal val="0"/>
            <c:showCatName val="0"/>
            <c:showSerName val="1"/>
            <c:showPercent val="0"/>
            <c:showBubbleSize val="0"/>
          </c:dLbls>
          <c:xVal>
            <c:strRef>
              <c:f>'2022_Data'!$F$404</c:f>
            </c:strRef>
          </c:xVal>
          <c:yVal>
            <c:numRef>
              <c:f>'2022_Data'!$E$404</c:f>
              <c:numCache/>
            </c:numRef>
          </c:yVal>
          <c:bubbleSize>
            <c:numRef>
              <c:f>'2022_Data'!$G$404</c:f>
            </c:numRef>
          </c:bubbleSize>
        </c:ser>
        <c:ser>
          <c:idx val="403"/>
          <c:order val="403"/>
          <c:tx>
            <c:strRef>
              <c:f>'2022_Data'!$A$405</c:f>
            </c:strRef>
          </c:tx>
          <c:dLbls>
            <c:dLblPos val="ctr"/>
            <c:showLegendKey val="0"/>
            <c:showVal val="0"/>
            <c:showCatName val="0"/>
            <c:showSerName val="1"/>
            <c:showPercent val="0"/>
            <c:showBubbleSize val="0"/>
          </c:dLbls>
          <c:xVal>
            <c:strRef>
              <c:f>'2022_Data'!$F$405</c:f>
            </c:strRef>
          </c:xVal>
          <c:yVal>
            <c:numRef>
              <c:f>'2022_Data'!$E$405</c:f>
              <c:numCache/>
            </c:numRef>
          </c:yVal>
          <c:bubbleSize>
            <c:numRef>
              <c:f>'2022_Data'!$G$405</c:f>
            </c:numRef>
          </c:bubbleSize>
        </c:ser>
        <c:ser>
          <c:idx val="404"/>
          <c:order val="404"/>
          <c:tx>
            <c:strRef>
              <c:f>'2022_Data'!$A$406</c:f>
            </c:strRef>
          </c:tx>
          <c:dLbls>
            <c:dLblPos val="ctr"/>
            <c:showLegendKey val="0"/>
            <c:showVal val="0"/>
            <c:showCatName val="0"/>
            <c:showSerName val="1"/>
            <c:showPercent val="0"/>
            <c:showBubbleSize val="0"/>
          </c:dLbls>
          <c:xVal>
            <c:strRef>
              <c:f>'2022_Data'!$F$406</c:f>
            </c:strRef>
          </c:xVal>
          <c:yVal>
            <c:numRef>
              <c:f>'2022_Data'!$E$406</c:f>
              <c:numCache/>
            </c:numRef>
          </c:yVal>
          <c:bubbleSize>
            <c:numRef>
              <c:f>'2022_Data'!$G$406</c:f>
            </c:numRef>
          </c:bubbleSize>
        </c:ser>
        <c:ser>
          <c:idx val="405"/>
          <c:order val="405"/>
          <c:tx>
            <c:strRef>
              <c:f>'2022_Data'!$A$407</c:f>
            </c:strRef>
          </c:tx>
          <c:dLbls>
            <c:dLblPos val="ctr"/>
            <c:showLegendKey val="0"/>
            <c:showVal val="0"/>
            <c:showCatName val="0"/>
            <c:showSerName val="1"/>
            <c:showPercent val="0"/>
            <c:showBubbleSize val="0"/>
          </c:dLbls>
          <c:xVal>
            <c:strRef>
              <c:f>'2022_Data'!$F$407</c:f>
            </c:strRef>
          </c:xVal>
          <c:yVal>
            <c:numRef>
              <c:f>'2022_Data'!$E$407</c:f>
              <c:numCache/>
            </c:numRef>
          </c:yVal>
          <c:bubbleSize>
            <c:numRef>
              <c:f>'2022_Data'!$G$407</c:f>
            </c:numRef>
          </c:bubbleSize>
        </c:ser>
        <c:ser>
          <c:idx val="406"/>
          <c:order val="406"/>
          <c:tx>
            <c:strRef>
              <c:f>'2022_Data'!$A$408</c:f>
            </c:strRef>
          </c:tx>
          <c:dLbls>
            <c:dLblPos val="ctr"/>
            <c:showLegendKey val="0"/>
            <c:showVal val="0"/>
            <c:showCatName val="0"/>
            <c:showSerName val="1"/>
            <c:showPercent val="0"/>
            <c:showBubbleSize val="0"/>
          </c:dLbls>
          <c:xVal>
            <c:strRef>
              <c:f>'2022_Data'!$F$408</c:f>
            </c:strRef>
          </c:xVal>
          <c:yVal>
            <c:numRef>
              <c:f>'2022_Data'!$E$408</c:f>
              <c:numCache/>
            </c:numRef>
          </c:yVal>
          <c:bubbleSize>
            <c:numRef>
              <c:f>'2022_Data'!$G$408</c:f>
            </c:numRef>
          </c:bubbleSize>
        </c:ser>
        <c:ser>
          <c:idx val="407"/>
          <c:order val="407"/>
          <c:tx>
            <c:strRef>
              <c:f>'2022_Data'!$A$409</c:f>
            </c:strRef>
          </c:tx>
          <c:dLbls>
            <c:dLblPos val="ctr"/>
            <c:showLegendKey val="0"/>
            <c:showVal val="0"/>
            <c:showCatName val="0"/>
            <c:showSerName val="1"/>
            <c:showPercent val="0"/>
            <c:showBubbleSize val="0"/>
          </c:dLbls>
          <c:xVal>
            <c:strRef>
              <c:f>'2022_Data'!$F$409</c:f>
            </c:strRef>
          </c:xVal>
          <c:yVal>
            <c:numRef>
              <c:f>'2022_Data'!$E$409</c:f>
              <c:numCache/>
            </c:numRef>
          </c:yVal>
          <c:bubbleSize>
            <c:numRef>
              <c:f>'2022_Data'!$G$409</c:f>
            </c:numRef>
          </c:bubbleSize>
        </c:ser>
        <c:ser>
          <c:idx val="408"/>
          <c:order val="408"/>
          <c:tx>
            <c:strRef>
              <c:f>'2022_Data'!$A$410</c:f>
            </c:strRef>
          </c:tx>
          <c:dLbls>
            <c:dLblPos val="ctr"/>
            <c:showLegendKey val="0"/>
            <c:showVal val="0"/>
            <c:showCatName val="0"/>
            <c:showSerName val="1"/>
            <c:showPercent val="0"/>
            <c:showBubbleSize val="0"/>
          </c:dLbls>
          <c:xVal>
            <c:strRef>
              <c:f>'2022_Data'!$F$410</c:f>
            </c:strRef>
          </c:xVal>
          <c:yVal>
            <c:numRef>
              <c:f>'2022_Data'!$E$410</c:f>
              <c:numCache/>
            </c:numRef>
          </c:yVal>
          <c:bubbleSize>
            <c:numRef>
              <c:f>'2022_Data'!$G$410</c:f>
            </c:numRef>
          </c:bubbleSize>
        </c:ser>
        <c:ser>
          <c:idx val="409"/>
          <c:order val="409"/>
          <c:tx>
            <c:strRef>
              <c:f>'2022_Data'!$A$411</c:f>
            </c:strRef>
          </c:tx>
          <c:dLbls>
            <c:dLblPos val="ctr"/>
            <c:showLegendKey val="0"/>
            <c:showVal val="0"/>
            <c:showCatName val="0"/>
            <c:showSerName val="1"/>
            <c:showPercent val="0"/>
            <c:showBubbleSize val="0"/>
          </c:dLbls>
          <c:xVal>
            <c:strRef>
              <c:f>'2022_Data'!$F$411</c:f>
            </c:strRef>
          </c:xVal>
          <c:yVal>
            <c:numRef>
              <c:f>'2022_Data'!$E$411</c:f>
              <c:numCache/>
            </c:numRef>
          </c:yVal>
          <c:bubbleSize>
            <c:numRef>
              <c:f>'2022_Data'!$G$411</c:f>
            </c:numRef>
          </c:bubbleSize>
        </c:ser>
        <c:ser>
          <c:idx val="410"/>
          <c:order val="410"/>
          <c:tx>
            <c:strRef>
              <c:f>'2022_Data'!$A$412</c:f>
            </c:strRef>
          </c:tx>
          <c:dLbls>
            <c:dLblPos val="ctr"/>
            <c:showLegendKey val="0"/>
            <c:showVal val="0"/>
            <c:showCatName val="0"/>
            <c:showSerName val="1"/>
            <c:showPercent val="0"/>
            <c:showBubbleSize val="0"/>
          </c:dLbls>
          <c:xVal>
            <c:strRef>
              <c:f>'2022_Data'!$F$412</c:f>
            </c:strRef>
          </c:xVal>
          <c:yVal>
            <c:numRef>
              <c:f>'2022_Data'!$E$412</c:f>
              <c:numCache/>
            </c:numRef>
          </c:yVal>
          <c:bubbleSize>
            <c:numRef>
              <c:f>'2022_Data'!$G$412</c:f>
            </c:numRef>
          </c:bubbleSize>
        </c:ser>
        <c:ser>
          <c:idx val="411"/>
          <c:order val="411"/>
          <c:tx>
            <c:strRef>
              <c:f>'2022_Data'!$A$413</c:f>
            </c:strRef>
          </c:tx>
          <c:dLbls>
            <c:dLblPos val="ctr"/>
            <c:showLegendKey val="0"/>
            <c:showVal val="0"/>
            <c:showCatName val="0"/>
            <c:showSerName val="1"/>
            <c:showPercent val="0"/>
            <c:showBubbleSize val="0"/>
          </c:dLbls>
          <c:xVal>
            <c:strRef>
              <c:f>'2022_Data'!$F$413</c:f>
            </c:strRef>
          </c:xVal>
          <c:yVal>
            <c:numRef>
              <c:f>'2022_Data'!$E$413</c:f>
              <c:numCache/>
            </c:numRef>
          </c:yVal>
          <c:bubbleSize>
            <c:numRef>
              <c:f>'2022_Data'!$G$413</c:f>
            </c:numRef>
          </c:bubbleSize>
        </c:ser>
        <c:ser>
          <c:idx val="412"/>
          <c:order val="412"/>
          <c:tx>
            <c:strRef>
              <c:f>'2022_Data'!$A$414</c:f>
            </c:strRef>
          </c:tx>
          <c:dLbls>
            <c:dLblPos val="ctr"/>
            <c:showLegendKey val="0"/>
            <c:showVal val="0"/>
            <c:showCatName val="0"/>
            <c:showSerName val="1"/>
            <c:showPercent val="0"/>
            <c:showBubbleSize val="0"/>
          </c:dLbls>
          <c:xVal>
            <c:strRef>
              <c:f>'2022_Data'!$F$414</c:f>
            </c:strRef>
          </c:xVal>
          <c:yVal>
            <c:numRef>
              <c:f>'2022_Data'!$E$414</c:f>
              <c:numCache/>
            </c:numRef>
          </c:yVal>
          <c:bubbleSize>
            <c:numRef>
              <c:f>'2022_Data'!$G$414</c:f>
            </c:numRef>
          </c:bubbleSize>
        </c:ser>
        <c:ser>
          <c:idx val="413"/>
          <c:order val="413"/>
          <c:tx>
            <c:strRef>
              <c:f>'2022_Data'!$A$415</c:f>
            </c:strRef>
          </c:tx>
          <c:dLbls>
            <c:dLblPos val="ctr"/>
            <c:showLegendKey val="0"/>
            <c:showVal val="0"/>
            <c:showCatName val="0"/>
            <c:showSerName val="1"/>
            <c:showPercent val="0"/>
            <c:showBubbleSize val="0"/>
          </c:dLbls>
          <c:xVal>
            <c:strRef>
              <c:f>'2022_Data'!$F$415</c:f>
            </c:strRef>
          </c:xVal>
          <c:yVal>
            <c:numRef>
              <c:f>'2022_Data'!$E$415</c:f>
              <c:numCache/>
            </c:numRef>
          </c:yVal>
          <c:bubbleSize>
            <c:numRef>
              <c:f>'2022_Data'!$G$415</c:f>
            </c:numRef>
          </c:bubbleSize>
        </c:ser>
        <c:ser>
          <c:idx val="414"/>
          <c:order val="414"/>
          <c:tx>
            <c:strRef>
              <c:f>'2022_Data'!$A$416</c:f>
            </c:strRef>
          </c:tx>
          <c:dLbls>
            <c:dLblPos val="ctr"/>
            <c:showLegendKey val="0"/>
            <c:showVal val="0"/>
            <c:showCatName val="0"/>
            <c:showSerName val="1"/>
            <c:showPercent val="0"/>
            <c:showBubbleSize val="0"/>
          </c:dLbls>
          <c:xVal>
            <c:strRef>
              <c:f>'2022_Data'!$F$416</c:f>
            </c:strRef>
          </c:xVal>
          <c:yVal>
            <c:numRef>
              <c:f>'2022_Data'!$E$416</c:f>
              <c:numCache/>
            </c:numRef>
          </c:yVal>
          <c:bubbleSize>
            <c:numRef>
              <c:f>'2022_Data'!$G$416</c:f>
            </c:numRef>
          </c:bubbleSize>
        </c:ser>
        <c:ser>
          <c:idx val="415"/>
          <c:order val="415"/>
          <c:tx>
            <c:strRef>
              <c:f>'2022_Data'!$A$417</c:f>
            </c:strRef>
          </c:tx>
          <c:dLbls>
            <c:dLblPos val="ctr"/>
            <c:showLegendKey val="0"/>
            <c:showVal val="0"/>
            <c:showCatName val="0"/>
            <c:showSerName val="1"/>
            <c:showPercent val="0"/>
            <c:showBubbleSize val="0"/>
          </c:dLbls>
          <c:xVal>
            <c:strRef>
              <c:f>'2022_Data'!$F$417</c:f>
            </c:strRef>
          </c:xVal>
          <c:yVal>
            <c:numRef>
              <c:f>'2022_Data'!$E$417</c:f>
              <c:numCache/>
            </c:numRef>
          </c:yVal>
          <c:bubbleSize>
            <c:numRef>
              <c:f>'2022_Data'!$G$417</c:f>
            </c:numRef>
          </c:bubbleSize>
        </c:ser>
        <c:ser>
          <c:idx val="416"/>
          <c:order val="416"/>
          <c:tx>
            <c:strRef>
              <c:f>'2022_Data'!$A$418</c:f>
            </c:strRef>
          </c:tx>
          <c:dLbls>
            <c:dLblPos val="ctr"/>
            <c:showLegendKey val="0"/>
            <c:showVal val="0"/>
            <c:showCatName val="0"/>
            <c:showSerName val="1"/>
            <c:showPercent val="0"/>
            <c:showBubbleSize val="0"/>
          </c:dLbls>
          <c:xVal>
            <c:strRef>
              <c:f>'2022_Data'!$F$418</c:f>
            </c:strRef>
          </c:xVal>
          <c:yVal>
            <c:numRef>
              <c:f>'2022_Data'!$E$418</c:f>
              <c:numCache/>
            </c:numRef>
          </c:yVal>
          <c:bubbleSize>
            <c:numRef>
              <c:f>'2022_Data'!$G$418</c:f>
            </c:numRef>
          </c:bubbleSize>
        </c:ser>
        <c:ser>
          <c:idx val="417"/>
          <c:order val="417"/>
          <c:tx>
            <c:strRef>
              <c:f>'2022_Data'!$A$419</c:f>
            </c:strRef>
          </c:tx>
          <c:dLbls>
            <c:dLblPos val="ctr"/>
            <c:showLegendKey val="0"/>
            <c:showVal val="0"/>
            <c:showCatName val="0"/>
            <c:showSerName val="1"/>
            <c:showPercent val="0"/>
            <c:showBubbleSize val="0"/>
          </c:dLbls>
          <c:xVal>
            <c:strRef>
              <c:f>'2022_Data'!$F$419</c:f>
            </c:strRef>
          </c:xVal>
          <c:yVal>
            <c:numRef>
              <c:f>'2022_Data'!$E$419</c:f>
              <c:numCache/>
            </c:numRef>
          </c:yVal>
          <c:bubbleSize>
            <c:numRef>
              <c:f>'2022_Data'!$G$419</c:f>
            </c:numRef>
          </c:bubbleSize>
        </c:ser>
        <c:ser>
          <c:idx val="418"/>
          <c:order val="418"/>
          <c:tx>
            <c:strRef>
              <c:f>'2022_Data'!$A$420</c:f>
            </c:strRef>
          </c:tx>
          <c:dLbls>
            <c:dLblPos val="ctr"/>
            <c:showLegendKey val="0"/>
            <c:showVal val="0"/>
            <c:showCatName val="0"/>
            <c:showSerName val="1"/>
            <c:showPercent val="0"/>
            <c:showBubbleSize val="0"/>
          </c:dLbls>
          <c:xVal>
            <c:strRef>
              <c:f>'2022_Data'!$F$420</c:f>
            </c:strRef>
          </c:xVal>
          <c:yVal>
            <c:numRef>
              <c:f>'2022_Data'!$E$420</c:f>
              <c:numCache/>
            </c:numRef>
          </c:yVal>
          <c:bubbleSize>
            <c:numRef>
              <c:f>'2022_Data'!$G$420</c:f>
            </c:numRef>
          </c:bubbleSize>
        </c:ser>
        <c:ser>
          <c:idx val="419"/>
          <c:order val="419"/>
          <c:tx>
            <c:strRef>
              <c:f>'2022_Data'!$A$421</c:f>
            </c:strRef>
          </c:tx>
          <c:dLbls>
            <c:dLblPos val="ctr"/>
            <c:showLegendKey val="0"/>
            <c:showVal val="0"/>
            <c:showCatName val="0"/>
            <c:showSerName val="1"/>
            <c:showPercent val="0"/>
            <c:showBubbleSize val="0"/>
          </c:dLbls>
          <c:xVal>
            <c:strRef>
              <c:f>'2022_Data'!$F$421</c:f>
            </c:strRef>
          </c:xVal>
          <c:yVal>
            <c:numRef>
              <c:f>'2022_Data'!$E$421</c:f>
              <c:numCache/>
            </c:numRef>
          </c:yVal>
          <c:bubbleSize>
            <c:numRef>
              <c:f>'2022_Data'!$G$421</c:f>
            </c:numRef>
          </c:bubbleSize>
        </c:ser>
        <c:ser>
          <c:idx val="420"/>
          <c:order val="420"/>
          <c:tx>
            <c:strRef>
              <c:f>'2022_Data'!$A$422</c:f>
            </c:strRef>
          </c:tx>
          <c:dLbls>
            <c:dLblPos val="ctr"/>
            <c:showLegendKey val="0"/>
            <c:showVal val="0"/>
            <c:showCatName val="0"/>
            <c:showSerName val="1"/>
            <c:showPercent val="0"/>
            <c:showBubbleSize val="0"/>
          </c:dLbls>
          <c:xVal>
            <c:strRef>
              <c:f>'2022_Data'!$F$422</c:f>
            </c:strRef>
          </c:xVal>
          <c:yVal>
            <c:numRef>
              <c:f>'2022_Data'!$E$422</c:f>
              <c:numCache/>
            </c:numRef>
          </c:yVal>
          <c:bubbleSize>
            <c:numRef>
              <c:f>'2022_Data'!$G$422</c:f>
            </c:numRef>
          </c:bubbleSize>
        </c:ser>
        <c:ser>
          <c:idx val="421"/>
          <c:order val="421"/>
          <c:tx>
            <c:strRef>
              <c:f>'2022_Data'!$A$423</c:f>
            </c:strRef>
          </c:tx>
          <c:dLbls>
            <c:dLblPos val="ctr"/>
            <c:showLegendKey val="0"/>
            <c:showVal val="0"/>
            <c:showCatName val="0"/>
            <c:showSerName val="1"/>
            <c:showPercent val="0"/>
            <c:showBubbleSize val="0"/>
          </c:dLbls>
          <c:xVal>
            <c:strRef>
              <c:f>'2022_Data'!$F$423</c:f>
            </c:strRef>
          </c:xVal>
          <c:yVal>
            <c:numRef>
              <c:f>'2022_Data'!$E$423</c:f>
              <c:numCache/>
            </c:numRef>
          </c:yVal>
          <c:bubbleSize>
            <c:numRef>
              <c:f>'2022_Data'!$G$423</c:f>
            </c:numRef>
          </c:bubbleSize>
        </c:ser>
        <c:ser>
          <c:idx val="422"/>
          <c:order val="422"/>
          <c:tx>
            <c:strRef>
              <c:f>'2022_Data'!$A$424</c:f>
            </c:strRef>
          </c:tx>
          <c:dLbls>
            <c:dLblPos val="ctr"/>
            <c:showLegendKey val="0"/>
            <c:showVal val="0"/>
            <c:showCatName val="0"/>
            <c:showSerName val="1"/>
            <c:showPercent val="0"/>
            <c:showBubbleSize val="0"/>
          </c:dLbls>
          <c:xVal>
            <c:strRef>
              <c:f>'2022_Data'!$F$424</c:f>
            </c:strRef>
          </c:xVal>
          <c:yVal>
            <c:numRef>
              <c:f>'2022_Data'!$E$424</c:f>
              <c:numCache/>
            </c:numRef>
          </c:yVal>
          <c:bubbleSize>
            <c:numRef>
              <c:f>'2022_Data'!$G$424</c:f>
            </c:numRef>
          </c:bubbleSize>
        </c:ser>
        <c:ser>
          <c:idx val="423"/>
          <c:order val="423"/>
          <c:tx>
            <c:strRef>
              <c:f>'2022_Data'!$A$425</c:f>
            </c:strRef>
          </c:tx>
          <c:dLbls>
            <c:dLblPos val="ctr"/>
            <c:showLegendKey val="0"/>
            <c:showVal val="0"/>
            <c:showCatName val="0"/>
            <c:showSerName val="1"/>
            <c:showPercent val="0"/>
            <c:showBubbleSize val="0"/>
          </c:dLbls>
          <c:xVal>
            <c:strRef>
              <c:f>'2022_Data'!$F$425</c:f>
            </c:strRef>
          </c:xVal>
          <c:yVal>
            <c:numRef>
              <c:f>'2022_Data'!$E$425</c:f>
              <c:numCache/>
            </c:numRef>
          </c:yVal>
          <c:bubbleSize>
            <c:numRef>
              <c:f>'2022_Data'!$G$425</c:f>
            </c:numRef>
          </c:bubbleSize>
        </c:ser>
        <c:ser>
          <c:idx val="424"/>
          <c:order val="424"/>
          <c:tx>
            <c:strRef>
              <c:f>'2022_Data'!$A$426</c:f>
            </c:strRef>
          </c:tx>
          <c:dLbls>
            <c:dLblPos val="ctr"/>
            <c:showLegendKey val="0"/>
            <c:showVal val="0"/>
            <c:showCatName val="0"/>
            <c:showSerName val="1"/>
            <c:showPercent val="0"/>
            <c:showBubbleSize val="0"/>
          </c:dLbls>
          <c:xVal>
            <c:strRef>
              <c:f>'2022_Data'!$F$426</c:f>
            </c:strRef>
          </c:xVal>
          <c:yVal>
            <c:numRef>
              <c:f>'2022_Data'!$E$426</c:f>
              <c:numCache/>
            </c:numRef>
          </c:yVal>
          <c:bubbleSize>
            <c:numRef>
              <c:f>'2022_Data'!$G$426</c:f>
            </c:numRef>
          </c:bubbleSize>
        </c:ser>
        <c:ser>
          <c:idx val="425"/>
          <c:order val="425"/>
          <c:tx>
            <c:strRef>
              <c:f>'2022_Data'!$A$427</c:f>
            </c:strRef>
          </c:tx>
          <c:dLbls>
            <c:dLblPos val="ctr"/>
            <c:showLegendKey val="0"/>
            <c:showVal val="0"/>
            <c:showCatName val="0"/>
            <c:showSerName val="1"/>
            <c:showPercent val="0"/>
            <c:showBubbleSize val="0"/>
          </c:dLbls>
          <c:xVal>
            <c:strRef>
              <c:f>'2022_Data'!$F$427</c:f>
            </c:strRef>
          </c:xVal>
          <c:yVal>
            <c:numRef>
              <c:f>'2022_Data'!$E$427</c:f>
              <c:numCache/>
            </c:numRef>
          </c:yVal>
          <c:bubbleSize>
            <c:numRef>
              <c:f>'2022_Data'!$G$427</c:f>
            </c:numRef>
          </c:bubbleSize>
        </c:ser>
        <c:ser>
          <c:idx val="426"/>
          <c:order val="426"/>
          <c:tx>
            <c:strRef>
              <c:f>'2022_Data'!$A$428</c:f>
            </c:strRef>
          </c:tx>
          <c:dLbls>
            <c:dLblPos val="ctr"/>
            <c:showLegendKey val="0"/>
            <c:showVal val="0"/>
            <c:showCatName val="0"/>
            <c:showSerName val="1"/>
            <c:showPercent val="0"/>
            <c:showBubbleSize val="0"/>
          </c:dLbls>
          <c:xVal>
            <c:strRef>
              <c:f>'2022_Data'!$F$428</c:f>
            </c:strRef>
          </c:xVal>
          <c:yVal>
            <c:numRef>
              <c:f>'2022_Data'!$E$428</c:f>
              <c:numCache/>
            </c:numRef>
          </c:yVal>
          <c:bubbleSize>
            <c:numRef>
              <c:f>'2022_Data'!$G$428</c:f>
            </c:numRef>
          </c:bubbleSize>
        </c:ser>
        <c:ser>
          <c:idx val="427"/>
          <c:order val="427"/>
          <c:tx>
            <c:strRef>
              <c:f>'2022_Data'!$A$429</c:f>
            </c:strRef>
          </c:tx>
          <c:dLbls>
            <c:dLblPos val="ctr"/>
            <c:showLegendKey val="0"/>
            <c:showVal val="0"/>
            <c:showCatName val="0"/>
            <c:showSerName val="1"/>
            <c:showPercent val="0"/>
            <c:showBubbleSize val="0"/>
          </c:dLbls>
          <c:xVal>
            <c:strRef>
              <c:f>'2022_Data'!$F$429</c:f>
            </c:strRef>
          </c:xVal>
          <c:yVal>
            <c:numRef>
              <c:f>'2022_Data'!$E$429</c:f>
              <c:numCache/>
            </c:numRef>
          </c:yVal>
          <c:bubbleSize>
            <c:numRef>
              <c:f>'2022_Data'!$G$429</c:f>
            </c:numRef>
          </c:bubbleSize>
        </c:ser>
        <c:ser>
          <c:idx val="428"/>
          <c:order val="428"/>
          <c:tx>
            <c:strRef>
              <c:f>'2022_Data'!$A$430</c:f>
            </c:strRef>
          </c:tx>
          <c:dLbls>
            <c:dLblPos val="ctr"/>
            <c:showLegendKey val="0"/>
            <c:showVal val="0"/>
            <c:showCatName val="0"/>
            <c:showSerName val="1"/>
            <c:showPercent val="0"/>
            <c:showBubbleSize val="0"/>
          </c:dLbls>
          <c:xVal>
            <c:strRef>
              <c:f>'2022_Data'!$F$430</c:f>
            </c:strRef>
          </c:xVal>
          <c:yVal>
            <c:numRef>
              <c:f>'2022_Data'!$E$430</c:f>
              <c:numCache/>
            </c:numRef>
          </c:yVal>
          <c:bubbleSize>
            <c:numRef>
              <c:f>'2022_Data'!$G$430</c:f>
            </c:numRef>
          </c:bubbleSize>
        </c:ser>
        <c:ser>
          <c:idx val="429"/>
          <c:order val="429"/>
          <c:tx>
            <c:strRef>
              <c:f>'2022_Data'!$A$431</c:f>
            </c:strRef>
          </c:tx>
          <c:dLbls>
            <c:dLblPos val="ctr"/>
            <c:showLegendKey val="0"/>
            <c:showVal val="0"/>
            <c:showCatName val="0"/>
            <c:showSerName val="1"/>
            <c:showPercent val="0"/>
            <c:showBubbleSize val="0"/>
          </c:dLbls>
          <c:xVal>
            <c:strRef>
              <c:f>'2022_Data'!$F$431</c:f>
            </c:strRef>
          </c:xVal>
          <c:yVal>
            <c:numRef>
              <c:f>'2022_Data'!$E$431</c:f>
              <c:numCache/>
            </c:numRef>
          </c:yVal>
          <c:bubbleSize>
            <c:numRef>
              <c:f>'2022_Data'!$G$431</c:f>
            </c:numRef>
          </c:bubbleSize>
        </c:ser>
        <c:ser>
          <c:idx val="430"/>
          <c:order val="430"/>
          <c:tx>
            <c:strRef>
              <c:f>'2022_Data'!$A$432</c:f>
            </c:strRef>
          </c:tx>
          <c:dLbls>
            <c:dLblPos val="ctr"/>
            <c:showLegendKey val="0"/>
            <c:showVal val="0"/>
            <c:showCatName val="0"/>
            <c:showSerName val="1"/>
            <c:showPercent val="0"/>
            <c:showBubbleSize val="0"/>
          </c:dLbls>
          <c:xVal>
            <c:strRef>
              <c:f>'2022_Data'!$F$432</c:f>
            </c:strRef>
          </c:xVal>
          <c:yVal>
            <c:numRef>
              <c:f>'2022_Data'!$E$432</c:f>
              <c:numCache/>
            </c:numRef>
          </c:yVal>
          <c:bubbleSize>
            <c:numRef>
              <c:f>'2022_Data'!$G$432</c:f>
            </c:numRef>
          </c:bubbleSize>
        </c:ser>
        <c:ser>
          <c:idx val="431"/>
          <c:order val="431"/>
          <c:tx>
            <c:strRef>
              <c:f>'2022_Data'!$A$433</c:f>
            </c:strRef>
          </c:tx>
          <c:dLbls>
            <c:dLblPos val="ctr"/>
            <c:showLegendKey val="0"/>
            <c:showVal val="0"/>
            <c:showCatName val="0"/>
            <c:showSerName val="1"/>
            <c:showPercent val="0"/>
            <c:showBubbleSize val="0"/>
          </c:dLbls>
          <c:xVal>
            <c:strRef>
              <c:f>'2022_Data'!$F$433</c:f>
            </c:strRef>
          </c:xVal>
          <c:yVal>
            <c:numRef>
              <c:f>'2022_Data'!$E$433</c:f>
              <c:numCache/>
            </c:numRef>
          </c:yVal>
          <c:bubbleSize>
            <c:numRef>
              <c:f>'2022_Data'!$G$433</c:f>
            </c:numRef>
          </c:bubbleSize>
        </c:ser>
        <c:ser>
          <c:idx val="432"/>
          <c:order val="432"/>
          <c:tx>
            <c:strRef>
              <c:f>'2022_Data'!$A$434</c:f>
            </c:strRef>
          </c:tx>
          <c:dLbls>
            <c:dLblPos val="ctr"/>
            <c:showLegendKey val="0"/>
            <c:showVal val="0"/>
            <c:showCatName val="0"/>
            <c:showSerName val="1"/>
            <c:showPercent val="0"/>
            <c:showBubbleSize val="0"/>
          </c:dLbls>
          <c:xVal>
            <c:strRef>
              <c:f>'2022_Data'!$F$434</c:f>
            </c:strRef>
          </c:xVal>
          <c:yVal>
            <c:numRef>
              <c:f>'2022_Data'!$E$434</c:f>
              <c:numCache/>
            </c:numRef>
          </c:yVal>
          <c:bubbleSize>
            <c:numRef>
              <c:f>'2022_Data'!$G$434</c:f>
            </c:numRef>
          </c:bubbleSize>
        </c:ser>
        <c:ser>
          <c:idx val="433"/>
          <c:order val="433"/>
          <c:tx>
            <c:strRef>
              <c:f>'2022_Data'!$A$435</c:f>
            </c:strRef>
          </c:tx>
          <c:dLbls>
            <c:dLblPos val="ctr"/>
            <c:showLegendKey val="0"/>
            <c:showVal val="0"/>
            <c:showCatName val="0"/>
            <c:showSerName val="1"/>
            <c:showPercent val="0"/>
            <c:showBubbleSize val="0"/>
          </c:dLbls>
          <c:xVal>
            <c:strRef>
              <c:f>'2022_Data'!$F$435</c:f>
            </c:strRef>
          </c:xVal>
          <c:yVal>
            <c:numRef>
              <c:f>'2022_Data'!$E$435</c:f>
              <c:numCache/>
            </c:numRef>
          </c:yVal>
          <c:bubbleSize>
            <c:numRef>
              <c:f>'2022_Data'!$G$435</c:f>
            </c:numRef>
          </c:bubbleSize>
        </c:ser>
        <c:ser>
          <c:idx val="434"/>
          <c:order val="434"/>
          <c:tx>
            <c:strRef>
              <c:f>'2022_Data'!$A$436</c:f>
            </c:strRef>
          </c:tx>
          <c:dLbls>
            <c:dLblPos val="ctr"/>
            <c:showLegendKey val="0"/>
            <c:showVal val="0"/>
            <c:showCatName val="0"/>
            <c:showSerName val="1"/>
            <c:showPercent val="0"/>
            <c:showBubbleSize val="0"/>
          </c:dLbls>
          <c:xVal>
            <c:strRef>
              <c:f>'2022_Data'!$F$436</c:f>
            </c:strRef>
          </c:xVal>
          <c:yVal>
            <c:numRef>
              <c:f>'2022_Data'!$E$436</c:f>
              <c:numCache/>
            </c:numRef>
          </c:yVal>
          <c:bubbleSize>
            <c:numRef>
              <c:f>'2022_Data'!$G$436</c:f>
            </c:numRef>
          </c:bubbleSize>
        </c:ser>
        <c:ser>
          <c:idx val="435"/>
          <c:order val="435"/>
          <c:tx>
            <c:strRef>
              <c:f>'2022_Data'!$A$437</c:f>
            </c:strRef>
          </c:tx>
          <c:dLbls>
            <c:dLblPos val="ctr"/>
            <c:showLegendKey val="0"/>
            <c:showVal val="0"/>
            <c:showCatName val="0"/>
            <c:showSerName val="1"/>
            <c:showPercent val="0"/>
            <c:showBubbleSize val="0"/>
          </c:dLbls>
          <c:xVal>
            <c:strRef>
              <c:f>'2022_Data'!$F$437</c:f>
            </c:strRef>
          </c:xVal>
          <c:yVal>
            <c:numRef>
              <c:f>'2022_Data'!$E$437</c:f>
              <c:numCache/>
            </c:numRef>
          </c:yVal>
          <c:bubbleSize>
            <c:numRef>
              <c:f>'2022_Data'!$G$437</c:f>
            </c:numRef>
          </c:bubbleSize>
        </c:ser>
        <c:ser>
          <c:idx val="436"/>
          <c:order val="436"/>
          <c:tx>
            <c:strRef>
              <c:f>'2022_Data'!$A$438</c:f>
            </c:strRef>
          </c:tx>
          <c:dLbls>
            <c:dLblPos val="ctr"/>
            <c:showLegendKey val="0"/>
            <c:showVal val="0"/>
            <c:showCatName val="0"/>
            <c:showSerName val="1"/>
            <c:showPercent val="0"/>
            <c:showBubbleSize val="0"/>
          </c:dLbls>
          <c:xVal>
            <c:strRef>
              <c:f>'2022_Data'!$F$438</c:f>
            </c:strRef>
          </c:xVal>
          <c:yVal>
            <c:numRef>
              <c:f>'2022_Data'!$E$438</c:f>
              <c:numCache/>
            </c:numRef>
          </c:yVal>
          <c:bubbleSize>
            <c:numRef>
              <c:f>'2022_Data'!$G$438</c:f>
            </c:numRef>
          </c:bubbleSize>
        </c:ser>
        <c:ser>
          <c:idx val="437"/>
          <c:order val="437"/>
          <c:tx>
            <c:strRef>
              <c:f>'2022_Data'!$A$439</c:f>
            </c:strRef>
          </c:tx>
          <c:dLbls>
            <c:dLblPos val="ctr"/>
            <c:showLegendKey val="0"/>
            <c:showVal val="0"/>
            <c:showCatName val="0"/>
            <c:showSerName val="1"/>
            <c:showPercent val="0"/>
            <c:showBubbleSize val="0"/>
          </c:dLbls>
          <c:xVal>
            <c:strRef>
              <c:f>'2022_Data'!$F$439</c:f>
            </c:strRef>
          </c:xVal>
          <c:yVal>
            <c:numRef>
              <c:f>'2022_Data'!$E$439</c:f>
              <c:numCache/>
            </c:numRef>
          </c:yVal>
          <c:bubbleSize>
            <c:numRef>
              <c:f>'2022_Data'!$G$439</c:f>
            </c:numRef>
          </c:bubbleSize>
        </c:ser>
        <c:ser>
          <c:idx val="438"/>
          <c:order val="438"/>
          <c:tx>
            <c:strRef>
              <c:f>'2022_Data'!$A$440</c:f>
            </c:strRef>
          </c:tx>
          <c:dLbls>
            <c:dLblPos val="ctr"/>
            <c:showLegendKey val="0"/>
            <c:showVal val="0"/>
            <c:showCatName val="0"/>
            <c:showSerName val="1"/>
            <c:showPercent val="0"/>
            <c:showBubbleSize val="0"/>
          </c:dLbls>
          <c:xVal>
            <c:strRef>
              <c:f>'2022_Data'!$F$440</c:f>
            </c:strRef>
          </c:xVal>
          <c:yVal>
            <c:numRef>
              <c:f>'2022_Data'!$E$440</c:f>
              <c:numCache/>
            </c:numRef>
          </c:yVal>
          <c:bubbleSize>
            <c:numRef>
              <c:f>'2022_Data'!$G$440</c:f>
            </c:numRef>
          </c:bubbleSize>
        </c:ser>
        <c:ser>
          <c:idx val="439"/>
          <c:order val="439"/>
          <c:tx>
            <c:strRef>
              <c:f>'2022_Data'!$A$441</c:f>
            </c:strRef>
          </c:tx>
          <c:dLbls>
            <c:dLblPos val="ctr"/>
            <c:showLegendKey val="0"/>
            <c:showVal val="0"/>
            <c:showCatName val="0"/>
            <c:showSerName val="1"/>
            <c:showPercent val="0"/>
            <c:showBubbleSize val="0"/>
          </c:dLbls>
          <c:xVal>
            <c:strRef>
              <c:f>'2022_Data'!$F$441</c:f>
            </c:strRef>
          </c:xVal>
          <c:yVal>
            <c:numRef>
              <c:f>'2022_Data'!$E$441</c:f>
              <c:numCache/>
            </c:numRef>
          </c:yVal>
          <c:bubbleSize>
            <c:numRef>
              <c:f>'2022_Data'!$G$441</c:f>
            </c:numRef>
          </c:bubbleSize>
        </c:ser>
        <c:ser>
          <c:idx val="440"/>
          <c:order val="440"/>
          <c:tx>
            <c:strRef>
              <c:f>'2022_Data'!$A$442</c:f>
            </c:strRef>
          </c:tx>
          <c:dLbls>
            <c:dLblPos val="ctr"/>
            <c:showLegendKey val="0"/>
            <c:showVal val="0"/>
            <c:showCatName val="0"/>
            <c:showSerName val="1"/>
            <c:showPercent val="0"/>
            <c:showBubbleSize val="0"/>
          </c:dLbls>
          <c:xVal>
            <c:strRef>
              <c:f>'2022_Data'!$F$442</c:f>
            </c:strRef>
          </c:xVal>
          <c:yVal>
            <c:numRef>
              <c:f>'2022_Data'!$E$442</c:f>
              <c:numCache/>
            </c:numRef>
          </c:yVal>
          <c:bubbleSize>
            <c:numRef>
              <c:f>'2022_Data'!$G$442</c:f>
            </c:numRef>
          </c:bubbleSize>
        </c:ser>
        <c:ser>
          <c:idx val="441"/>
          <c:order val="441"/>
          <c:tx>
            <c:strRef>
              <c:f>'2022_Data'!$A$443</c:f>
            </c:strRef>
          </c:tx>
          <c:dLbls>
            <c:dLblPos val="ctr"/>
            <c:showLegendKey val="0"/>
            <c:showVal val="0"/>
            <c:showCatName val="0"/>
            <c:showSerName val="1"/>
            <c:showPercent val="0"/>
            <c:showBubbleSize val="0"/>
          </c:dLbls>
          <c:xVal>
            <c:strRef>
              <c:f>'2022_Data'!$F$443</c:f>
            </c:strRef>
          </c:xVal>
          <c:yVal>
            <c:numRef>
              <c:f>'2022_Data'!$E$443</c:f>
              <c:numCache/>
            </c:numRef>
          </c:yVal>
          <c:bubbleSize>
            <c:numRef>
              <c:f>'2022_Data'!$G$443</c:f>
            </c:numRef>
          </c:bubbleSize>
        </c:ser>
        <c:ser>
          <c:idx val="442"/>
          <c:order val="442"/>
          <c:tx>
            <c:strRef>
              <c:f>'2022_Data'!$A$444</c:f>
            </c:strRef>
          </c:tx>
          <c:dLbls>
            <c:dLblPos val="ctr"/>
            <c:showLegendKey val="0"/>
            <c:showVal val="0"/>
            <c:showCatName val="0"/>
            <c:showSerName val="1"/>
            <c:showPercent val="0"/>
            <c:showBubbleSize val="0"/>
          </c:dLbls>
          <c:xVal>
            <c:strRef>
              <c:f>'2022_Data'!$F$444</c:f>
            </c:strRef>
          </c:xVal>
          <c:yVal>
            <c:numRef>
              <c:f>'2022_Data'!$E$444</c:f>
              <c:numCache/>
            </c:numRef>
          </c:yVal>
          <c:bubbleSize>
            <c:numRef>
              <c:f>'2022_Data'!$G$444</c:f>
            </c:numRef>
          </c:bubbleSize>
        </c:ser>
        <c:ser>
          <c:idx val="443"/>
          <c:order val="443"/>
          <c:tx>
            <c:strRef>
              <c:f>'2022_Data'!$A$445</c:f>
            </c:strRef>
          </c:tx>
          <c:dLbls>
            <c:dLblPos val="ctr"/>
            <c:showLegendKey val="0"/>
            <c:showVal val="0"/>
            <c:showCatName val="0"/>
            <c:showSerName val="1"/>
            <c:showPercent val="0"/>
            <c:showBubbleSize val="0"/>
          </c:dLbls>
          <c:xVal>
            <c:strRef>
              <c:f>'2022_Data'!$F$445</c:f>
            </c:strRef>
          </c:xVal>
          <c:yVal>
            <c:numRef>
              <c:f>'2022_Data'!$E$445</c:f>
              <c:numCache/>
            </c:numRef>
          </c:yVal>
          <c:bubbleSize>
            <c:numRef>
              <c:f>'2022_Data'!$G$445</c:f>
            </c:numRef>
          </c:bubbleSize>
        </c:ser>
        <c:ser>
          <c:idx val="444"/>
          <c:order val="444"/>
          <c:tx>
            <c:strRef>
              <c:f>'2022_Data'!$A$446</c:f>
            </c:strRef>
          </c:tx>
          <c:dLbls>
            <c:dLblPos val="ctr"/>
            <c:showLegendKey val="0"/>
            <c:showVal val="0"/>
            <c:showCatName val="0"/>
            <c:showSerName val="1"/>
            <c:showPercent val="0"/>
            <c:showBubbleSize val="0"/>
          </c:dLbls>
          <c:xVal>
            <c:strRef>
              <c:f>'2022_Data'!$F$446</c:f>
            </c:strRef>
          </c:xVal>
          <c:yVal>
            <c:numRef>
              <c:f>'2022_Data'!$E$446</c:f>
              <c:numCache/>
            </c:numRef>
          </c:yVal>
          <c:bubbleSize>
            <c:numRef>
              <c:f>'2022_Data'!$G$446</c:f>
            </c:numRef>
          </c:bubbleSize>
        </c:ser>
        <c:ser>
          <c:idx val="445"/>
          <c:order val="445"/>
          <c:tx>
            <c:strRef>
              <c:f>'2022_Data'!$A$447</c:f>
            </c:strRef>
          </c:tx>
          <c:dLbls>
            <c:dLblPos val="ctr"/>
            <c:showLegendKey val="0"/>
            <c:showVal val="0"/>
            <c:showCatName val="0"/>
            <c:showSerName val="1"/>
            <c:showPercent val="0"/>
            <c:showBubbleSize val="0"/>
          </c:dLbls>
          <c:xVal>
            <c:strRef>
              <c:f>'2022_Data'!$F$447</c:f>
            </c:strRef>
          </c:xVal>
          <c:yVal>
            <c:numRef>
              <c:f>'2022_Data'!$E$447</c:f>
              <c:numCache/>
            </c:numRef>
          </c:yVal>
          <c:bubbleSize>
            <c:numRef>
              <c:f>'2022_Data'!$G$447</c:f>
            </c:numRef>
          </c:bubbleSize>
        </c:ser>
        <c:ser>
          <c:idx val="446"/>
          <c:order val="446"/>
          <c:tx>
            <c:strRef>
              <c:f>'2022_Data'!$A$448</c:f>
            </c:strRef>
          </c:tx>
          <c:dLbls>
            <c:dLblPos val="ctr"/>
            <c:showLegendKey val="0"/>
            <c:showVal val="0"/>
            <c:showCatName val="0"/>
            <c:showSerName val="1"/>
            <c:showPercent val="0"/>
            <c:showBubbleSize val="0"/>
          </c:dLbls>
          <c:xVal>
            <c:strRef>
              <c:f>'2022_Data'!$F$448</c:f>
            </c:strRef>
          </c:xVal>
          <c:yVal>
            <c:numRef>
              <c:f>'2022_Data'!$E$448</c:f>
              <c:numCache/>
            </c:numRef>
          </c:yVal>
          <c:bubbleSize>
            <c:numRef>
              <c:f>'2022_Data'!$G$448</c:f>
            </c:numRef>
          </c:bubbleSize>
        </c:ser>
        <c:ser>
          <c:idx val="447"/>
          <c:order val="447"/>
          <c:tx>
            <c:strRef>
              <c:f>'2022_Data'!$A$449</c:f>
            </c:strRef>
          </c:tx>
          <c:dLbls>
            <c:dLblPos val="ctr"/>
            <c:showLegendKey val="0"/>
            <c:showVal val="0"/>
            <c:showCatName val="0"/>
            <c:showSerName val="1"/>
            <c:showPercent val="0"/>
            <c:showBubbleSize val="0"/>
          </c:dLbls>
          <c:xVal>
            <c:strRef>
              <c:f>'2022_Data'!$F$449</c:f>
            </c:strRef>
          </c:xVal>
          <c:yVal>
            <c:numRef>
              <c:f>'2022_Data'!$E$449</c:f>
              <c:numCache/>
            </c:numRef>
          </c:yVal>
          <c:bubbleSize>
            <c:numRef>
              <c:f>'2022_Data'!$G$449</c:f>
            </c:numRef>
          </c:bubbleSize>
        </c:ser>
        <c:ser>
          <c:idx val="448"/>
          <c:order val="448"/>
          <c:tx>
            <c:strRef>
              <c:f>'2022_Data'!$A$450</c:f>
            </c:strRef>
          </c:tx>
          <c:dLbls>
            <c:dLblPos val="ctr"/>
            <c:showLegendKey val="0"/>
            <c:showVal val="0"/>
            <c:showCatName val="0"/>
            <c:showSerName val="1"/>
            <c:showPercent val="0"/>
            <c:showBubbleSize val="0"/>
          </c:dLbls>
          <c:xVal>
            <c:strRef>
              <c:f>'2022_Data'!$F$450</c:f>
            </c:strRef>
          </c:xVal>
          <c:yVal>
            <c:numRef>
              <c:f>'2022_Data'!$E$450</c:f>
              <c:numCache/>
            </c:numRef>
          </c:yVal>
          <c:bubbleSize>
            <c:numRef>
              <c:f>'2022_Data'!$G$450</c:f>
            </c:numRef>
          </c:bubbleSize>
        </c:ser>
        <c:ser>
          <c:idx val="449"/>
          <c:order val="449"/>
          <c:tx>
            <c:strRef>
              <c:f>'2022_Data'!$A$451</c:f>
            </c:strRef>
          </c:tx>
          <c:dLbls>
            <c:dLblPos val="ctr"/>
            <c:showLegendKey val="0"/>
            <c:showVal val="0"/>
            <c:showCatName val="0"/>
            <c:showSerName val="1"/>
            <c:showPercent val="0"/>
            <c:showBubbleSize val="0"/>
          </c:dLbls>
          <c:xVal>
            <c:strRef>
              <c:f>'2022_Data'!$F$451</c:f>
            </c:strRef>
          </c:xVal>
          <c:yVal>
            <c:numRef>
              <c:f>'2022_Data'!$E$451</c:f>
              <c:numCache/>
            </c:numRef>
          </c:yVal>
          <c:bubbleSize>
            <c:numRef>
              <c:f>'2022_Data'!$G$451</c:f>
            </c:numRef>
          </c:bubbleSize>
        </c:ser>
        <c:ser>
          <c:idx val="450"/>
          <c:order val="450"/>
          <c:tx>
            <c:strRef>
              <c:f>'2022_Data'!$A$452</c:f>
            </c:strRef>
          </c:tx>
          <c:dLbls>
            <c:dLblPos val="ctr"/>
            <c:showLegendKey val="0"/>
            <c:showVal val="0"/>
            <c:showCatName val="0"/>
            <c:showSerName val="1"/>
            <c:showPercent val="0"/>
            <c:showBubbleSize val="0"/>
          </c:dLbls>
          <c:xVal>
            <c:strRef>
              <c:f>'2022_Data'!$F$452</c:f>
            </c:strRef>
          </c:xVal>
          <c:yVal>
            <c:numRef>
              <c:f>'2022_Data'!$E$452</c:f>
              <c:numCache/>
            </c:numRef>
          </c:yVal>
          <c:bubbleSize>
            <c:numRef>
              <c:f>'2022_Data'!$G$452</c:f>
            </c:numRef>
          </c:bubbleSize>
        </c:ser>
        <c:ser>
          <c:idx val="451"/>
          <c:order val="451"/>
          <c:tx>
            <c:strRef>
              <c:f>'2022_Data'!$A$453</c:f>
            </c:strRef>
          </c:tx>
          <c:dLbls>
            <c:dLblPos val="ctr"/>
            <c:showLegendKey val="0"/>
            <c:showVal val="0"/>
            <c:showCatName val="0"/>
            <c:showSerName val="1"/>
            <c:showPercent val="0"/>
            <c:showBubbleSize val="0"/>
          </c:dLbls>
          <c:xVal>
            <c:strRef>
              <c:f>'2022_Data'!$F$453</c:f>
            </c:strRef>
          </c:xVal>
          <c:yVal>
            <c:numRef>
              <c:f>'2022_Data'!$E$453</c:f>
              <c:numCache/>
            </c:numRef>
          </c:yVal>
          <c:bubbleSize>
            <c:numRef>
              <c:f>'2022_Data'!$G$453</c:f>
            </c:numRef>
          </c:bubbleSize>
        </c:ser>
        <c:ser>
          <c:idx val="452"/>
          <c:order val="452"/>
          <c:tx>
            <c:strRef>
              <c:f>'2022_Data'!$A$454</c:f>
            </c:strRef>
          </c:tx>
          <c:dLbls>
            <c:dLblPos val="ctr"/>
            <c:showLegendKey val="0"/>
            <c:showVal val="0"/>
            <c:showCatName val="0"/>
            <c:showSerName val="1"/>
            <c:showPercent val="0"/>
            <c:showBubbleSize val="0"/>
          </c:dLbls>
          <c:xVal>
            <c:strRef>
              <c:f>'2022_Data'!$F$454</c:f>
            </c:strRef>
          </c:xVal>
          <c:yVal>
            <c:numRef>
              <c:f>'2022_Data'!$E$454</c:f>
              <c:numCache/>
            </c:numRef>
          </c:yVal>
          <c:bubbleSize>
            <c:numRef>
              <c:f>'2022_Data'!$G$454</c:f>
            </c:numRef>
          </c:bubbleSize>
        </c:ser>
        <c:ser>
          <c:idx val="453"/>
          <c:order val="453"/>
          <c:tx>
            <c:strRef>
              <c:f>'2022_Data'!$A$455</c:f>
            </c:strRef>
          </c:tx>
          <c:dLbls>
            <c:dLblPos val="ctr"/>
            <c:showLegendKey val="0"/>
            <c:showVal val="0"/>
            <c:showCatName val="0"/>
            <c:showSerName val="1"/>
            <c:showPercent val="0"/>
            <c:showBubbleSize val="0"/>
          </c:dLbls>
          <c:xVal>
            <c:strRef>
              <c:f>'2022_Data'!$F$455</c:f>
            </c:strRef>
          </c:xVal>
          <c:yVal>
            <c:numRef>
              <c:f>'2022_Data'!$E$455</c:f>
              <c:numCache/>
            </c:numRef>
          </c:yVal>
          <c:bubbleSize>
            <c:numRef>
              <c:f>'2022_Data'!$G$455</c:f>
            </c:numRef>
          </c:bubbleSize>
        </c:ser>
        <c:ser>
          <c:idx val="454"/>
          <c:order val="454"/>
          <c:tx>
            <c:strRef>
              <c:f>'2022_Data'!$A$456</c:f>
            </c:strRef>
          </c:tx>
          <c:dLbls>
            <c:dLblPos val="ctr"/>
            <c:showLegendKey val="0"/>
            <c:showVal val="0"/>
            <c:showCatName val="0"/>
            <c:showSerName val="1"/>
            <c:showPercent val="0"/>
            <c:showBubbleSize val="0"/>
          </c:dLbls>
          <c:xVal>
            <c:strRef>
              <c:f>'2022_Data'!$F$456</c:f>
            </c:strRef>
          </c:xVal>
          <c:yVal>
            <c:numRef>
              <c:f>'2022_Data'!$E$456</c:f>
              <c:numCache/>
            </c:numRef>
          </c:yVal>
          <c:bubbleSize>
            <c:numRef>
              <c:f>'2022_Data'!$G$456</c:f>
            </c:numRef>
          </c:bubbleSize>
        </c:ser>
        <c:ser>
          <c:idx val="455"/>
          <c:order val="455"/>
          <c:tx>
            <c:strRef>
              <c:f>'2022_Data'!$A$457</c:f>
            </c:strRef>
          </c:tx>
          <c:dLbls>
            <c:dLblPos val="ctr"/>
            <c:showLegendKey val="0"/>
            <c:showVal val="0"/>
            <c:showCatName val="0"/>
            <c:showSerName val="1"/>
            <c:showPercent val="0"/>
            <c:showBubbleSize val="0"/>
          </c:dLbls>
          <c:xVal>
            <c:strRef>
              <c:f>'2022_Data'!$F$457</c:f>
            </c:strRef>
          </c:xVal>
          <c:yVal>
            <c:numRef>
              <c:f>'2022_Data'!$E$457</c:f>
              <c:numCache/>
            </c:numRef>
          </c:yVal>
          <c:bubbleSize>
            <c:numRef>
              <c:f>'2022_Data'!$G$457</c:f>
            </c:numRef>
          </c:bubbleSize>
        </c:ser>
        <c:ser>
          <c:idx val="456"/>
          <c:order val="456"/>
          <c:tx>
            <c:strRef>
              <c:f>'2022_Data'!$A$458</c:f>
            </c:strRef>
          </c:tx>
          <c:dLbls>
            <c:dLblPos val="ctr"/>
            <c:showLegendKey val="0"/>
            <c:showVal val="0"/>
            <c:showCatName val="0"/>
            <c:showSerName val="1"/>
            <c:showPercent val="0"/>
            <c:showBubbleSize val="0"/>
          </c:dLbls>
          <c:xVal>
            <c:strRef>
              <c:f>'2022_Data'!$F$458</c:f>
            </c:strRef>
          </c:xVal>
          <c:yVal>
            <c:numRef>
              <c:f>'2022_Data'!$E$458</c:f>
              <c:numCache/>
            </c:numRef>
          </c:yVal>
          <c:bubbleSize>
            <c:numRef>
              <c:f>'2022_Data'!$G$458</c:f>
            </c:numRef>
          </c:bubbleSize>
        </c:ser>
        <c:ser>
          <c:idx val="457"/>
          <c:order val="457"/>
          <c:tx>
            <c:strRef>
              <c:f>'2022_Data'!$A$459</c:f>
            </c:strRef>
          </c:tx>
          <c:dLbls>
            <c:dLblPos val="ctr"/>
            <c:showLegendKey val="0"/>
            <c:showVal val="0"/>
            <c:showCatName val="0"/>
            <c:showSerName val="1"/>
            <c:showPercent val="0"/>
            <c:showBubbleSize val="0"/>
          </c:dLbls>
          <c:xVal>
            <c:strRef>
              <c:f>'2022_Data'!$F$459</c:f>
            </c:strRef>
          </c:xVal>
          <c:yVal>
            <c:numRef>
              <c:f>'2022_Data'!$E$459</c:f>
              <c:numCache/>
            </c:numRef>
          </c:yVal>
          <c:bubbleSize>
            <c:numRef>
              <c:f>'2022_Data'!$G$459</c:f>
            </c:numRef>
          </c:bubbleSize>
        </c:ser>
        <c:ser>
          <c:idx val="458"/>
          <c:order val="458"/>
          <c:tx>
            <c:strRef>
              <c:f>'2022_Data'!$A$460</c:f>
            </c:strRef>
          </c:tx>
          <c:dLbls>
            <c:dLblPos val="ctr"/>
            <c:showLegendKey val="0"/>
            <c:showVal val="0"/>
            <c:showCatName val="0"/>
            <c:showSerName val="1"/>
            <c:showPercent val="0"/>
            <c:showBubbleSize val="0"/>
          </c:dLbls>
          <c:xVal>
            <c:strRef>
              <c:f>'2022_Data'!$F$460</c:f>
            </c:strRef>
          </c:xVal>
          <c:yVal>
            <c:numRef>
              <c:f>'2022_Data'!$E$460</c:f>
              <c:numCache/>
            </c:numRef>
          </c:yVal>
          <c:bubbleSize>
            <c:numRef>
              <c:f>'2022_Data'!$G$460</c:f>
            </c:numRef>
          </c:bubbleSize>
        </c:ser>
        <c:ser>
          <c:idx val="459"/>
          <c:order val="459"/>
          <c:tx>
            <c:strRef>
              <c:f>'2022_Data'!$A$461</c:f>
            </c:strRef>
          </c:tx>
          <c:dLbls>
            <c:dLblPos val="ctr"/>
            <c:showLegendKey val="0"/>
            <c:showVal val="0"/>
            <c:showCatName val="0"/>
            <c:showSerName val="1"/>
            <c:showPercent val="0"/>
            <c:showBubbleSize val="0"/>
          </c:dLbls>
          <c:xVal>
            <c:strRef>
              <c:f>'2022_Data'!$F$461</c:f>
            </c:strRef>
          </c:xVal>
          <c:yVal>
            <c:numRef>
              <c:f>'2022_Data'!$E$461</c:f>
              <c:numCache/>
            </c:numRef>
          </c:yVal>
          <c:bubbleSize>
            <c:numRef>
              <c:f>'2022_Data'!$G$461</c:f>
            </c:numRef>
          </c:bubbleSize>
        </c:ser>
        <c:ser>
          <c:idx val="460"/>
          <c:order val="460"/>
          <c:tx>
            <c:strRef>
              <c:f>'2022_Data'!$A$462</c:f>
            </c:strRef>
          </c:tx>
          <c:dLbls>
            <c:dLblPos val="ctr"/>
            <c:showLegendKey val="0"/>
            <c:showVal val="0"/>
            <c:showCatName val="0"/>
            <c:showSerName val="1"/>
            <c:showPercent val="0"/>
            <c:showBubbleSize val="0"/>
          </c:dLbls>
          <c:xVal>
            <c:strRef>
              <c:f>'2022_Data'!$F$462</c:f>
            </c:strRef>
          </c:xVal>
          <c:yVal>
            <c:numRef>
              <c:f>'2022_Data'!$E$462</c:f>
              <c:numCache/>
            </c:numRef>
          </c:yVal>
          <c:bubbleSize>
            <c:numRef>
              <c:f>'2022_Data'!$G$462</c:f>
            </c:numRef>
          </c:bubbleSize>
        </c:ser>
        <c:ser>
          <c:idx val="461"/>
          <c:order val="461"/>
          <c:tx>
            <c:strRef>
              <c:f>'2022_Data'!$A$463</c:f>
            </c:strRef>
          </c:tx>
          <c:dLbls>
            <c:dLblPos val="ctr"/>
            <c:showLegendKey val="0"/>
            <c:showVal val="0"/>
            <c:showCatName val="0"/>
            <c:showSerName val="1"/>
            <c:showPercent val="0"/>
            <c:showBubbleSize val="0"/>
          </c:dLbls>
          <c:xVal>
            <c:strRef>
              <c:f>'2022_Data'!$F$463</c:f>
            </c:strRef>
          </c:xVal>
          <c:yVal>
            <c:numRef>
              <c:f>'2022_Data'!$E$463</c:f>
              <c:numCache/>
            </c:numRef>
          </c:yVal>
          <c:bubbleSize>
            <c:numRef>
              <c:f>'2022_Data'!$G$463</c:f>
            </c:numRef>
          </c:bubbleSize>
        </c:ser>
        <c:ser>
          <c:idx val="462"/>
          <c:order val="462"/>
          <c:tx>
            <c:strRef>
              <c:f>'2022_Data'!$A$464</c:f>
            </c:strRef>
          </c:tx>
          <c:dLbls>
            <c:dLblPos val="ctr"/>
            <c:showLegendKey val="0"/>
            <c:showVal val="0"/>
            <c:showCatName val="0"/>
            <c:showSerName val="1"/>
            <c:showPercent val="0"/>
            <c:showBubbleSize val="0"/>
          </c:dLbls>
          <c:xVal>
            <c:strRef>
              <c:f>'2022_Data'!$F$464</c:f>
            </c:strRef>
          </c:xVal>
          <c:yVal>
            <c:numRef>
              <c:f>'2022_Data'!$E$464</c:f>
              <c:numCache/>
            </c:numRef>
          </c:yVal>
          <c:bubbleSize>
            <c:numRef>
              <c:f>'2022_Data'!$G$464</c:f>
            </c:numRef>
          </c:bubbleSize>
        </c:ser>
        <c:ser>
          <c:idx val="463"/>
          <c:order val="463"/>
          <c:tx>
            <c:strRef>
              <c:f>'2022_Data'!$A$465</c:f>
            </c:strRef>
          </c:tx>
          <c:dLbls>
            <c:dLblPos val="ctr"/>
            <c:showLegendKey val="0"/>
            <c:showVal val="0"/>
            <c:showCatName val="0"/>
            <c:showSerName val="1"/>
            <c:showPercent val="0"/>
            <c:showBubbleSize val="0"/>
          </c:dLbls>
          <c:xVal>
            <c:strRef>
              <c:f>'2022_Data'!$F$465</c:f>
            </c:strRef>
          </c:xVal>
          <c:yVal>
            <c:numRef>
              <c:f>'2022_Data'!$E$465</c:f>
              <c:numCache/>
            </c:numRef>
          </c:yVal>
          <c:bubbleSize>
            <c:numRef>
              <c:f>'2022_Data'!$G$465</c:f>
            </c:numRef>
          </c:bubbleSize>
        </c:ser>
        <c:ser>
          <c:idx val="464"/>
          <c:order val="464"/>
          <c:tx>
            <c:strRef>
              <c:f>'2022_Data'!$A$466</c:f>
            </c:strRef>
          </c:tx>
          <c:dLbls>
            <c:dLblPos val="ctr"/>
            <c:showLegendKey val="0"/>
            <c:showVal val="0"/>
            <c:showCatName val="0"/>
            <c:showSerName val="1"/>
            <c:showPercent val="0"/>
            <c:showBubbleSize val="0"/>
          </c:dLbls>
          <c:xVal>
            <c:strRef>
              <c:f>'2022_Data'!$F$466</c:f>
            </c:strRef>
          </c:xVal>
          <c:yVal>
            <c:numRef>
              <c:f>'2022_Data'!$E$466</c:f>
              <c:numCache/>
            </c:numRef>
          </c:yVal>
          <c:bubbleSize>
            <c:numRef>
              <c:f>'2022_Data'!$G$466</c:f>
            </c:numRef>
          </c:bubbleSize>
        </c:ser>
        <c:ser>
          <c:idx val="465"/>
          <c:order val="465"/>
          <c:tx>
            <c:strRef>
              <c:f>'2022_Data'!$A$467</c:f>
            </c:strRef>
          </c:tx>
          <c:dLbls>
            <c:dLblPos val="ctr"/>
            <c:showLegendKey val="0"/>
            <c:showVal val="0"/>
            <c:showCatName val="0"/>
            <c:showSerName val="1"/>
            <c:showPercent val="0"/>
            <c:showBubbleSize val="0"/>
          </c:dLbls>
          <c:xVal>
            <c:strRef>
              <c:f>'2022_Data'!$F$467</c:f>
            </c:strRef>
          </c:xVal>
          <c:yVal>
            <c:numRef>
              <c:f>'2022_Data'!$E$467</c:f>
              <c:numCache/>
            </c:numRef>
          </c:yVal>
          <c:bubbleSize>
            <c:numRef>
              <c:f>'2022_Data'!$G$467</c:f>
            </c:numRef>
          </c:bubbleSize>
        </c:ser>
        <c:ser>
          <c:idx val="466"/>
          <c:order val="466"/>
          <c:tx>
            <c:strRef>
              <c:f>'2022_Data'!$A$468</c:f>
            </c:strRef>
          </c:tx>
          <c:dLbls>
            <c:dLblPos val="ctr"/>
            <c:showLegendKey val="0"/>
            <c:showVal val="0"/>
            <c:showCatName val="0"/>
            <c:showSerName val="1"/>
            <c:showPercent val="0"/>
            <c:showBubbleSize val="0"/>
          </c:dLbls>
          <c:xVal>
            <c:strRef>
              <c:f>'2022_Data'!$F$468</c:f>
            </c:strRef>
          </c:xVal>
          <c:yVal>
            <c:numRef>
              <c:f>'2022_Data'!$E$468</c:f>
              <c:numCache/>
            </c:numRef>
          </c:yVal>
          <c:bubbleSize>
            <c:numRef>
              <c:f>'2022_Data'!$G$468</c:f>
            </c:numRef>
          </c:bubbleSize>
        </c:ser>
        <c:ser>
          <c:idx val="467"/>
          <c:order val="467"/>
          <c:tx>
            <c:strRef>
              <c:f>'2022_Data'!$A$469</c:f>
            </c:strRef>
          </c:tx>
          <c:dLbls>
            <c:dLblPos val="ctr"/>
            <c:showLegendKey val="0"/>
            <c:showVal val="0"/>
            <c:showCatName val="0"/>
            <c:showSerName val="1"/>
            <c:showPercent val="0"/>
            <c:showBubbleSize val="0"/>
          </c:dLbls>
          <c:xVal>
            <c:strRef>
              <c:f>'2022_Data'!$F$469</c:f>
            </c:strRef>
          </c:xVal>
          <c:yVal>
            <c:numRef>
              <c:f>'2022_Data'!$E$469</c:f>
              <c:numCache/>
            </c:numRef>
          </c:yVal>
          <c:bubbleSize>
            <c:numRef>
              <c:f>'2022_Data'!$G$469</c:f>
            </c:numRef>
          </c:bubbleSize>
        </c:ser>
        <c:ser>
          <c:idx val="468"/>
          <c:order val="468"/>
          <c:tx>
            <c:strRef>
              <c:f>'2022_Data'!$A$470</c:f>
            </c:strRef>
          </c:tx>
          <c:dLbls>
            <c:dLblPos val="ctr"/>
            <c:showLegendKey val="0"/>
            <c:showVal val="0"/>
            <c:showCatName val="0"/>
            <c:showSerName val="1"/>
            <c:showPercent val="0"/>
            <c:showBubbleSize val="0"/>
          </c:dLbls>
          <c:xVal>
            <c:strRef>
              <c:f>'2022_Data'!$F$470</c:f>
            </c:strRef>
          </c:xVal>
          <c:yVal>
            <c:numRef>
              <c:f>'2022_Data'!$E$470</c:f>
              <c:numCache/>
            </c:numRef>
          </c:yVal>
          <c:bubbleSize>
            <c:numRef>
              <c:f>'2022_Data'!$G$470</c:f>
            </c:numRef>
          </c:bubbleSize>
        </c:ser>
        <c:ser>
          <c:idx val="469"/>
          <c:order val="469"/>
          <c:tx>
            <c:strRef>
              <c:f>'2022_Data'!$A$471</c:f>
            </c:strRef>
          </c:tx>
          <c:dLbls>
            <c:dLblPos val="ctr"/>
            <c:showLegendKey val="0"/>
            <c:showVal val="0"/>
            <c:showCatName val="0"/>
            <c:showSerName val="1"/>
            <c:showPercent val="0"/>
            <c:showBubbleSize val="0"/>
          </c:dLbls>
          <c:xVal>
            <c:strRef>
              <c:f>'2022_Data'!$F$471</c:f>
            </c:strRef>
          </c:xVal>
          <c:yVal>
            <c:numRef>
              <c:f>'2022_Data'!$E$471</c:f>
              <c:numCache/>
            </c:numRef>
          </c:yVal>
          <c:bubbleSize>
            <c:numRef>
              <c:f>'2022_Data'!$G$471</c:f>
            </c:numRef>
          </c:bubbleSize>
        </c:ser>
        <c:ser>
          <c:idx val="470"/>
          <c:order val="470"/>
          <c:tx>
            <c:strRef>
              <c:f>'2022_Data'!$A$472</c:f>
            </c:strRef>
          </c:tx>
          <c:dLbls>
            <c:dLblPos val="ctr"/>
            <c:showLegendKey val="0"/>
            <c:showVal val="0"/>
            <c:showCatName val="0"/>
            <c:showSerName val="1"/>
            <c:showPercent val="0"/>
            <c:showBubbleSize val="0"/>
          </c:dLbls>
          <c:xVal>
            <c:strRef>
              <c:f>'2022_Data'!$F$472</c:f>
            </c:strRef>
          </c:xVal>
          <c:yVal>
            <c:numRef>
              <c:f>'2022_Data'!$E$472</c:f>
              <c:numCache/>
            </c:numRef>
          </c:yVal>
          <c:bubbleSize>
            <c:numRef>
              <c:f>'2022_Data'!$G$472</c:f>
            </c:numRef>
          </c:bubbleSize>
        </c:ser>
        <c:ser>
          <c:idx val="471"/>
          <c:order val="471"/>
          <c:tx>
            <c:strRef>
              <c:f>'2022_Data'!$A$473</c:f>
            </c:strRef>
          </c:tx>
          <c:dLbls>
            <c:dLblPos val="ctr"/>
            <c:showLegendKey val="0"/>
            <c:showVal val="0"/>
            <c:showCatName val="0"/>
            <c:showSerName val="1"/>
            <c:showPercent val="0"/>
            <c:showBubbleSize val="0"/>
          </c:dLbls>
          <c:xVal>
            <c:strRef>
              <c:f>'2022_Data'!$F$473</c:f>
            </c:strRef>
          </c:xVal>
          <c:yVal>
            <c:numRef>
              <c:f>'2022_Data'!$E$473</c:f>
              <c:numCache/>
            </c:numRef>
          </c:yVal>
          <c:bubbleSize>
            <c:numRef>
              <c:f>'2022_Data'!$G$473</c:f>
            </c:numRef>
          </c:bubbleSize>
        </c:ser>
        <c:ser>
          <c:idx val="472"/>
          <c:order val="472"/>
          <c:tx>
            <c:strRef>
              <c:f>'2022_Data'!$A$474</c:f>
            </c:strRef>
          </c:tx>
          <c:dLbls>
            <c:dLblPos val="ctr"/>
            <c:showLegendKey val="0"/>
            <c:showVal val="0"/>
            <c:showCatName val="0"/>
            <c:showSerName val="1"/>
            <c:showPercent val="0"/>
            <c:showBubbleSize val="0"/>
          </c:dLbls>
          <c:xVal>
            <c:strRef>
              <c:f>'2022_Data'!$F$474</c:f>
            </c:strRef>
          </c:xVal>
          <c:yVal>
            <c:numRef>
              <c:f>'2022_Data'!$E$474</c:f>
              <c:numCache/>
            </c:numRef>
          </c:yVal>
          <c:bubbleSize>
            <c:numRef>
              <c:f>'2022_Data'!$G$474</c:f>
            </c:numRef>
          </c:bubbleSize>
        </c:ser>
        <c:ser>
          <c:idx val="473"/>
          <c:order val="473"/>
          <c:tx>
            <c:strRef>
              <c:f>'2022_Data'!$A$475</c:f>
            </c:strRef>
          </c:tx>
          <c:dLbls>
            <c:dLblPos val="ctr"/>
            <c:showLegendKey val="0"/>
            <c:showVal val="0"/>
            <c:showCatName val="0"/>
            <c:showSerName val="1"/>
            <c:showPercent val="0"/>
            <c:showBubbleSize val="0"/>
          </c:dLbls>
          <c:xVal>
            <c:strRef>
              <c:f>'2022_Data'!$F$475</c:f>
            </c:strRef>
          </c:xVal>
          <c:yVal>
            <c:numRef>
              <c:f>'2022_Data'!$E$475</c:f>
              <c:numCache/>
            </c:numRef>
          </c:yVal>
          <c:bubbleSize>
            <c:numRef>
              <c:f>'2022_Data'!$G$475</c:f>
            </c:numRef>
          </c:bubbleSize>
        </c:ser>
        <c:ser>
          <c:idx val="474"/>
          <c:order val="474"/>
          <c:tx>
            <c:strRef>
              <c:f>'2022_Data'!$A$476</c:f>
            </c:strRef>
          </c:tx>
          <c:dLbls>
            <c:dLblPos val="ctr"/>
            <c:showLegendKey val="0"/>
            <c:showVal val="0"/>
            <c:showCatName val="0"/>
            <c:showSerName val="1"/>
            <c:showPercent val="0"/>
            <c:showBubbleSize val="0"/>
          </c:dLbls>
          <c:xVal>
            <c:strRef>
              <c:f>'2022_Data'!$F$476</c:f>
            </c:strRef>
          </c:xVal>
          <c:yVal>
            <c:numRef>
              <c:f>'2022_Data'!$E$476</c:f>
              <c:numCache/>
            </c:numRef>
          </c:yVal>
          <c:bubbleSize>
            <c:numRef>
              <c:f>'2022_Data'!$G$476</c:f>
            </c:numRef>
          </c:bubbleSize>
        </c:ser>
        <c:ser>
          <c:idx val="475"/>
          <c:order val="475"/>
          <c:tx>
            <c:strRef>
              <c:f>'2022_Data'!$A$477</c:f>
            </c:strRef>
          </c:tx>
          <c:dLbls>
            <c:dLblPos val="ctr"/>
            <c:showLegendKey val="0"/>
            <c:showVal val="0"/>
            <c:showCatName val="0"/>
            <c:showSerName val="1"/>
            <c:showPercent val="0"/>
            <c:showBubbleSize val="0"/>
          </c:dLbls>
          <c:xVal>
            <c:strRef>
              <c:f>'2022_Data'!$F$477</c:f>
            </c:strRef>
          </c:xVal>
          <c:yVal>
            <c:numRef>
              <c:f>'2022_Data'!$E$477</c:f>
              <c:numCache/>
            </c:numRef>
          </c:yVal>
          <c:bubbleSize>
            <c:numRef>
              <c:f>'2022_Data'!$G$477</c:f>
            </c:numRef>
          </c:bubbleSize>
        </c:ser>
        <c:ser>
          <c:idx val="476"/>
          <c:order val="476"/>
          <c:tx>
            <c:strRef>
              <c:f>'2022_Data'!$A$478</c:f>
            </c:strRef>
          </c:tx>
          <c:dLbls>
            <c:dLblPos val="ctr"/>
            <c:showLegendKey val="0"/>
            <c:showVal val="0"/>
            <c:showCatName val="0"/>
            <c:showSerName val="1"/>
            <c:showPercent val="0"/>
            <c:showBubbleSize val="0"/>
          </c:dLbls>
          <c:xVal>
            <c:strRef>
              <c:f>'2022_Data'!$F$478</c:f>
            </c:strRef>
          </c:xVal>
          <c:yVal>
            <c:numRef>
              <c:f>'2022_Data'!$E$478</c:f>
              <c:numCache/>
            </c:numRef>
          </c:yVal>
          <c:bubbleSize>
            <c:numRef>
              <c:f>'2022_Data'!$G$478</c:f>
            </c:numRef>
          </c:bubbleSize>
        </c:ser>
        <c:ser>
          <c:idx val="477"/>
          <c:order val="477"/>
          <c:tx>
            <c:strRef>
              <c:f>'2022_Data'!$A$479</c:f>
            </c:strRef>
          </c:tx>
          <c:dLbls>
            <c:dLblPos val="ctr"/>
            <c:showLegendKey val="0"/>
            <c:showVal val="0"/>
            <c:showCatName val="0"/>
            <c:showSerName val="1"/>
            <c:showPercent val="0"/>
            <c:showBubbleSize val="0"/>
          </c:dLbls>
          <c:xVal>
            <c:strRef>
              <c:f>'2022_Data'!$F$479</c:f>
            </c:strRef>
          </c:xVal>
          <c:yVal>
            <c:numRef>
              <c:f>'2022_Data'!$E$479</c:f>
              <c:numCache/>
            </c:numRef>
          </c:yVal>
          <c:bubbleSize>
            <c:numRef>
              <c:f>'2022_Data'!$G$479</c:f>
            </c:numRef>
          </c:bubbleSize>
        </c:ser>
        <c:ser>
          <c:idx val="478"/>
          <c:order val="478"/>
          <c:tx>
            <c:strRef>
              <c:f>'2022_Data'!$A$480</c:f>
            </c:strRef>
          </c:tx>
          <c:dLbls>
            <c:dLblPos val="ctr"/>
            <c:showLegendKey val="0"/>
            <c:showVal val="0"/>
            <c:showCatName val="0"/>
            <c:showSerName val="1"/>
            <c:showPercent val="0"/>
            <c:showBubbleSize val="0"/>
          </c:dLbls>
          <c:xVal>
            <c:strRef>
              <c:f>'2022_Data'!$F$480</c:f>
            </c:strRef>
          </c:xVal>
          <c:yVal>
            <c:numRef>
              <c:f>'2022_Data'!$E$480</c:f>
              <c:numCache/>
            </c:numRef>
          </c:yVal>
          <c:bubbleSize>
            <c:numRef>
              <c:f>'2022_Data'!$G$480</c:f>
            </c:numRef>
          </c:bubbleSize>
        </c:ser>
        <c:ser>
          <c:idx val="479"/>
          <c:order val="479"/>
          <c:tx>
            <c:strRef>
              <c:f>'2022_Data'!$A$481</c:f>
            </c:strRef>
          </c:tx>
          <c:dLbls>
            <c:dLblPos val="ctr"/>
            <c:showLegendKey val="0"/>
            <c:showVal val="0"/>
            <c:showCatName val="0"/>
            <c:showSerName val="1"/>
            <c:showPercent val="0"/>
            <c:showBubbleSize val="0"/>
          </c:dLbls>
          <c:xVal>
            <c:strRef>
              <c:f>'2022_Data'!$F$481</c:f>
            </c:strRef>
          </c:xVal>
          <c:yVal>
            <c:numRef>
              <c:f>'2022_Data'!$E$481</c:f>
              <c:numCache/>
            </c:numRef>
          </c:yVal>
          <c:bubbleSize>
            <c:numRef>
              <c:f>'2022_Data'!$G$481</c:f>
            </c:numRef>
          </c:bubbleSize>
        </c:ser>
        <c:ser>
          <c:idx val="480"/>
          <c:order val="480"/>
          <c:tx>
            <c:strRef>
              <c:f>'2022_Data'!$A$482</c:f>
            </c:strRef>
          </c:tx>
          <c:dLbls>
            <c:dLblPos val="ctr"/>
            <c:showLegendKey val="0"/>
            <c:showVal val="0"/>
            <c:showCatName val="0"/>
            <c:showSerName val="1"/>
            <c:showPercent val="0"/>
            <c:showBubbleSize val="0"/>
          </c:dLbls>
          <c:xVal>
            <c:strRef>
              <c:f>'2022_Data'!$F$482</c:f>
            </c:strRef>
          </c:xVal>
          <c:yVal>
            <c:numRef>
              <c:f>'2022_Data'!$E$482</c:f>
              <c:numCache/>
            </c:numRef>
          </c:yVal>
          <c:bubbleSize>
            <c:numRef>
              <c:f>'2022_Data'!$G$482</c:f>
            </c:numRef>
          </c:bubbleSize>
        </c:ser>
        <c:ser>
          <c:idx val="481"/>
          <c:order val="481"/>
          <c:tx>
            <c:strRef>
              <c:f>'2022_Data'!$A$483</c:f>
            </c:strRef>
          </c:tx>
          <c:dLbls>
            <c:dLblPos val="ctr"/>
            <c:showLegendKey val="0"/>
            <c:showVal val="0"/>
            <c:showCatName val="0"/>
            <c:showSerName val="1"/>
            <c:showPercent val="0"/>
            <c:showBubbleSize val="0"/>
          </c:dLbls>
          <c:xVal>
            <c:strRef>
              <c:f>'2022_Data'!$F$483</c:f>
            </c:strRef>
          </c:xVal>
          <c:yVal>
            <c:numRef>
              <c:f>'2022_Data'!$E$483</c:f>
              <c:numCache/>
            </c:numRef>
          </c:yVal>
          <c:bubbleSize>
            <c:numRef>
              <c:f>'2022_Data'!$G$483</c:f>
            </c:numRef>
          </c:bubbleSize>
        </c:ser>
        <c:ser>
          <c:idx val="482"/>
          <c:order val="482"/>
          <c:tx>
            <c:strRef>
              <c:f>'2022_Data'!$A$484</c:f>
            </c:strRef>
          </c:tx>
          <c:dLbls>
            <c:dLblPos val="ctr"/>
            <c:showLegendKey val="0"/>
            <c:showVal val="0"/>
            <c:showCatName val="0"/>
            <c:showSerName val="1"/>
            <c:showPercent val="0"/>
            <c:showBubbleSize val="0"/>
          </c:dLbls>
          <c:xVal>
            <c:strRef>
              <c:f>'2022_Data'!$F$484</c:f>
            </c:strRef>
          </c:xVal>
          <c:yVal>
            <c:numRef>
              <c:f>'2022_Data'!$E$484</c:f>
              <c:numCache/>
            </c:numRef>
          </c:yVal>
          <c:bubbleSize>
            <c:numRef>
              <c:f>'2022_Data'!$G$484</c:f>
            </c:numRef>
          </c:bubbleSize>
        </c:ser>
        <c:ser>
          <c:idx val="483"/>
          <c:order val="483"/>
          <c:tx>
            <c:strRef>
              <c:f>'2022_Data'!$A$485</c:f>
            </c:strRef>
          </c:tx>
          <c:dLbls>
            <c:dLblPos val="ctr"/>
            <c:showLegendKey val="0"/>
            <c:showVal val="0"/>
            <c:showCatName val="0"/>
            <c:showSerName val="1"/>
            <c:showPercent val="0"/>
            <c:showBubbleSize val="0"/>
          </c:dLbls>
          <c:xVal>
            <c:strRef>
              <c:f>'2022_Data'!$F$485</c:f>
            </c:strRef>
          </c:xVal>
          <c:yVal>
            <c:numRef>
              <c:f>'2022_Data'!$E$485</c:f>
              <c:numCache/>
            </c:numRef>
          </c:yVal>
          <c:bubbleSize>
            <c:numRef>
              <c:f>'2022_Data'!$G$485</c:f>
            </c:numRef>
          </c:bubbleSize>
        </c:ser>
        <c:ser>
          <c:idx val="484"/>
          <c:order val="484"/>
          <c:tx>
            <c:strRef>
              <c:f>'2022_Data'!$A$486</c:f>
            </c:strRef>
          </c:tx>
          <c:dLbls>
            <c:dLblPos val="ctr"/>
            <c:showLegendKey val="0"/>
            <c:showVal val="0"/>
            <c:showCatName val="0"/>
            <c:showSerName val="1"/>
            <c:showPercent val="0"/>
            <c:showBubbleSize val="0"/>
          </c:dLbls>
          <c:xVal>
            <c:strRef>
              <c:f>'2022_Data'!$F$486</c:f>
            </c:strRef>
          </c:xVal>
          <c:yVal>
            <c:numRef>
              <c:f>'2022_Data'!$E$486</c:f>
              <c:numCache/>
            </c:numRef>
          </c:yVal>
          <c:bubbleSize>
            <c:numRef>
              <c:f>'2022_Data'!$G$486</c:f>
            </c:numRef>
          </c:bubbleSize>
        </c:ser>
        <c:ser>
          <c:idx val="485"/>
          <c:order val="485"/>
          <c:tx>
            <c:strRef>
              <c:f>'2022_Data'!$A$487</c:f>
            </c:strRef>
          </c:tx>
          <c:dLbls>
            <c:dLblPos val="ctr"/>
            <c:showLegendKey val="0"/>
            <c:showVal val="0"/>
            <c:showCatName val="0"/>
            <c:showSerName val="1"/>
            <c:showPercent val="0"/>
            <c:showBubbleSize val="0"/>
          </c:dLbls>
          <c:xVal>
            <c:strRef>
              <c:f>'2022_Data'!$F$487</c:f>
            </c:strRef>
          </c:xVal>
          <c:yVal>
            <c:numRef>
              <c:f>'2022_Data'!$E$487</c:f>
              <c:numCache/>
            </c:numRef>
          </c:yVal>
          <c:bubbleSize>
            <c:numRef>
              <c:f>'2022_Data'!$G$487</c:f>
            </c:numRef>
          </c:bubbleSize>
        </c:ser>
        <c:ser>
          <c:idx val="486"/>
          <c:order val="486"/>
          <c:tx>
            <c:strRef>
              <c:f>'2022_Data'!$A$488</c:f>
            </c:strRef>
          </c:tx>
          <c:dLbls>
            <c:dLblPos val="ctr"/>
            <c:showLegendKey val="0"/>
            <c:showVal val="0"/>
            <c:showCatName val="0"/>
            <c:showSerName val="1"/>
            <c:showPercent val="0"/>
            <c:showBubbleSize val="0"/>
          </c:dLbls>
          <c:xVal>
            <c:strRef>
              <c:f>'2022_Data'!$F$488</c:f>
            </c:strRef>
          </c:xVal>
          <c:yVal>
            <c:numRef>
              <c:f>'2022_Data'!$E$488</c:f>
              <c:numCache/>
            </c:numRef>
          </c:yVal>
          <c:bubbleSize>
            <c:numRef>
              <c:f>'2022_Data'!$G$488</c:f>
            </c:numRef>
          </c:bubbleSize>
        </c:ser>
        <c:ser>
          <c:idx val="487"/>
          <c:order val="487"/>
          <c:tx>
            <c:strRef>
              <c:f>'2022_Data'!$A$489</c:f>
            </c:strRef>
          </c:tx>
          <c:dLbls>
            <c:dLblPos val="ctr"/>
            <c:showLegendKey val="0"/>
            <c:showVal val="0"/>
            <c:showCatName val="0"/>
            <c:showSerName val="1"/>
            <c:showPercent val="0"/>
            <c:showBubbleSize val="0"/>
          </c:dLbls>
          <c:xVal>
            <c:strRef>
              <c:f>'2022_Data'!$F$489</c:f>
            </c:strRef>
          </c:xVal>
          <c:yVal>
            <c:numRef>
              <c:f>'2022_Data'!$E$489</c:f>
              <c:numCache/>
            </c:numRef>
          </c:yVal>
          <c:bubbleSize>
            <c:numRef>
              <c:f>'2022_Data'!$G$489</c:f>
            </c:numRef>
          </c:bubbleSize>
        </c:ser>
        <c:ser>
          <c:idx val="488"/>
          <c:order val="488"/>
          <c:tx>
            <c:strRef>
              <c:f>'2022_Data'!$A$490</c:f>
            </c:strRef>
          </c:tx>
          <c:dLbls>
            <c:dLblPos val="ctr"/>
            <c:showLegendKey val="0"/>
            <c:showVal val="0"/>
            <c:showCatName val="0"/>
            <c:showSerName val="1"/>
            <c:showPercent val="0"/>
            <c:showBubbleSize val="0"/>
          </c:dLbls>
          <c:xVal>
            <c:strRef>
              <c:f>'2022_Data'!$F$490</c:f>
            </c:strRef>
          </c:xVal>
          <c:yVal>
            <c:numRef>
              <c:f>'2022_Data'!$E$490</c:f>
              <c:numCache/>
            </c:numRef>
          </c:yVal>
          <c:bubbleSize>
            <c:numRef>
              <c:f>'2022_Data'!$G$490</c:f>
            </c:numRef>
          </c:bubbleSize>
        </c:ser>
        <c:ser>
          <c:idx val="489"/>
          <c:order val="489"/>
          <c:tx>
            <c:strRef>
              <c:f>'2022_Data'!$A$491</c:f>
            </c:strRef>
          </c:tx>
          <c:dLbls>
            <c:dLblPos val="ctr"/>
            <c:showLegendKey val="0"/>
            <c:showVal val="0"/>
            <c:showCatName val="0"/>
            <c:showSerName val="1"/>
            <c:showPercent val="0"/>
            <c:showBubbleSize val="0"/>
          </c:dLbls>
          <c:xVal>
            <c:strRef>
              <c:f>'2022_Data'!$F$491</c:f>
            </c:strRef>
          </c:xVal>
          <c:yVal>
            <c:numRef>
              <c:f>'2022_Data'!$E$491</c:f>
              <c:numCache/>
            </c:numRef>
          </c:yVal>
          <c:bubbleSize>
            <c:numRef>
              <c:f>'2022_Data'!$G$491</c:f>
            </c:numRef>
          </c:bubbleSize>
        </c:ser>
        <c:ser>
          <c:idx val="490"/>
          <c:order val="490"/>
          <c:tx>
            <c:strRef>
              <c:f>'2022_Data'!$A$492</c:f>
            </c:strRef>
          </c:tx>
          <c:dLbls>
            <c:dLblPos val="ctr"/>
            <c:showLegendKey val="0"/>
            <c:showVal val="0"/>
            <c:showCatName val="0"/>
            <c:showSerName val="1"/>
            <c:showPercent val="0"/>
            <c:showBubbleSize val="0"/>
          </c:dLbls>
          <c:xVal>
            <c:strRef>
              <c:f>'2022_Data'!$F$492</c:f>
            </c:strRef>
          </c:xVal>
          <c:yVal>
            <c:numRef>
              <c:f>'2022_Data'!$E$492</c:f>
              <c:numCache/>
            </c:numRef>
          </c:yVal>
          <c:bubbleSize>
            <c:numRef>
              <c:f>'2022_Data'!$G$492</c:f>
            </c:numRef>
          </c:bubbleSize>
        </c:ser>
        <c:ser>
          <c:idx val="491"/>
          <c:order val="491"/>
          <c:tx>
            <c:strRef>
              <c:f>'2022_Data'!$A$493</c:f>
            </c:strRef>
          </c:tx>
          <c:dLbls>
            <c:dLblPos val="ctr"/>
            <c:showLegendKey val="0"/>
            <c:showVal val="0"/>
            <c:showCatName val="0"/>
            <c:showSerName val="1"/>
            <c:showPercent val="0"/>
            <c:showBubbleSize val="0"/>
          </c:dLbls>
          <c:xVal>
            <c:strRef>
              <c:f>'2022_Data'!$F$493</c:f>
            </c:strRef>
          </c:xVal>
          <c:yVal>
            <c:numRef>
              <c:f>'2022_Data'!$E$493</c:f>
              <c:numCache/>
            </c:numRef>
          </c:yVal>
          <c:bubbleSize>
            <c:numRef>
              <c:f>'2022_Data'!$G$493</c:f>
            </c:numRef>
          </c:bubbleSize>
        </c:ser>
        <c:ser>
          <c:idx val="492"/>
          <c:order val="492"/>
          <c:tx>
            <c:strRef>
              <c:f>'2022_Data'!$A$494</c:f>
            </c:strRef>
          </c:tx>
          <c:dLbls>
            <c:dLblPos val="ctr"/>
            <c:showLegendKey val="0"/>
            <c:showVal val="0"/>
            <c:showCatName val="0"/>
            <c:showSerName val="1"/>
            <c:showPercent val="0"/>
            <c:showBubbleSize val="0"/>
          </c:dLbls>
          <c:xVal>
            <c:strRef>
              <c:f>'2022_Data'!$F$494</c:f>
            </c:strRef>
          </c:xVal>
          <c:yVal>
            <c:numRef>
              <c:f>'2022_Data'!$E$494</c:f>
              <c:numCache/>
            </c:numRef>
          </c:yVal>
          <c:bubbleSize>
            <c:numRef>
              <c:f>'2022_Data'!$G$494</c:f>
            </c:numRef>
          </c:bubbleSize>
        </c:ser>
        <c:ser>
          <c:idx val="493"/>
          <c:order val="493"/>
          <c:tx>
            <c:strRef>
              <c:f>'2022_Data'!$A$495</c:f>
            </c:strRef>
          </c:tx>
          <c:dLbls>
            <c:dLblPos val="ctr"/>
            <c:showLegendKey val="0"/>
            <c:showVal val="0"/>
            <c:showCatName val="0"/>
            <c:showSerName val="1"/>
            <c:showPercent val="0"/>
            <c:showBubbleSize val="0"/>
          </c:dLbls>
          <c:xVal>
            <c:strRef>
              <c:f>'2022_Data'!$F$495</c:f>
            </c:strRef>
          </c:xVal>
          <c:yVal>
            <c:numRef>
              <c:f>'2022_Data'!$E$495</c:f>
              <c:numCache/>
            </c:numRef>
          </c:yVal>
          <c:bubbleSize>
            <c:numRef>
              <c:f>'2022_Data'!$G$495</c:f>
            </c:numRef>
          </c:bubbleSize>
        </c:ser>
        <c:ser>
          <c:idx val="494"/>
          <c:order val="494"/>
          <c:tx>
            <c:strRef>
              <c:f>'2022_Data'!$A$496</c:f>
            </c:strRef>
          </c:tx>
          <c:dLbls>
            <c:dLblPos val="ctr"/>
            <c:showLegendKey val="0"/>
            <c:showVal val="0"/>
            <c:showCatName val="0"/>
            <c:showSerName val="1"/>
            <c:showPercent val="0"/>
            <c:showBubbleSize val="0"/>
          </c:dLbls>
          <c:xVal>
            <c:strRef>
              <c:f>'2022_Data'!$F$496</c:f>
            </c:strRef>
          </c:xVal>
          <c:yVal>
            <c:numRef>
              <c:f>'2022_Data'!$E$496</c:f>
              <c:numCache/>
            </c:numRef>
          </c:yVal>
          <c:bubbleSize>
            <c:numRef>
              <c:f>'2022_Data'!$G$496</c:f>
            </c:numRef>
          </c:bubbleSize>
        </c:ser>
        <c:ser>
          <c:idx val="495"/>
          <c:order val="495"/>
          <c:tx>
            <c:strRef>
              <c:f>'2022_Data'!$A$497</c:f>
            </c:strRef>
          </c:tx>
          <c:dLbls>
            <c:dLblPos val="ctr"/>
            <c:showLegendKey val="0"/>
            <c:showVal val="0"/>
            <c:showCatName val="0"/>
            <c:showSerName val="1"/>
            <c:showPercent val="0"/>
            <c:showBubbleSize val="0"/>
          </c:dLbls>
          <c:xVal>
            <c:strRef>
              <c:f>'2022_Data'!$F$497</c:f>
            </c:strRef>
          </c:xVal>
          <c:yVal>
            <c:numRef>
              <c:f>'2022_Data'!$E$497</c:f>
              <c:numCache/>
            </c:numRef>
          </c:yVal>
          <c:bubbleSize>
            <c:numRef>
              <c:f>'2022_Data'!$G$497</c:f>
            </c:numRef>
          </c:bubbleSize>
        </c:ser>
        <c:ser>
          <c:idx val="496"/>
          <c:order val="496"/>
          <c:tx>
            <c:strRef>
              <c:f>'2022_Data'!$A$498</c:f>
            </c:strRef>
          </c:tx>
          <c:dLbls>
            <c:dLblPos val="ctr"/>
            <c:showLegendKey val="0"/>
            <c:showVal val="0"/>
            <c:showCatName val="0"/>
            <c:showSerName val="1"/>
            <c:showPercent val="0"/>
            <c:showBubbleSize val="0"/>
          </c:dLbls>
          <c:xVal>
            <c:strRef>
              <c:f>'2022_Data'!$F$498</c:f>
            </c:strRef>
          </c:xVal>
          <c:yVal>
            <c:numRef>
              <c:f>'2022_Data'!$E$498</c:f>
              <c:numCache/>
            </c:numRef>
          </c:yVal>
          <c:bubbleSize>
            <c:numRef>
              <c:f>'2022_Data'!$G$498</c:f>
            </c:numRef>
          </c:bubbleSize>
        </c:ser>
        <c:ser>
          <c:idx val="497"/>
          <c:order val="497"/>
          <c:tx>
            <c:strRef>
              <c:f>'2022_Data'!$A$499</c:f>
            </c:strRef>
          </c:tx>
          <c:dLbls>
            <c:dLblPos val="ctr"/>
            <c:showLegendKey val="0"/>
            <c:showVal val="0"/>
            <c:showCatName val="0"/>
            <c:showSerName val="1"/>
            <c:showPercent val="0"/>
            <c:showBubbleSize val="0"/>
          </c:dLbls>
          <c:xVal>
            <c:strRef>
              <c:f>'2022_Data'!$F$499</c:f>
            </c:strRef>
          </c:xVal>
          <c:yVal>
            <c:numRef>
              <c:f>'2022_Data'!$E$499</c:f>
              <c:numCache/>
            </c:numRef>
          </c:yVal>
          <c:bubbleSize>
            <c:numRef>
              <c:f>'2022_Data'!$G$499</c:f>
            </c:numRef>
          </c:bubbleSize>
        </c:ser>
        <c:ser>
          <c:idx val="498"/>
          <c:order val="498"/>
          <c:tx>
            <c:strRef>
              <c:f>'2022_Data'!$A$500</c:f>
            </c:strRef>
          </c:tx>
          <c:dLbls>
            <c:dLblPos val="ctr"/>
            <c:showLegendKey val="0"/>
            <c:showVal val="0"/>
            <c:showCatName val="0"/>
            <c:showSerName val="1"/>
            <c:showPercent val="0"/>
            <c:showBubbleSize val="0"/>
          </c:dLbls>
          <c:xVal>
            <c:strRef>
              <c:f>'2022_Data'!$F$500</c:f>
            </c:strRef>
          </c:xVal>
          <c:yVal>
            <c:numRef>
              <c:f>'2022_Data'!$E$500</c:f>
              <c:numCache/>
            </c:numRef>
          </c:yVal>
          <c:bubbleSize>
            <c:numRef>
              <c:f>'2022_Data'!$G$500</c:f>
            </c:numRef>
          </c:bubbleSize>
        </c:ser>
        <c:ser>
          <c:idx val="499"/>
          <c:order val="499"/>
          <c:tx>
            <c:strRef>
              <c:f>'2022_Data'!$A$501</c:f>
            </c:strRef>
          </c:tx>
          <c:dLbls>
            <c:dLblPos val="ctr"/>
            <c:showLegendKey val="0"/>
            <c:showVal val="0"/>
            <c:showCatName val="0"/>
            <c:showSerName val="1"/>
            <c:showPercent val="0"/>
            <c:showBubbleSize val="0"/>
          </c:dLbls>
          <c:xVal>
            <c:strRef>
              <c:f>'2022_Data'!$F$501</c:f>
            </c:strRef>
          </c:xVal>
          <c:yVal>
            <c:numRef>
              <c:f>'2022_Data'!$E$501</c:f>
              <c:numCache/>
            </c:numRef>
          </c:yVal>
          <c:bubbleSize>
            <c:numRef>
              <c:f>'2022_Data'!$G$501</c:f>
            </c:numRef>
          </c:bubbleSize>
        </c:ser>
        <c:ser>
          <c:idx val="500"/>
          <c:order val="500"/>
          <c:tx>
            <c:strRef>
              <c:f>'2022_Data'!$A$502</c:f>
            </c:strRef>
          </c:tx>
          <c:dLbls>
            <c:dLblPos val="ctr"/>
            <c:showLegendKey val="0"/>
            <c:showVal val="0"/>
            <c:showCatName val="0"/>
            <c:showSerName val="1"/>
            <c:showPercent val="0"/>
            <c:showBubbleSize val="0"/>
          </c:dLbls>
          <c:xVal>
            <c:strRef>
              <c:f>'2022_Data'!$F$502</c:f>
            </c:strRef>
          </c:xVal>
          <c:yVal>
            <c:numRef>
              <c:f>'2022_Data'!$E$502</c:f>
              <c:numCache/>
            </c:numRef>
          </c:yVal>
          <c:bubbleSize>
            <c:numRef>
              <c:f>'2022_Data'!$G$502</c:f>
            </c:numRef>
          </c:bubbleSize>
        </c:ser>
        <c:ser>
          <c:idx val="501"/>
          <c:order val="501"/>
          <c:tx>
            <c:strRef>
              <c:f>'2022_Data'!$A$503</c:f>
            </c:strRef>
          </c:tx>
          <c:dLbls>
            <c:dLblPos val="ctr"/>
            <c:showLegendKey val="0"/>
            <c:showVal val="0"/>
            <c:showCatName val="0"/>
            <c:showSerName val="1"/>
            <c:showPercent val="0"/>
            <c:showBubbleSize val="0"/>
          </c:dLbls>
          <c:xVal>
            <c:strRef>
              <c:f>'2022_Data'!$F$503</c:f>
            </c:strRef>
          </c:xVal>
          <c:yVal>
            <c:numRef>
              <c:f>'2022_Data'!$E$503</c:f>
              <c:numCache/>
            </c:numRef>
          </c:yVal>
          <c:bubbleSize>
            <c:numRef>
              <c:f>'2022_Data'!$G$503</c:f>
            </c:numRef>
          </c:bubbleSize>
        </c:ser>
        <c:ser>
          <c:idx val="502"/>
          <c:order val="502"/>
          <c:tx>
            <c:strRef>
              <c:f>'2022_Data'!$A$504</c:f>
            </c:strRef>
          </c:tx>
          <c:dLbls>
            <c:dLblPos val="ctr"/>
            <c:showLegendKey val="0"/>
            <c:showVal val="0"/>
            <c:showCatName val="0"/>
            <c:showSerName val="1"/>
            <c:showPercent val="0"/>
            <c:showBubbleSize val="0"/>
          </c:dLbls>
          <c:xVal>
            <c:strRef>
              <c:f>'2022_Data'!$F$504</c:f>
            </c:strRef>
          </c:xVal>
          <c:yVal>
            <c:numRef>
              <c:f>'2022_Data'!$E$504</c:f>
              <c:numCache/>
            </c:numRef>
          </c:yVal>
          <c:bubbleSize>
            <c:numRef>
              <c:f>'2022_Data'!$G$504</c:f>
            </c:numRef>
          </c:bubbleSize>
        </c:ser>
        <c:ser>
          <c:idx val="503"/>
          <c:order val="503"/>
          <c:tx>
            <c:strRef>
              <c:f>'2022_Data'!$A$505</c:f>
            </c:strRef>
          </c:tx>
          <c:dLbls>
            <c:dLblPos val="ctr"/>
            <c:showLegendKey val="0"/>
            <c:showVal val="0"/>
            <c:showCatName val="0"/>
            <c:showSerName val="1"/>
            <c:showPercent val="0"/>
            <c:showBubbleSize val="0"/>
          </c:dLbls>
          <c:xVal>
            <c:strRef>
              <c:f>'2022_Data'!$F$505</c:f>
            </c:strRef>
          </c:xVal>
          <c:yVal>
            <c:numRef>
              <c:f>'2022_Data'!$E$505</c:f>
              <c:numCache/>
            </c:numRef>
          </c:yVal>
          <c:bubbleSize>
            <c:numRef>
              <c:f>'2022_Data'!$G$505</c:f>
            </c:numRef>
          </c:bubbleSize>
        </c:ser>
        <c:ser>
          <c:idx val="504"/>
          <c:order val="504"/>
          <c:tx>
            <c:strRef>
              <c:f>'2022_Data'!$A$506</c:f>
            </c:strRef>
          </c:tx>
          <c:dLbls>
            <c:dLblPos val="ctr"/>
            <c:showLegendKey val="0"/>
            <c:showVal val="0"/>
            <c:showCatName val="0"/>
            <c:showSerName val="1"/>
            <c:showPercent val="0"/>
            <c:showBubbleSize val="0"/>
          </c:dLbls>
          <c:xVal>
            <c:strRef>
              <c:f>'2022_Data'!$F$506</c:f>
            </c:strRef>
          </c:xVal>
          <c:yVal>
            <c:numRef>
              <c:f>'2022_Data'!$E$506</c:f>
              <c:numCache/>
            </c:numRef>
          </c:yVal>
          <c:bubbleSize>
            <c:numRef>
              <c:f>'2022_Data'!$G$506</c:f>
            </c:numRef>
          </c:bubbleSize>
        </c:ser>
        <c:ser>
          <c:idx val="505"/>
          <c:order val="505"/>
          <c:tx>
            <c:strRef>
              <c:f>'2022_Data'!$A$507</c:f>
            </c:strRef>
          </c:tx>
          <c:dLbls>
            <c:dLblPos val="ctr"/>
            <c:showLegendKey val="0"/>
            <c:showVal val="0"/>
            <c:showCatName val="0"/>
            <c:showSerName val="1"/>
            <c:showPercent val="0"/>
            <c:showBubbleSize val="0"/>
          </c:dLbls>
          <c:xVal>
            <c:strRef>
              <c:f>'2022_Data'!$F$507</c:f>
            </c:strRef>
          </c:xVal>
          <c:yVal>
            <c:numRef>
              <c:f>'2022_Data'!$E$507</c:f>
              <c:numCache/>
            </c:numRef>
          </c:yVal>
          <c:bubbleSize>
            <c:numRef>
              <c:f>'2022_Data'!$G$507</c:f>
            </c:numRef>
          </c:bubbleSize>
        </c:ser>
        <c:ser>
          <c:idx val="506"/>
          <c:order val="506"/>
          <c:tx>
            <c:strRef>
              <c:f>'2022_Data'!$A$508</c:f>
            </c:strRef>
          </c:tx>
          <c:dLbls>
            <c:dLblPos val="ctr"/>
            <c:showLegendKey val="0"/>
            <c:showVal val="0"/>
            <c:showCatName val="0"/>
            <c:showSerName val="1"/>
            <c:showPercent val="0"/>
            <c:showBubbleSize val="0"/>
          </c:dLbls>
          <c:xVal>
            <c:strRef>
              <c:f>'2022_Data'!$F$508</c:f>
            </c:strRef>
          </c:xVal>
          <c:yVal>
            <c:numRef>
              <c:f>'2022_Data'!$E$508</c:f>
              <c:numCache/>
            </c:numRef>
          </c:yVal>
          <c:bubbleSize>
            <c:numRef>
              <c:f>'2022_Data'!$G$508</c:f>
            </c:numRef>
          </c:bubbleSize>
        </c:ser>
        <c:ser>
          <c:idx val="507"/>
          <c:order val="507"/>
          <c:tx>
            <c:strRef>
              <c:f>'2022_Data'!$A$509</c:f>
            </c:strRef>
          </c:tx>
          <c:dLbls>
            <c:dLblPos val="ctr"/>
            <c:showLegendKey val="0"/>
            <c:showVal val="0"/>
            <c:showCatName val="0"/>
            <c:showSerName val="1"/>
            <c:showPercent val="0"/>
            <c:showBubbleSize val="0"/>
          </c:dLbls>
          <c:xVal>
            <c:strRef>
              <c:f>'2022_Data'!$F$509</c:f>
            </c:strRef>
          </c:xVal>
          <c:yVal>
            <c:numRef>
              <c:f>'2022_Data'!$E$509</c:f>
              <c:numCache/>
            </c:numRef>
          </c:yVal>
          <c:bubbleSize>
            <c:numRef>
              <c:f>'2022_Data'!$G$509</c:f>
            </c:numRef>
          </c:bubbleSize>
        </c:ser>
        <c:ser>
          <c:idx val="508"/>
          <c:order val="508"/>
          <c:tx>
            <c:strRef>
              <c:f>'2022_Data'!$A$510</c:f>
            </c:strRef>
          </c:tx>
          <c:dLbls>
            <c:dLblPos val="ctr"/>
            <c:showLegendKey val="0"/>
            <c:showVal val="0"/>
            <c:showCatName val="0"/>
            <c:showSerName val="1"/>
            <c:showPercent val="0"/>
            <c:showBubbleSize val="0"/>
          </c:dLbls>
          <c:xVal>
            <c:strRef>
              <c:f>'2022_Data'!$F$510</c:f>
            </c:strRef>
          </c:xVal>
          <c:yVal>
            <c:numRef>
              <c:f>'2022_Data'!$E$510</c:f>
              <c:numCache/>
            </c:numRef>
          </c:yVal>
          <c:bubbleSize>
            <c:numRef>
              <c:f>'2022_Data'!$G$510</c:f>
            </c:numRef>
          </c:bubbleSize>
        </c:ser>
        <c:ser>
          <c:idx val="509"/>
          <c:order val="509"/>
          <c:tx>
            <c:strRef>
              <c:f>'2022_Data'!$A$511</c:f>
            </c:strRef>
          </c:tx>
          <c:dLbls>
            <c:dLblPos val="ctr"/>
            <c:showLegendKey val="0"/>
            <c:showVal val="0"/>
            <c:showCatName val="0"/>
            <c:showSerName val="1"/>
            <c:showPercent val="0"/>
            <c:showBubbleSize val="0"/>
          </c:dLbls>
          <c:xVal>
            <c:strRef>
              <c:f>'2022_Data'!$F$511</c:f>
            </c:strRef>
          </c:xVal>
          <c:yVal>
            <c:numRef>
              <c:f>'2022_Data'!$E$511</c:f>
              <c:numCache/>
            </c:numRef>
          </c:yVal>
          <c:bubbleSize>
            <c:numRef>
              <c:f>'2022_Data'!$G$511</c:f>
            </c:numRef>
          </c:bubbleSize>
        </c:ser>
        <c:ser>
          <c:idx val="510"/>
          <c:order val="510"/>
          <c:tx>
            <c:strRef>
              <c:f>'2022_Data'!$A$512</c:f>
            </c:strRef>
          </c:tx>
          <c:dLbls>
            <c:dLblPos val="ctr"/>
            <c:showLegendKey val="0"/>
            <c:showVal val="0"/>
            <c:showCatName val="0"/>
            <c:showSerName val="1"/>
            <c:showPercent val="0"/>
            <c:showBubbleSize val="0"/>
          </c:dLbls>
          <c:xVal>
            <c:strRef>
              <c:f>'2022_Data'!$F$512</c:f>
            </c:strRef>
          </c:xVal>
          <c:yVal>
            <c:numRef>
              <c:f>'2022_Data'!$E$512</c:f>
              <c:numCache/>
            </c:numRef>
          </c:yVal>
          <c:bubbleSize>
            <c:numRef>
              <c:f>'2022_Data'!$G$512</c:f>
            </c:numRef>
          </c:bubbleSize>
        </c:ser>
        <c:ser>
          <c:idx val="511"/>
          <c:order val="511"/>
          <c:tx>
            <c:strRef>
              <c:f>'2022_Data'!$A$513</c:f>
            </c:strRef>
          </c:tx>
          <c:dLbls>
            <c:dLblPos val="ctr"/>
            <c:showLegendKey val="0"/>
            <c:showVal val="0"/>
            <c:showCatName val="0"/>
            <c:showSerName val="1"/>
            <c:showPercent val="0"/>
            <c:showBubbleSize val="0"/>
          </c:dLbls>
          <c:xVal>
            <c:strRef>
              <c:f>'2022_Data'!$F$513</c:f>
            </c:strRef>
          </c:xVal>
          <c:yVal>
            <c:numRef>
              <c:f>'2022_Data'!$E$513</c:f>
              <c:numCache/>
            </c:numRef>
          </c:yVal>
          <c:bubbleSize>
            <c:numRef>
              <c:f>'2022_Data'!$G$513</c:f>
            </c:numRef>
          </c:bubbleSize>
        </c:ser>
        <c:ser>
          <c:idx val="512"/>
          <c:order val="512"/>
          <c:tx>
            <c:strRef>
              <c:f>'2022_Data'!$A$514</c:f>
            </c:strRef>
          </c:tx>
          <c:dLbls>
            <c:dLblPos val="ctr"/>
            <c:showLegendKey val="0"/>
            <c:showVal val="0"/>
            <c:showCatName val="0"/>
            <c:showSerName val="1"/>
            <c:showPercent val="0"/>
            <c:showBubbleSize val="0"/>
          </c:dLbls>
          <c:xVal>
            <c:strRef>
              <c:f>'2022_Data'!$F$514</c:f>
            </c:strRef>
          </c:xVal>
          <c:yVal>
            <c:numRef>
              <c:f>'2022_Data'!$E$514</c:f>
              <c:numCache/>
            </c:numRef>
          </c:yVal>
          <c:bubbleSize>
            <c:numRef>
              <c:f>'2022_Data'!$G$514</c:f>
            </c:numRef>
          </c:bubbleSize>
        </c:ser>
        <c:ser>
          <c:idx val="513"/>
          <c:order val="513"/>
          <c:tx>
            <c:strRef>
              <c:f>'2022_Data'!$A$515</c:f>
            </c:strRef>
          </c:tx>
          <c:dLbls>
            <c:dLblPos val="ctr"/>
            <c:showLegendKey val="0"/>
            <c:showVal val="0"/>
            <c:showCatName val="0"/>
            <c:showSerName val="1"/>
            <c:showPercent val="0"/>
            <c:showBubbleSize val="0"/>
          </c:dLbls>
          <c:xVal>
            <c:strRef>
              <c:f>'2022_Data'!$F$515</c:f>
            </c:strRef>
          </c:xVal>
          <c:yVal>
            <c:numRef>
              <c:f>'2022_Data'!$E$515</c:f>
              <c:numCache/>
            </c:numRef>
          </c:yVal>
          <c:bubbleSize>
            <c:numRef>
              <c:f>'2022_Data'!$G$515</c:f>
            </c:numRef>
          </c:bubbleSize>
        </c:ser>
        <c:ser>
          <c:idx val="514"/>
          <c:order val="514"/>
          <c:tx>
            <c:strRef>
              <c:f>'2022_Data'!$A$516</c:f>
            </c:strRef>
          </c:tx>
          <c:dLbls>
            <c:dLblPos val="ctr"/>
            <c:showLegendKey val="0"/>
            <c:showVal val="0"/>
            <c:showCatName val="0"/>
            <c:showSerName val="1"/>
            <c:showPercent val="0"/>
            <c:showBubbleSize val="0"/>
          </c:dLbls>
          <c:xVal>
            <c:strRef>
              <c:f>'2022_Data'!$F$516</c:f>
            </c:strRef>
          </c:xVal>
          <c:yVal>
            <c:numRef>
              <c:f>'2022_Data'!$E$516</c:f>
              <c:numCache/>
            </c:numRef>
          </c:yVal>
          <c:bubbleSize>
            <c:numRef>
              <c:f>'2022_Data'!$G$516</c:f>
            </c:numRef>
          </c:bubbleSize>
        </c:ser>
        <c:ser>
          <c:idx val="515"/>
          <c:order val="515"/>
          <c:tx>
            <c:strRef>
              <c:f>'2022_Data'!$A$517</c:f>
            </c:strRef>
          </c:tx>
          <c:dLbls>
            <c:dLblPos val="ctr"/>
            <c:showLegendKey val="0"/>
            <c:showVal val="0"/>
            <c:showCatName val="0"/>
            <c:showSerName val="1"/>
            <c:showPercent val="0"/>
            <c:showBubbleSize val="0"/>
          </c:dLbls>
          <c:xVal>
            <c:strRef>
              <c:f>'2022_Data'!$F$517</c:f>
            </c:strRef>
          </c:xVal>
          <c:yVal>
            <c:numRef>
              <c:f>'2022_Data'!$E$517</c:f>
              <c:numCache/>
            </c:numRef>
          </c:yVal>
          <c:bubbleSize>
            <c:numRef>
              <c:f>'2022_Data'!$G$517</c:f>
            </c:numRef>
          </c:bubbleSize>
        </c:ser>
        <c:ser>
          <c:idx val="516"/>
          <c:order val="516"/>
          <c:tx>
            <c:strRef>
              <c:f>'2022_Data'!$A$518</c:f>
            </c:strRef>
          </c:tx>
          <c:dLbls>
            <c:dLblPos val="ctr"/>
            <c:showLegendKey val="0"/>
            <c:showVal val="0"/>
            <c:showCatName val="0"/>
            <c:showSerName val="1"/>
            <c:showPercent val="0"/>
            <c:showBubbleSize val="0"/>
          </c:dLbls>
          <c:xVal>
            <c:strRef>
              <c:f>'2022_Data'!$F$518</c:f>
            </c:strRef>
          </c:xVal>
          <c:yVal>
            <c:numRef>
              <c:f>'2022_Data'!$E$518</c:f>
              <c:numCache/>
            </c:numRef>
          </c:yVal>
          <c:bubbleSize>
            <c:numRef>
              <c:f>'2022_Data'!$G$518</c:f>
            </c:numRef>
          </c:bubbleSize>
        </c:ser>
        <c:ser>
          <c:idx val="517"/>
          <c:order val="517"/>
          <c:tx>
            <c:strRef>
              <c:f>'2022_Data'!$A$519</c:f>
            </c:strRef>
          </c:tx>
          <c:dLbls>
            <c:dLblPos val="ctr"/>
            <c:showLegendKey val="0"/>
            <c:showVal val="0"/>
            <c:showCatName val="0"/>
            <c:showSerName val="1"/>
            <c:showPercent val="0"/>
            <c:showBubbleSize val="0"/>
          </c:dLbls>
          <c:xVal>
            <c:strRef>
              <c:f>'2022_Data'!$F$519</c:f>
            </c:strRef>
          </c:xVal>
          <c:yVal>
            <c:numRef>
              <c:f>'2022_Data'!$E$519</c:f>
              <c:numCache/>
            </c:numRef>
          </c:yVal>
          <c:bubbleSize>
            <c:numRef>
              <c:f>'2022_Data'!$G$519</c:f>
            </c:numRef>
          </c:bubbleSize>
        </c:ser>
        <c:ser>
          <c:idx val="518"/>
          <c:order val="518"/>
          <c:tx>
            <c:strRef>
              <c:f>'2022_Data'!$A$520</c:f>
            </c:strRef>
          </c:tx>
          <c:dLbls>
            <c:dLblPos val="ctr"/>
            <c:showLegendKey val="0"/>
            <c:showVal val="0"/>
            <c:showCatName val="0"/>
            <c:showSerName val="1"/>
            <c:showPercent val="0"/>
            <c:showBubbleSize val="0"/>
          </c:dLbls>
          <c:xVal>
            <c:strRef>
              <c:f>'2022_Data'!$F$520</c:f>
            </c:strRef>
          </c:xVal>
          <c:yVal>
            <c:numRef>
              <c:f>'2022_Data'!$E$520</c:f>
              <c:numCache/>
            </c:numRef>
          </c:yVal>
          <c:bubbleSize>
            <c:numRef>
              <c:f>'2022_Data'!$G$520</c:f>
            </c:numRef>
          </c:bubbleSize>
        </c:ser>
        <c:ser>
          <c:idx val="519"/>
          <c:order val="519"/>
          <c:tx>
            <c:strRef>
              <c:f>'2022_Data'!$A$521</c:f>
            </c:strRef>
          </c:tx>
          <c:dLbls>
            <c:dLblPos val="ctr"/>
            <c:showLegendKey val="0"/>
            <c:showVal val="0"/>
            <c:showCatName val="0"/>
            <c:showSerName val="1"/>
            <c:showPercent val="0"/>
            <c:showBubbleSize val="0"/>
          </c:dLbls>
          <c:xVal>
            <c:strRef>
              <c:f>'2022_Data'!$F$521</c:f>
            </c:strRef>
          </c:xVal>
          <c:yVal>
            <c:numRef>
              <c:f>'2022_Data'!$E$521</c:f>
              <c:numCache/>
            </c:numRef>
          </c:yVal>
          <c:bubbleSize>
            <c:numRef>
              <c:f>'2022_Data'!$G$521</c:f>
            </c:numRef>
          </c:bubbleSize>
        </c:ser>
        <c:ser>
          <c:idx val="520"/>
          <c:order val="520"/>
          <c:tx>
            <c:strRef>
              <c:f>'2022_Data'!$A$522</c:f>
            </c:strRef>
          </c:tx>
          <c:dLbls>
            <c:dLblPos val="ctr"/>
            <c:showLegendKey val="0"/>
            <c:showVal val="0"/>
            <c:showCatName val="0"/>
            <c:showSerName val="1"/>
            <c:showPercent val="0"/>
            <c:showBubbleSize val="0"/>
          </c:dLbls>
          <c:xVal>
            <c:strRef>
              <c:f>'2022_Data'!$F$522</c:f>
            </c:strRef>
          </c:xVal>
          <c:yVal>
            <c:numRef>
              <c:f>'2022_Data'!$E$522</c:f>
              <c:numCache/>
            </c:numRef>
          </c:yVal>
          <c:bubbleSize>
            <c:numRef>
              <c:f>'2022_Data'!$G$522</c:f>
            </c:numRef>
          </c:bubbleSize>
        </c:ser>
        <c:ser>
          <c:idx val="521"/>
          <c:order val="521"/>
          <c:tx>
            <c:strRef>
              <c:f>'2022_Data'!$A$523</c:f>
            </c:strRef>
          </c:tx>
          <c:dLbls>
            <c:dLblPos val="ctr"/>
            <c:showLegendKey val="0"/>
            <c:showVal val="0"/>
            <c:showCatName val="0"/>
            <c:showSerName val="1"/>
            <c:showPercent val="0"/>
            <c:showBubbleSize val="0"/>
          </c:dLbls>
          <c:xVal>
            <c:strRef>
              <c:f>'2022_Data'!$F$523</c:f>
            </c:strRef>
          </c:xVal>
          <c:yVal>
            <c:numRef>
              <c:f>'2022_Data'!$E$523</c:f>
              <c:numCache/>
            </c:numRef>
          </c:yVal>
          <c:bubbleSize>
            <c:numRef>
              <c:f>'2022_Data'!$G$523</c:f>
            </c:numRef>
          </c:bubbleSize>
        </c:ser>
        <c:ser>
          <c:idx val="522"/>
          <c:order val="522"/>
          <c:tx>
            <c:strRef>
              <c:f>'2022_Data'!$A$524</c:f>
            </c:strRef>
          </c:tx>
          <c:dLbls>
            <c:dLblPos val="ctr"/>
            <c:showLegendKey val="0"/>
            <c:showVal val="0"/>
            <c:showCatName val="0"/>
            <c:showSerName val="1"/>
            <c:showPercent val="0"/>
            <c:showBubbleSize val="0"/>
          </c:dLbls>
          <c:xVal>
            <c:strRef>
              <c:f>'2022_Data'!$F$524</c:f>
            </c:strRef>
          </c:xVal>
          <c:yVal>
            <c:numRef>
              <c:f>'2022_Data'!$E$524</c:f>
              <c:numCache/>
            </c:numRef>
          </c:yVal>
          <c:bubbleSize>
            <c:numRef>
              <c:f>'2022_Data'!$G$524</c:f>
            </c:numRef>
          </c:bubbleSize>
        </c:ser>
        <c:ser>
          <c:idx val="523"/>
          <c:order val="523"/>
          <c:tx>
            <c:strRef>
              <c:f>'2022_Data'!$A$525</c:f>
            </c:strRef>
          </c:tx>
          <c:dLbls>
            <c:dLblPos val="ctr"/>
            <c:showLegendKey val="0"/>
            <c:showVal val="0"/>
            <c:showCatName val="0"/>
            <c:showSerName val="1"/>
            <c:showPercent val="0"/>
            <c:showBubbleSize val="0"/>
          </c:dLbls>
          <c:xVal>
            <c:strRef>
              <c:f>'2022_Data'!$F$525</c:f>
            </c:strRef>
          </c:xVal>
          <c:yVal>
            <c:numRef>
              <c:f>'2022_Data'!$E$525</c:f>
              <c:numCache/>
            </c:numRef>
          </c:yVal>
          <c:bubbleSize>
            <c:numRef>
              <c:f>'2022_Data'!$G$525</c:f>
            </c:numRef>
          </c:bubbleSize>
        </c:ser>
        <c:ser>
          <c:idx val="524"/>
          <c:order val="524"/>
          <c:tx>
            <c:strRef>
              <c:f>'2022_Data'!$A$526</c:f>
            </c:strRef>
          </c:tx>
          <c:dLbls>
            <c:dLblPos val="ctr"/>
            <c:showLegendKey val="0"/>
            <c:showVal val="0"/>
            <c:showCatName val="0"/>
            <c:showSerName val="1"/>
            <c:showPercent val="0"/>
            <c:showBubbleSize val="0"/>
          </c:dLbls>
          <c:xVal>
            <c:strRef>
              <c:f>'2022_Data'!$F$526</c:f>
            </c:strRef>
          </c:xVal>
          <c:yVal>
            <c:numRef>
              <c:f>'2022_Data'!$E$526</c:f>
              <c:numCache/>
            </c:numRef>
          </c:yVal>
          <c:bubbleSize>
            <c:numRef>
              <c:f>'2022_Data'!$G$526</c:f>
            </c:numRef>
          </c:bubbleSize>
        </c:ser>
        <c:ser>
          <c:idx val="525"/>
          <c:order val="525"/>
          <c:tx>
            <c:strRef>
              <c:f>'2022_Data'!$A$527</c:f>
            </c:strRef>
          </c:tx>
          <c:dLbls>
            <c:dLblPos val="ctr"/>
            <c:showLegendKey val="0"/>
            <c:showVal val="0"/>
            <c:showCatName val="0"/>
            <c:showSerName val="1"/>
            <c:showPercent val="0"/>
            <c:showBubbleSize val="0"/>
          </c:dLbls>
          <c:xVal>
            <c:strRef>
              <c:f>'2022_Data'!$F$527</c:f>
            </c:strRef>
          </c:xVal>
          <c:yVal>
            <c:numRef>
              <c:f>'2022_Data'!$E$527</c:f>
              <c:numCache/>
            </c:numRef>
          </c:yVal>
          <c:bubbleSize>
            <c:numRef>
              <c:f>'2022_Data'!$G$527</c:f>
            </c:numRef>
          </c:bubbleSize>
        </c:ser>
        <c:ser>
          <c:idx val="526"/>
          <c:order val="526"/>
          <c:tx>
            <c:strRef>
              <c:f>'2022_Data'!$A$528</c:f>
            </c:strRef>
          </c:tx>
          <c:dLbls>
            <c:dLblPos val="ctr"/>
            <c:showLegendKey val="0"/>
            <c:showVal val="0"/>
            <c:showCatName val="0"/>
            <c:showSerName val="1"/>
            <c:showPercent val="0"/>
            <c:showBubbleSize val="0"/>
          </c:dLbls>
          <c:xVal>
            <c:strRef>
              <c:f>'2022_Data'!$F$528</c:f>
            </c:strRef>
          </c:xVal>
          <c:yVal>
            <c:numRef>
              <c:f>'2022_Data'!$E$528</c:f>
              <c:numCache/>
            </c:numRef>
          </c:yVal>
          <c:bubbleSize>
            <c:numRef>
              <c:f>'2022_Data'!$G$528</c:f>
            </c:numRef>
          </c:bubbleSize>
        </c:ser>
        <c:ser>
          <c:idx val="527"/>
          <c:order val="527"/>
          <c:tx>
            <c:strRef>
              <c:f>'2022_Data'!$A$529</c:f>
            </c:strRef>
          </c:tx>
          <c:dLbls>
            <c:dLblPos val="ctr"/>
            <c:showLegendKey val="0"/>
            <c:showVal val="0"/>
            <c:showCatName val="0"/>
            <c:showSerName val="1"/>
            <c:showPercent val="0"/>
            <c:showBubbleSize val="0"/>
          </c:dLbls>
          <c:xVal>
            <c:strRef>
              <c:f>'2022_Data'!$F$529</c:f>
            </c:strRef>
          </c:xVal>
          <c:yVal>
            <c:numRef>
              <c:f>'2022_Data'!$E$529</c:f>
              <c:numCache/>
            </c:numRef>
          </c:yVal>
          <c:bubbleSize>
            <c:numRef>
              <c:f>'2022_Data'!$G$529</c:f>
            </c:numRef>
          </c:bubbleSize>
        </c:ser>
        <c:ser>
          <c:idx val="528"/>
          <c:order val="528"/>
          <c:tx>
            <c:strRef>
              <c:f>'2022_Data'!$A$530</c:f>
            </c:strRef>
          </c:tx>
          <c:dLbls>
            <c:dLblPos val="ctr"/>
            <c:showLegendKey val="0"/>
            <c:showVal val="0"/>
            <c:showCatName val="0"/>
            <c:showSerName val="1"/>
            <c:showPercent val="0"/>
            <c:showBubbleSize val="0"/>
          </c:dLbls>
          <c:xVal>
            <c:strRef>
              <c:f>'2022_Data'!$F$530</c:f>
            </c:strRef>
          </c:xVal>
          <c:yVal>
            <c:numRef>
              <c:f>'2022_Data'!$E$530</c:f>
              <c:numCache/>
            </c:numRef>
          </c:yVal>
          <c:bubbleSize>
            <c:numRef>
              <c:f>'2022_Data'!$G$530</c:f>
            </c:numRef>
          </c:bubbleSize>
        </c:ser>
        <c:ser>
          <c:idx val="529"/>
          <c:order val="529"/>
          <c:tx>
            <c:strRef>
              <c:f>'2022_Data'!$A$531</c:f>
            </c:strRef>
          </c:tx>
          <c:dLbls>
            <c:dLblPos val="ctr"/>
            <c:showLegendKey val="0"/>
            <c:showVal val="0"/>
            <c:showCatName val="0"/>
            <c:showSerName val="1"/>
            <c:showPercent val="0"/>
            <c:showBubbleSize val="0"/>
          </c:dLbls>
          <c:xVal>
            <c:strRef>
              <c:f>'2022_Data'!$F$531</c:f>
            </c:strRef>
          </c:xVal>
          <c:yVal>
            <c:numRef>
              <c:f>'2022_Data'!$E$531</c:f>
              <c:numCache/>
            </c:numRef>
          </c:yVal>
          <c:bubbleSize>
            <c:numRef>
              <c:f>'2022_Data'!$G$531</c:f>
            </c:numRef>
          </c:bubbleSize>
        </c:ser>
        <c:ser>
          <c:idx val="530"/>
          <c:order val="530"/>
          <c:tx>
            <c:strRef>
              <c:f>'2022_Data'!$A$532</c:f>
            </c:strRef>
          </c:tx>
          <c:dLbls>
            <c:dLblPos val="ctr"/>
            <c:showLegendKey val="0"/>
            <c:showVal val="0"/>
            <c:showCatName val="0"/>
            <c:showSerName val="1"/>
            <c:showPercent val="0"/>
            <c:showBubbleSize val="0"/>
          </c:dLbls>
          <c:xVal>
            <c:strRef>
              <c:f>'2022_Data'!$F$532</c:f>
            </c:strRef>
          </c:xVal>
          <c:yVal>
            <c:numRef>
              <c:f>'2022_Data'!$E$532</c:f>
              <c:numCache/>
            </c:numRef>
          </c:yVal>
          <c:bubbleSize>
            <c:numRef>
              <c:f>'2022_Data'!$G$532</c:f>
            </c:numRef>
          </c:bubbleSize>
        </c:ser>
        <c:ser>
          <c:idx val="531"/>
          <c:order val="531"/>
          <c:tx>
            <c:strRef>
              <c:f>'2022_Data'!$A$533</c:f>
            </c:strRef>
          </c:tx>
          <c:dLbls>
            <c:dLblPos val="ctr"/>
            <c:showLegendKey val="0"/>
            <c:showVal val="0"/>
            <c:showCatName val="0"/>
            <c:showSerName val="1"/>
            <c:showPercent val="0"/>
            <c:showBubbleSize val="0"/>
          </c:dLbls>
          <c:xVal>
            <c:strRef>
              <c:f>'2022_Data'!$F$533</c:f>
            </c:strRef>
          </c:xVal>
          <c:yVal>
            <c:numRef>
              <c:f>'2022_Data'!$E$533</c:f>
              <c:numCache/>
            </c:numRef>
          </c:yVal>
          <c:bubbleSize>
            <c:numRef>
              <c:f>'2022_Data'!$G$533</c:f>
            </c:numRef>
          </c:bubbleSize>
        </c:ser>
        <c:ser>
          <c:idx val="532"/>
          <c:order val="532"/>
          <c:tx>
            <c:strRef>
              <c:f>'2022_Data'!$A$534</c:f>
            </c:strRef>
          </c:tx>
          <c:dLbls>
            <c:dLblPos val="ctr"/>
            <c:showLegendKey val="0"/>
            <c:showVal val="0"/>
            <c:showCatName val="0"/>
            <c:showSerName val="1"/>
            <c:showPercent val="0"/>
            <c:showBubbleSize val="0"/>
          </c:dLbls>
          <c:xVal>
            <c:strRef>
              <c:f>'2022_Data'!$F$534</c:f>
            </c:strRef>
          </c:xVal>
          <c:yVal>
            <c:numRef>
              <c:f>'2022_Data'!$E$534</c:f>
              <c:numCache/>
            </c:numRef>
          </c:yVal>
          <c:bubbleSize>
            <c:numRef>
              <c:f>'2022_Data'!$G$534</c:f>
            </c:numRef>
          </c:bubbleSize>
        </c:ser>
        <c:ser>
          <c:idx val="533"/>
          <c:order val="533"/>
          <c:tx>
            <c:strRef>
              <c:f>'2022_Data'!$A$535</c:f>
            </c:strRef>
          </c:tx>
          <c:dLbls>
            <c:dLblPos val="ctr"/>
            <c:showLegendKey val="0"/>
            <c:showVal val="0"/>
            <c:showCatName val="0"/>
            <c:showSerName val="1"/>
            <c:showPercent val="0"/>
            <c:showBubbleSize val="0"/>
          </c:dLbls>
          <c:xVal>
            <c:strRef>
              <c:f>'2022_Data'!$F$535</c:f>
            </c:strRef>
          </c:xVal>
          <c:yVal>
            <c:numRef>
              <c:f>'2022_Data'!$E$535</c:f>
              <c:numCache/>
            </c:numRef>
          </c:yVal>
          <c:bubbleSize>
            <c:numRef>
              <c:f>'2022_Data'!$G$535</c:f>
            </c:numRef>
          </c:bubbleSize>
        </c:ser>
        <c:ser>
          <c:idx val="534"/>
          <c:order val="534"/>
          <c:tx>
            <c:strRef>
              <c:f>'2022_Data'!$A$536</c:f>
            </c:strRef>
          </c:tx>
          <c:dLbls>
            <c:dLblPos val="ctr"/>
            <c:showLegendKey val="0"/>
            <c:showVal val="0"/>
            <c:showCatName val="0"/>
            <c:showSerName val="1"/>
            <c:showPercent val="0"/>
            <c:showBubbleSize val="0"/>
          </c:dLbls>
          <c:xVal>
            <c:strRef>
              <c:f>'2022_Data'!$F$536</c:f>
            </c:strRef>
          </c:xVal>
          <c:yVal>
            <c:numRef>
              <c:f>'2022_Data'!$E$536</c:f>
              <c:numCache/>
            </c:numRef>
          </c:yVal>
          <c:bubbleSize>
            <c:numRef>
              <c:f>'2022_Data'!$G$536</c:f>
            </c:numRef>
          </c:bubbleSize>
        </c:ser>
        <c:ser>
          <c:idx val="535"/>
          <c:order val="535"/>
          <c:tx>
            <c:strRef>
              <c:f>'2022_Data'!$A$537</c:f>
            </c:strRef>
          </c:tx>
          <c:dLbls>
            <c:dLblPos val="ctr"/>
            <c:showLegendKey val="0"/>
            <c:showVal val="0"/>
            <c:showCatName val="0"/>
            <c:showSerName val="1"/>
            <c:showPercent val="0"/>
            <c:showBubbleSize val="0"/>
          </c:dLbls>
          <c:xVal>
            <c:strRef>
              <c:f>'2022_Data'!$F$537</c:f>
            </c:strRef>
          </c:xVal>
          <c:yVal>
            <c:numRef>
              <c:f>'2022_Data'!$E$537</c:f>
              <c:numCache/>
            </c:numRef>
          </c:yVal>
          <c:bubbleSize>
            <c:numRef>
              <c:f>'2022_Data'!$G$537</c:f>
            </c:numRef>
          </c:bubbleSize>
        </c:ser>
        <c:ser>
          <c:idx val="536"/>
          <c:order val="536"/>
          <c:tx>
            <c:strRef>
              <c:f>'2022_Data'!$A$538</c:f>
            </c:strRef>
          </c:tx>
          <c:dLbls>
            <c:dLblPos val="ctr"/>
            <c:showLegendKey val="0"/>
            <c:showVal val="0"/>
            <c:showCatName val="0"/>
            <c:showSerName val="1"/>
            <c:showPercent val="0"/>
            <c:showBubbleSize val="0"/>
          </c:dLbls>
          <c:xVal>
            <c:strRef>
              <c:f>'2022_Data'!$F$538</c:f>
            </c:strRef>
          </c:xVal>
          <c:yVal>
            <c:numRef>
              <c:f>'2022_Data'!$E$538</c:f>
              <c:numCache/>
            </c:numRef>
          </c:yVal>
          <c:bubbleSize>
            <c:numRef>
              <c:f>'2022_Data'!$G$538</c:f>
            </c:numRef>
          </c:bubbleSize>
        </c:ser>
        <c:ser>
          <c:idx val="537"/>
          <c:order val="537"/>
          <c:tx>
            <c:strRef>
              <c:f>'2022_Data'!$A$539</c:f>
            </c:strRef>
          </c:tx>
          <c:dLbls>
            <c:dLblPos val="ctr"/>
            <c:showLegendKey val="0"/>
            <c:showVal val="0"/>
            <c:showCatName val="0"/>
            <c:showSerName val="1"/>
            <c:showPercent val="0"/>
            <c:showBubbleSize val="0"/>
          </c:dLbls>
          <c:xVal>
            <c:strRef>
              <c:f>'2022_Data'!$F$539</c:f>
            </c:strRef>
          </c:xVal>
          <c:yVal>
            <c:numRef>
              <c:f>'2022_Data'!$E$539</c:f>
              <c:numCache/>
            </c:numRef>
          </c:yVal>
          <c:bubbleSize>
            <c:numRef>
              <c:f>'2022_Data'!$G$539</c:f>
            </c:numRef>
          </c:bubbleSize>
        </c:ser>
        <c:ser>
          <c:idx val="538"/>
          <c:order val="538"/>
          <c:tx>
            <c:strRef>
              <c:f>'2022_Data'!$A$540</c:f>
            </c:strRef>
          </c:tx>
          <c:dLbls>
            <c:dLblPos val="ctr"/>
            <c:showLegendKey val="0"/>
            <c:showVal val="0"/>
            <c:showCatName val="0"/>
            <c:showSerName val="1"/>
            <c:showPercent val="0"/>
            <c:showBubbleSize val="0"/>
          </c:dLbls>
          <c:xVal>
            <c:strRef>
              <c:f>'2022_Data'!$F$540</c:f>
            </c:strRef>
          </c:xVal>
          <c:yVal>
            <c:numRef>
              <c:f>'2022_Data'!$E$540</c:f>
              <c:numCache/>
            </c:numRef>
          </c:yVal>
          <c:bubbleSize>
            <c:numRef>
              <c:f>'2022_Data'!$G$540</c:f>
            </c:numRef>
          </c:bubbleSize>
        </c:ser>
        <c:ser>
          <c:idx val="539"/>
          <c:order val="539"/>
          <c:tx>
            <c:strRef>
              <c:f>'2022_Data'!$A$541</c:f>
            </c:strRef>
          </c:tx>
          <c:dLbls>
            <c:dLblPos val="ctr"/>
            <c:showLegendKey val="0"/>
            <c:showVal val="0"/>
            <c:showCatName val="0"/>
            <c:showSerName val="1"/>
            <c:showPercent val="0"/>
            <c:showBubbleSize val="0"/>
          </c:dLbls>
          <c:xVal>
            <c:strRef>
              <c:f>'2022_Data'!$F$541</c:f>
            </c:strRef>
          </c:xVal>
          <c:yVal>
            <c:numRef>
              <c:f>'2022_Data'!$E$541</c:f>
              <c:numCache/>
            </c:numRef>
          </c:yVal>
          <c:bubbleSize>
            <c:numRef>
              <c:f>'2022_Data'!$G$541</c:f>
            </c:numRef>
          </c:bubbleSize>
        </c:ser>
        <c:ser>
          <c:idx val="540"/>
          <c:order val="540"/>
          <c:tx>
            <c:strRef>
              <c:f>'2022_Data'!$A$542</c:f>
            </c:strRef>
          </c:tx>
          <c:dLbls>
            <c:dLblPos val="ctr"/>
            <c:showLegendKey val="0"/>
            <c:showVal val="0"/>
            <c:showCatName val="0"/>
            <c:showSerName val="1"/>
            <c:showPercent val="0"/>
            <c:showBubbleSize val="0"/>
          </c:dLbls>
          <c:xVal>
            <c:strRef>
              <c:f>'2022_Data'!$F$542</c:f>
            </c:strRef>
          </c:xVal>
          <c:yVal>
            <c:numRef>
              <c:f>'2022_Data'!$E$542</c:f>
              <c:numCache/>
            </c:numRef>
          </c:yVal>
          <c:bubbleSize>
            <c:numRef>
              <c:f>'2022_Data'!$G$542</c:f>
            </c:numRef>
          </c:bubbleSize>
        </c:ser>
        <c:ser>
          <c:idx val="541"/>
          <c:order val="541"/>
          <c:tx>
            <c:strRef>
              <c:f>'2022_Data'!$A$543</c:f>
            </c:strRef>
          </c:tx>
          <c:dLbls>
            <c:dLblPos val="ctr"/>
            <c:showLegendKey val="0"/>
            <c:showVal val="0"/>
            <c:showCatName val="0"/>
            <c:showSerName val="1"/>
            <c:showPercent val="0"/>
            <c:showBubbleSize val="0"/>
          </c:dLbls>
          <c:xVal>
            <c:strRef>
              <c:f>'2022_Data'!$F$543</c:f>
            </c:strRef>
          </c:xVal>
          <c:yVal>
            <c:numRef>
              <c:f>'2022_Data'!$E$543</c:f>
              <c:numCache/>
            </c:numRef>
          </c:yVal>
          <c:bubbleSize>
            <c:numRef>
              <c:f>'2022_Data'!$G$543</c:f>
            </c:numRef>
          </c:bubbleSize>
        </c:ser>
        <c:ser>
          <c:idx val="542"/>
          <c:order val="542"/>
          <c:tx>
            <c:strRef>
              <c:f>'2022_Data'!$A$544</c:f>
            </c:strRef>
          </c:tx>
          <c:dLbls>
            <c:dLblPos val="ctr"/>
            <c:showLegendKey val="0"/>
            <c:showVal val="0"/>
            <c:showCatName val="0"/>
            <c:showSerName val="1"/>
            <c:showPercent val="0"/>
            <c:showBubbleSize val="0"/>
          </c:dLbls>
          <c:xVal>
            <c:strRef>
              <c:f>'2022_Data'!$F$544</c:f>
            </c:strRef>
          </c:xVal>
          <c:yVal>
            <c:numRef>
              <c:f>'2022_Data'!$E$544</c:f>
              <c:numCache/>
            </c:numRef>
          </c:yVal>
          <c:bubbleSize>
            <c:numRef>
              <c:f>'2022_Data'!$G$544</c:f>
            </c:numRef>
          </c:bubbleSize>
        </c:ser>
        <c:ser>
          <c:idx val="543"/>
          <c:order val="543"/>
          <c:tx>
            <c:strRef>
              <c:f>'2022_Data'!$A$545</c:f>
            </c:strRef>
          </c:tx>
          <c:dLbls>
            <c:dLblPos val="ctr"/>
            <c:showLegendKey val="0"/>
            <c:showVal val="0"/>
            <c:showCatName val="0"/>
            <c:showSerName val="1"/>
            <c:showPercent val="0"/>
            <c:showBubbleSize val="0"/>
          </c:dLbls>
          <c:xVal>
            <c:strRef>
              <c:f>'2022_Data'!$F$545</c:f>
            </c:strRef>
          </c:xVal>
          <c:yVal>
            <c:numRef>
              <c:f>'2022_Data'!$E$545</c:f>
              <c:numCache/>
            </c:numRef>
          </c:yVal>
          <c:bubbleSize>
            <c:numRef>
              <c:f>'2022_Data'!$G$545</c:f>
            </c:numRef>
          </c:bubbleSize>
        </c:ser>
        <c:ser>
          <c:idx val="544"/>
          <c:order val="544"/>
          <c:tx>
            <c:strRef>
              <c:f>'2022_Data'!$A$546</c:f>
            </c:strRef>
          </c:tx>
          <c:dLbls>
            <c:dLblPos val="ctr"/>
            <c:showLegendKey val="0"/>
            <c:showVal val="0"/>
            <c:showCatName val="0"/>
            <c:showSerName val="1"/>
            <c:showPercent val="0"/>
            <c:showBubbleSize val="0"/>
          </c:dLbls>
          <c:xVal>
            <c:strRef>
              <c:f>'2022_Data'!$F$546</c:f>
            </c:strRef>
          </c:xVal>
          <c:yVal>
            <c:numRef>
              <c:f>'2022_Data'!$E$546</c:f>
              <c:numCache/>
            </c:numRef>
          </c:yVal>
          <c:bubbleSize>
            <c:numRef>
              <c:f>'2022_Data'!$G$546</c:f>
            </c:numRef>
          </c:bubbleSize>
        </c:ser>
        <c:ser>
          <c:idx val="545"/>
          <c:order val="545"/>
          <c:tx>
            <c:strRef>
              <c:f>'2022_Data'!$A$547</c:f>
            </c:strRef>
          </c:tx>
          <c:dLbls>
            <c:dLblPos val="ctr"/>
            <c:showLegendKey val="0"/>
            <c:showVal val="0"/>
            <c:showCatName val="0"/>
            <c:showSerName val="1"/>
            <c:showPercent val="0"/>
            <c:showBubbleSize val="0"/>
          </c:dLbls>
          <c:xVal>
            <c:strRef>
              <c:f>'2022_Data'!$F$547</c:f>
            </c:strRef>
          </c:xVal>
          <c:yVal>
            <c:numRef>
              <c:f>'2022_Data'!$E$547</c:f>
              <c:numCache/>
            </c:numRef>
          </c:yVal>
          <c:bubbleSize>
            <c:numRef>
              <c:f>'2022_Data'!$G$547</c:f>
            </c:numRef>
          </c:bubbleSize>
        </c:ser>
        <c:ser>
          <c:idx val="546"/>
          <c:order val="546"/>
          <c:tx>
            <c:strRef>
              <c:f>'2022_Data'!$A$548</c:f>
            </c:strRef>
          </c:tx>
          <c:dLbls>
            <c:dLblPos val="ctr"/>
            <c:showLegendKey val="0"/>
            <c:showVal val="0"/>
            <c:showCatName val="0"/>
            <c:showSerName val="1"/>
            <c:showPercent val="0"/>
            <c:showBubbleSize val="0"/>
          </c:dLbls>
          <c:xVal>
            <c:strRef>
              <c:f>'2022_Data'!$F$548</c:f>
            </c:strRef>
          </c:xVal>
          <c:yVal>
            <c:numRef>
              <c:f>'2022_Data'!$E$548</c:f>
              <c:numCache/>
            </c:numRef>
          </c:yVal>
          <c:bubbleSize>
            <c:numRef>
              <c:f>'2022_Data'!$G$548</c:f>
            </c:numRef>
          </c:bubbleSize>
        </c:ser>
        <c:ser>
          <c:idx val="547"/>
          <c:order val="547"/>
          <c:tx>
            <c:strRef>
              <c:f>'2022_Data'!$A$549</c:f>
            </c:strRef>
          </c:tx>
          <c:dLbls>
            <c:dLblPos val="ctr"/>
            <c:showLegendKey val="0"/>
            <c:showVal val="0"/>
            <c:showCatName val="0"/>
            <c:showSerName val="1"/>
            <c:showPercent val="0"/>
            <c:showBubbleSize val="0"/>
          </c:dLbls>
          <c:xVal>
            <c:strRef>
              <c:f>'2022_Data'!$F$549</c:f>
            </c:strRef>
          </c:xVal>
          <c:yVal>
            <c:numRef>
              <c:f>'2022_Data'!$E$549</c:f>
              <c:numCache/>
            </c:numRef>
          </c:yVal>
          <c:bubbleSize>
            <c:numRef>
              <c:f>'2022_Data'!$G$549</c:f>
            </c:numRef>
          </c:bubbleSize>
        </c:ser>
        <c:ser>
          <c:idx val="548"/>
          <c:order val="548"/>
          <c:tx>
            <c:strRef>
              <c:f>'2022_Data'!$A$550</c:f>
            </c:strRef>
          </c:tx>
          <c:dLbls>
            <c:dLblPos val="ctr"/>
            <c:showLegendKey val="0"/>
            <c:showVal val="0"/>
            <c:showCatName val="0"/>
            <c:showSerName val="1"/>
            <c:showPercent val="0"/>
            <c:showBubbleSize val="0"/>
          </c:dLbls>
          <c:xVal>
            <c:strRef>
              <c:f>'2022_Data'!$F$550</c:f>
            </c:strRef>
          </c:xVal>
          <c:yVal>
            <c:numRef>
              <c:f>'2022_Data'!$E$550</c:f>
              <c:numCache/>
            </c:numRef>
          </c:yVal>
          <c:bubbleSize>
            <c:numRef>
              <c:f>'2022_Data'!$G$550</c:f>
            </c:numRef>
          </c:bubbleSize>
        </c:ser>
        <c:ser>
          <c:idx val="549"/>
          <c:order val="549"/>
          <c:tx>
            <c:strRef>
              <c:f>'2022_Data'!$A$551</c:f>
            </c:strRef>
          </c:tx>
          <c:dLbls>
            <c:dLblPos val="ctr"/>
            <c:showLegendKey val="0"/>
            <c:showVal val="0"/>
            <c:showCatName val="0"/>
            <c:showSerName val="1"/>
            <c:showPercent val="0"/>
            <c:showBubbleSize val="0"/>
          </c:dLbls>
          <c:xVal>
            <c:strRef>
              <c:f>'2022_Data'!$F$551</c:f>
            </c:strRef>
          </c:xVal>
          <c:yVal>
            <c:numRef>
              <c:f>'2022_Data'!$E$551</c:f>
              <c:numCache/>
            </c:numRef>
          </c:yVal>
          <c:bubbleSize>
            <c:numRef>
              <c:f>'2022_Data'!$G$551</c:f>
            </c:numRef>
          </c:bubbleSize>
        </c:ser>
        <c:ser>
          <c:idx val="550"/>
          <c:order val="550"/>
          <c:tx>
            <c:strRef>
              <c:f>'2022_Data'!$A$552</c:f>
            </c:strRef>
          </c:tx>
          <c:dLbls>
            <c:dLblPos val="ctr"/>
            <c:showLegendKey val="0"/>
            <c:showVal val="0"/>
            <c:showCatName val="0"/>
            <c:showSerName val="1"/>
            <c:showPercent val="0"/>
            <c:showBubbleSize val="0"/>
          </c:dLbls>
          <c:xVal>
            <c:strRef>
              <c:f>'2022_Data'!$F$552</c:f>
            </c:strRef>
          </c:xVal>
          <c:yVal>
            <c:numRef>
              <c:f>'2022_Data'!$E$552</c:f>
              <c:numCache/>
            </c:numRef>
          </c:yVal>
          <c:bubbleSize>
            <c:numRef>
              <c:f>'2022_Data'!$G$552</c:f>
            </c:numRef>
          </c:bubbleSize>
        </c:ser>
        <c:ser>
          <c:idx val="551"/>
          <c:order val="551"/>
          <c:tx>
            <c:strRef>
              <c:f>'2022_Data'!$A$553</c:f>
            </c:strRef>
          </c:tx>
          <c:dLbls>
            <c:dLblPos val="ctr"/>
            <c:showLegendKey val="0"/>
            <c:showVal val="0"/>
            <c:showCatName val="0"/>
            <c:showSerName val="1"/>
            <c:showPercent val="0"/>
            <c:showBubbleSize val="0"/>
          </c:dLbls>
          <c:xVal>
            <c:strRef>
              <c:f>'2022_Data'!$F$553</c:f>
            </c:strRef>
          </c:xVal>
          <c:yVal>
            <c:numRef>
              <c:f>'2022_Data'!$E$553</c:f>
              <c:numCache/>
            </c:numRef>
          </c:yVal>
          <c:bubbleSize>
            <c:numRef>
              <c:f>'2022_Data'!$G$553</c:f>
            </c:numRef>
          </c:bubbleSize>
        </c:ser>
        <c:ser>
          <c:idx val="552"/>
          <c:order val="552"/>
          <c:tx>
            <c:strRef>
              <c:f>'2022_Data'!$A$554</c:f>
            </c:strRef>
          </c:tx>
          <c:dLbls>
            <c:dLblPos val="ctr"/>
            <c:showLegendKey val="0"/>
            <c:showVal val="0"/>
            <c:showCatName val="0"/>
            <c:showSerName val="1"/>
            <c:showPercent val="0"/>
            <c:showBubbleSize val="0"/>
          </c:dLbls>
          <c:xVal>
            <c:strRef>
              <c:f>'2022_Data'!$F$554</c:f>
            </c:strRef>
          </c:xVal>
          <c:yVal>
            <c:numRef>
              <c:f>'2022_Data'!$E$554</c:f>
              <c:numCache/>
            </c:numRef>
          </c:yVal>
          <c:bubbleSize>
            <c:numRef>
              <c:f>'2022_Data'!$G$554</c:f>
            </c:numRef>
          </c:bubbleSize>
        </c:ser>
        <c:ser>
          <c:idx val="553"/>
          <c:order val="553"/>
          <c:tx>
            <c:strRef>
              <c:f>'2022_Data'!$A$555</c:f>
            </c:strRef>
          </c:tx>
          <c:dLbls>
            <c:dLblPos val="ctr"/>
            <c:showLegendKey val="0"/>
            <c:showVal val="0"/>
            <c:showCatName val="0"/>
            <c:showSerName val="1"/>
            <c:showPercent val="0"/>
            <c:showBubbleSize val="0"/>
          </c:dLbls>
          <c:xVal>
            <c:strRef>
              <c:f>'2022_Data'!$F$555</c:f>
            </c:strRef>
          </c:xVal>
          <c:yVal>
            <c:numRef>
              <c:f>'2022_Data'!$E$555</c:f>
              <c:numCache/>
            </c:numRef>
          </c:yVal>
          <c:bubbleSize>
            <c:numRef>
              <c:f>'2022_Data'!$G$555</c:f>
            </c:numRef>
          </c:bubbleSize>
        </c:ser>
        <c:ser>
          <c:idx val="554"/>
          <c:order val="554"/>
          <c:tx>
            <c:strRef>
              <c:f>'2022_Data'!$A$556</c:f>
            </c:strRef>
          </c:tx>
          <c:dLbls>
            <c:dLblPos val="ctr"/>
            <c:showLegendKey val="0"/>
            <c:showVal val="0"/>
            <c:showCatName val="0"/>
            <c:showSerName val="1"/>
            <c:showPercent val="0"/>
            <c:showBubbleSize val="0"/>
          </c:dLbls>
          <c:xVal>
            <c:strRef>
              <c:f>'2022_Data'!$F$556</c:f>
            </c:strRef>
          </c:xVal>
          <c:yVal>
            <c:numRef>
              <c:f>'2022_Data'!$E$556</c:f>
              <c:numCache/>
            </c:numRef>
          </c:yVal>
          <c:bubbleSize>
            <c:numRef>
              <c:f>'2022_Data'!$G$556</c:f>
            </c:numRef>
          </c:bubbleSize>
        </c:ser>
        <c:ser>
          <c:idx val="555"/>
          <c:order val="555"/>
          <c:tx>
            <c:strRef>
              <c:f>'2022_Data'!$A$557</c:f>
            </c:strRef>
          </c:tx>
          <c:dLbls>
            <c:dLblPos val="ctr"/>
            <c:showLegendKey val="0"/>
            <c:showVal val="0"/>
            <c:showCatName val="0"/>
            <c:showSerName val="1"/>
            <c:showPercent val="0"/>
            <c:showBubbleSize val="0"/>
          </c:dLbls>
          <c:xVal>
            <c:strRef>
              <c:f>'2022_Data'!$F$557</c:f>
            </c:strRef>
          </c:xVal>
          <c:yVal>
            <c:numRef>
              <c:f>'2022_Data'!$E$557</c:f>
              <c:numCache/>
            </c:numRef>
          </c:yVal>
          <c:bubbleSize>
            <c:numRef>
              <c:f>'2022_Data'!$G$557</c:f>
            </c:numRef>
          </c:bubbleSize>
        </c:ser>
        <c:ser>
          <c:idx val="556"/>
          <c:order val="556"/>
          <c:tx>
            <c:strRef>
              <c:f>'2022_Data'!$A$558</c:f>
            </c:strRef>
          </c:tx>
          <c:dLbls>
            <c:dLblPos val="ctr"/>
            <c:showLegendKey val="0"/>
            <c:showVal val="0"/>
            <c:showCatName val="0"/>
            <c:showSerName val="1"/>
            <c:showPercent val="0"/>
            <c:showBubbleSize val="0"/>
          </c:dLbls>
          <c:xVal>
            <c:strRef>
              <c:f>'2022_Data'!$F$558</c:f>
            </c:strRef>
          </c:xVal>
          <c:yVal>
            <c:numRef>
              <c:f>'2022_Data'!$E$558</c:f>
              <c:numCache/>
            </c:numRef>
          </c:yVal>
          <c:bubbleSize>
            <c:numRef>
              <c:f>'2022_Data'!$G$558</c:f>
            </c:numRef>
          </c:bubbleSize>
        </c:ser>
        <c:ser>
          <c:idx val="557"/>
          <c:order val="557"/>
          <c:tx>
            <c:strRef>
              <c:f>'2022_Data'!$A$559</c:f>
            </c:strRef>
          </c:tx>
          <c:dLbls>
            <c:dLblPos val="ctr"/>
            <c:showLegendKey val="0"/>
            <c:showVal val="0"/>
            <c:showCatName val="0"/>
            <c:showSerName val="1"/>
            <c:showPercent val="0"/>
            <c:showBubbleSize val="0"/>
          </c:dLbls>
          <c:xVal>
            <c:strRef>
              <c:f>'2022_Data'!$F$559</c:f>
            </c:strRef>
          </c:xVal>
          <c:yVal>
            <c:numRef>
              <c:f>'2022_Data'!$E$559</c:f>
              <c:numCache/>
            </c:numRef>
          </c:yVal>
          <c:bubbleSize>
            <c:numRef>
              <c:f>'2022_Data'!$G$559</c:f>
            </c:numRef>
          </c:bubbleSize>
        </c:ser>
        <c:ser>
          <c:idx val="558"/>
          <c:order val="558"/>
          <c:tx>
            <c:strRef>
              <c:f>'2022_Data'!$A$560</c:f>
            </c:strRef>
          </c:tx>
          <c:dLbls>
            <c:dLblPos val="ctr"/>
            <c:showLegendKey val="0"/>
            <c:showVal val="0"/>
            <c:showCatName val="0"/>
            <c:showSerName val="1"/>
            <c:showPercent val="0"/>
            <c:showBubbleSize val="0"/>
          </c:dLbls>
          <c:xVal>
            <c:strRef>
              <c:f>'2022_Data'!$F$560</c:f>
            </c:strRef>
          </c:xVal>
          <c:yVal>
            <c:numRef>
              <c:f>'2022_Data'!$E$560</c:f>
              <c:numCache/>
            </c:numRef>
          </c:yVal>
          <c:bubbleSize>
            <c:numRef>
              <c:f>'2022_Data'!$G$560</c:f>
            </c:numRef>
          </c:bubbleSize>
        </c:ser>
        <c:ser>
          <c:idx val="559"/>
          <c:order val="559"/>
          <c:tx>
            <c:strRef>
              <c:f>'2022_Data'!$A$561</c:f>
            </c:strRef>
          </c:tx>
          <c:dLbls>
            <c:dLblPos val="ctr"/>
            <c:showLegendKey val="0"/>
            <c:showVal val="0"/>
            <c:showCatName val="0"/>
            <c:showSerName val="1"/>
            <c:showPercent val="0"/>
            <c:showBubbleSize val="0"/>
          </c:dLbls>
          <c:xVal>
            <c:strRef>
              <c:f>'2022_Data'!$F$561</c:f>
            </c:strRef>
          </c:xVal>
          <c:yVal>
            <c:numRef>
              <c:f>'2022_Data'!$E$561</c:f>
              <c:numCache/>
            </c:numRef>
          </c:yVal>
          <c:bubbleSize>
            <c:numRef>
              <c:f>'2022_Data'!$G$561</c:f>
            </c:numRef>
          </c:bubbleSize>
        </c:ser>
        <c:ser>
          <c:idx val="560"/>
          <c:order val="560"/>
          <c:tx>
            <c:strRef>
              <c:f>'2022_Data'!$A$562</c:f>
            </c:strRef>
          </c:tx>
          <c:dLbls>
            <c:dLblPos val="ctr"/>
            <c:showLegendKey val="0"/>
            <c:showVal val="0"/>
            <c:showCatName val="0"/>
            <c:showSerName val="1"/>
            <c:showPercent val="0"/>
            <c:showBubbleSize val="0"/>
          </c:dLbls>
          <c:xVal>
            <c:strRef>
              <c:f>'2022_Data'!$F$562</c:f>
            </c:strRef>
          </c:xVal>
          <c:yVal>
            <c:numRef>
              <c:f>'2022_Data'!$E$562</c:f>
              <c:numCache/>
            </c:numRef>
          </c:yVal>
          <c:bubbleSize>
            <c:numRef>
              <c:f>'2022_Data'!$G$562</c:f>
            </c:numRef>
          </c:bubbleSize>
        </c:ser>
        <c:ser>
          <c:idx val="561"/>
          <c:order val="561"/>
          <c:tx>
            <c:strRef>
              <c:f>'2022_Data'!$A$563</c:f>
            </c:strRef>
          </c:tx>
          <c:dLbls>
            <c:dLblPos val="ctr"/>
            <c:showLegendKey val="0"/>
            <c:showVal val="0"/>
            <c:showCatName val="0"/>
            <c:showSerName val="1"/>
            <c:showPercent val="0"/>
            <c:showBubbleSize val="0"/>
          </c:dLbls>
          <c:xVal>
            <c:strRef>
              <c:f>'2022_Data'!$F$563</c:f>
            </c:strRef>
          </c:xVal>
          <c:yVal>
            <c:numRef>
              <c:f>'2022_Data'!$E$563</c:f>
              <c:numCache/>
            </c:numRef>
          </c:yVal>
          <c:bubbleSize>
            <c:numRef>
              <c:f>'2022_Data'!$G$563</c:f>
            </c:numRef>
          </c:bubbleSize>
        </c:ser>
        <c:ser>
          <c:idx val="562"/>
          <c:order val="562"/>
          <c:tx>
            <c:strRef>
              <c:f>'2022_Data'!$A$564</c:f>
            </c:strRef>
          </c:tx>
          <c:dLbls>
            <c:dLblPos val="ctr"/>
            <c:showLegendKey val="0"/>
            <c:showVal val="0"/>
            <c:showCatName val="0"/>
            <c:showSerName val="1"/>
            <c:showPercent val="0"/>
            <c:showBubbleSize val="0"/>
          </c:dLbls>
          <c:xVal>
            <c:strRef>
              <c:f>'2022_Data'!$F$564</c:f>
            </c:strRef>
          </c:xVal>
          <c:yVal>
            <c:numRef>
              <c:f>'2022_Data'!$E$564</c:f>
              <c:numCache/>
            </c:numRef>
          </c:yVal>
          <c:bubbleSize>
            <c:numRef>
              <c:f>'2022_Data'!$G$564</c:f>
            </c:numRef>
          </c:bubbleSize>
        </c:ser>
        <c:ser>
          <c:idx val="563"/>
          <c:order val="563"/>
          <c:tx>
            <c:strRef>
              <c:f>'2022_Data'!$A$565</c:f>
            </c:strRef>
          </c:tx>
          <c:dLbls>
            <c:dLblPos val="ctr"/>
            <c:showLegendKey val="0"/>
            <c:showVal val="0"/>
            <c:showCatName val="0"/>
            <c:showSerName val="1"/>
            <c:showPercent val="0"/>
            <c:showBubbleSize val="0"/>
          </c:dLbls>
          <c:xVal>
            <c:strRef>
              <c:f>'2022_Data'!$F$565</c:f>
            </c:strRef>
          </c:xVal>
          <c:yVal>
            <c:numRef>
              <c:f>'2022_Data'!$E$565</c:f>
              <c:numCache/>
            </c:numRef>
          </c:yVal>
          <c:bubbleSize>
            <c:numRef>
              <c:f>'2022_Data'!$G$565</c:f>
            </c:numRef>
          </c:bubbleSize>
        </c:ser>
        <c:ser>
          <c:idx val="564"/>
          <c:order val="564"/>
          <c:tx>
            <c:strRef>
              <c:f>'2022_Data'!$A$566</c:f>
            </c:strRef>
          </c:tx>
          <c:dLbls>
            <c:dLblPos val="ctr"/>
            <c:showLegendKey val="0"/>
            <c:showVal val="0"/>
            <c:showCatName val="0"/>
            <c:showSerName val="1"/>
            <c:showPercent val="0"/>
            <c:showBubbleSize val="0"/>
          </c:dLbls>
          <c:xVal>
            <c:strRef>
              <c:f>'2022_Data'!$F$566</c:f>
            </c:strRef>
          </c:xVal>
          <c:yVal>
            <c:numRef>
              <c:f>'2022_Data'!$E$566</c:f>
              <c:numCache/>
            </c:numRef>
          </c:yVal>
          <c:bubbleSize>
            <c:numRef>
              <c:f>'2022_Data'!$G$566</c:f>
            </c:numRef>
          </c:bubbleSize>
        </c:ser>
        <c:ser>
          <c:idx val="565"/>
          <c:order val="565"/>
          <c:tx>
            <c:strRef>
              <c:f>'2022_Data'!$A$567</c:f>
            </c:strRef>
          </c:tx>
          <c:dLbls>
            <c:dLblPos val="ctr"/>
            <c:showLegendKey val="0"/>
            <c:showVal val="0"/>
            <c:showCatName val="0"/>
            <c:showSerName val="1"/>
            <c:showPercent val="0"/>
            <c:showBubbleSize val="0"/>
          </c:dLbls>
          <c:xVal>
            <c:strRef>
              <c:f>'2022_Data'!$F$567</c:f>
            </c:strRef>
          </c:xVal>
          <c:yVal>
            <c:numRef>
              <c:f>'2022_Data'!$E$567</c:f>
              <c:numCache/>
            </c:numRef>
          </c:yVal>
          <c:bubbleSize>
            <c:numRef>
              <c:f>'2022_Data'!$G$567</c:f>
            </c:numRef>
          </c:bubbleSize>
        </c:ser>
        <c:ser>
          <c:idx val="566"/>
          <c:order val="566"/>
          <c:tx>
            <c:strRef>
              <c:f>'2022_Data'!$A$568</c:f>
            </c:strRef>
          </c:tx>
          <c:dLbls>
            <c:dLblPos val="ctr"/>
            <c:showLegendKey val="0"/>
            <c:showVal val="0"/>
            <c:showCatName val="0"/>
            <c:showSerName val="1"/>
            <c:showPercent val="0"/>
            <c:showBubbleSize val="0"/>
          </c:dLbls>
          <c:xVal>
            <c:strRef>
              <c:f>'2022_Data'!$F$568</c:f>
            </c:strRef>
          </c:xVal>
          <c:yVal>
            <c:numRef>
              <c:f>'2022_Data'!$E$568</c:f>
              <c:numCache/>
            </c:numRef>
          </c:yVal>
          <c:bubbleSize>
            <c:numRef>
              <c:f>'2022_Data'!$G$568</c:f>
            </c:numRef>
          </c:bubbleSize>
        </c:ser>
        <c:ser>
          <c:idx val="567"/>
          <c:order val="567"/>
          <c:tx>
            <c:strRef>
              <c:f>'2022_Data'!$A$569</c:f>
            </c:strRef>
          </c:tx>
          <c:dLbls>
            <c:dLblPos val="ctr"/>
            <c:showLegendKey val="0"/>
            <c:showVal val="0"/>
            <c:showCatName val="0"/>
            <c:showSerName val="1"/>
            <c:showPercent val="0"/>
            <c:showBubbleSize val="0"/>
          </c:dLbls>
          <c:xVal>
            <c:strRef>
              <c:f>'2022_Data'!$F$569</c:f>
            </c:strRef>
          </c:xVal>
          <c:yVal>
            <c:numRef>
              <c:f>'2022_Data'!$E$569</c:f>
              <c:numCache/>
            </c:numRef>
          </c:yVal>
          <c:bubbleSize>
            <c:numRef>
              <c:f>'2022_Data'!$G$569</c:f>
            </c:numRef>
          </c:bubbleSize>
        </c:ser>
        <c:ser>
          <c:idx val="568"/>
          <c:order val="568"/>
          <c:tx>
            <c:strRef>
              <c:f>'2022_Data'!$A$570</c:f>
            </c:strRef>
          </c:tx>
          <c:dLbls>
            <c:dLblPos val="ctr"/>
            <c:showLegendKey val="0"/>
            <c:showVal val="0"/>
            <c:showCatName val="0"/>
            <c:showSerName val="1"/>
            <c:showPercent val="0"/>
            <c:showBubbleSize val="0"/>
          </c:dLbls>
          <c:xVal>
            <c:strRef>
              <c:f>'2022_Data'!$F$570</c:f>
            </c:strRef>
          </c:xVal>
          <c:yVal>
            <c:numRef>
              <c:f>'2022_Data'!$E$570</c:f>
              <c:numCache/>
            </c:numRef>
          </c:yVal>
          <c:bubbleSize>
            <c:numRef>
              <c:f>'2022_Data'!$G$570</c:f>
            </c:numRef>
          </c:bubbleSize>
        </c:ser>
        <c:ser>
          <c:idx val="569"/>
          <c:order val="569"/>
          <c:tx>
            <c:strRef>
              <c:f>'2022_Data'!$A$571</c:f>
            </c:strRef>
          </c:tx>
          <c:dLbls>
            <c:dLblPos val="ctr"/>
            <c:showLegendKey val="0"/>
            <c:showVal val="0"/>
            <c:showCatName val="0"/>
            <c:showSerName val="1"/>
            <c:showPercent val="0"/>
            <c:showBubbleSize val="0"/>
          </c:dLbls>
          <c:xVal>
            <c:strRef>
              <c:f>'2022_Data'!$F$571</c:f>
            </c:strRef>
          </c:xVal>
          <c:yVal>
            <c:numRef>
              <c:f>'2022_Data'!$E$571</c:f>
              <c:numCache/>
            </c:numRef>
          </c:yVal>
          <c:bubbleSize>
            <c:numRef>
              <c:f>'2022_Data'!$G$571</c:f>
            </c:numRef>
          </c:bubbleSize>
        </c:ser>
        <c:ser>
          <c:idx val="570"/>
          <c:order val="570"/>
          <c:tx>
            <c:strRef>
              <c:f>'2022_Data'!$A$572</c:f>
            </c:strRef>
          </c:tx>
          <c:dLbls>
            <c:dLblPos val="ctr"/>
            <c:showLegendKey val="0"/>
            <c:showVal val="0"/>
            <c:showCatName val="0"/>
            <c:showSerName val="1"/>
            <c:showPercent val="0"/>
            <c:showBubbleSize val="0"/>
          </c:dLbls>
          <c:xVal>
            <c:strRef>
              <c:f>'2022_Data'!$F$572</c:f>
            </c:strRef>
          </c:xVal>
          <c:yVal>
            <c:numRef>
              <c:f>'2022_Data'!$E$572</c:f>
              <c:numCache/>
            </c:numRef>
          </c:yVal>
          <c:bubbleSize>
            <c:numRef>
              <c:f>'2022_Data'!$G$572</c:f>
            </c:numRef>
          </c:bubbleSize>
        </c:ser>
        <c:ser>
          <c:idx val="571"/>
          <c:order val="571"/>
          <c:tx>
            <c:strRef>
              <c:f>'2022_Data'!$A$573</c:f>
            </c:strRef>
          </c:tx>
          <c:dLbls>
            <c:dLblPos val="ctr"/>
            <c:showLegendKey val="0"/>
            <c:showVal val="0"/>
            <c:showCatName val="0"/>
            <c:showSerName val="1"/>
            <c:showPercent val="0"/>
            <c:showBubbleSize val="0"/>
          </c:dLbls>
          <c:xVal>
            <c:strRef>
              <c:f>'2022_Data'!$F$573</c:f>
            </c:strRef>
          </c:xVal>
          <c:yVal>
            <c:numRef>
              <c:f>'2022_Data'!$E$573</c:f>
              <c:numCache/>
            </c:numRef>
          </c:yVal>
          <c:bubbleSize>
            <c:numRef>
              <c:f>'2022_Data'!$G$573</c:f>
            </c:numRef>
          </c:bubbleSize>
        </c:ser>
        <c:ser>
          <c:idx val="572"/>
          <c:order val="572"/>
          <c:tx>
            <c:strRef>
              <c:f>'2022_Data'!$A$574</c:f>
            </c:strRef>
          </c:tx>
          <c:dLbls>
            <c:dLblPos val="ctr"/>
            <c:showLegendKey val="0"/>
            <c:showVal val="0"/>
            <c:showCatName val="0"/>
            <c:showSerName val="1"/>
            <c:showPercent val="0"/>
            <c:showBubbleSize val="0"/>
          </c:dLbls>
          <c:xVal>
            <c:strRef>
              <c:f>'2022_Data'!$F$574</c:f>
            </c:strRef>
          </c:xVal>
          <c:yVal>
            <c:numRef>
              <c:f>'2022_Data'!$E$574</c:f>
              <c:numCache/>
            </c:numRef>
          </c:yVal>
          <c:bubbleSize>
            <c:numRef>
              <c:f>'2022_Data'!$G$574</c:f>
            </c:numRef>
          </c:bubbleSize>
        </c:ser>
        <c:ser>
          <c:idx val="573"/>
          <c:order val="573"/>
          <c:tx>
            <c:strRef>
              <c:f>'2022_Data'!$A$575</c:f>
            </c:strRef>
          </c:tx>
          <c:dLbls>
            <c:dLblPos val="ctr"/>
            <c:showLegendKey val="0"/>
            <c:showVal val="0"/>
            <c:showCatName val="0"/>
            <c:showSerName val="1"/>
            <c:showPercent val="0"/>
            <c:showBubbleSize val="0"/>
          </c:dLbls>
          <c:xVal>
            <c:strRef>
              <c:f>'2022_Data'!$F$575</c:f>
            </c:strRef>
          </c:xVal>
          <c:yVal>
            <c:numRef>
              <c:f>'2022_Data'!$E$575</c:f>
              <c:numCache/>
            </c:numRef>
          </c:yVal>
          <c:bubbleSize>
            <c:numRef>
              <c:f>'2022_Data'!$G$575</c:f>
            </c:numRef>
          </c:bubbleSize>
        </c:ser>
        <c:ser>
          <c:idx val="574"/>
          <c:order val="574"/>
          <c:tx>
            <c:strRef>
              <c:f>'2022_Data'!$A$576</c:f>
            </c:strRef>
          </c:tx>
          <c:dLbls>
            <c:dLblPos val="ctr"/>
            <c:showLegendKey val="0"/>
            <c:showVal val="0"/>
            <c:showCatName val="0"/>
            <c:showSerName val="1"/>
            <c:showPercent val="0"/>
            <c:showBubbleSize val="0"/>
          </c:dLbls>
          <c:xVal>
            <c:strRef>
              <c:f>'2022_Data'!$F$576</c:f>
            </c:strRef>
          </c:xVal>
          <c:yVal>
            <c:numRef>
              <c:f>'2022_Data'!$E$576</c:f>
              <c:numCache/>
            </c:numRef>
          </c:yVal>
          <c:bubbleSize>
            <c:numRef>
              <c:f>'2022_Data'!$G$576</c:f>
            </c:numRef>
          </c:bubbleSize>
        </c:ser>
        <c:ser>
          <c:idx val="575"/>
          <c:order val="575"/>
          <c:tx>
            <c:strRef>
              <c:f>'2022_Data'!$A$577</c:f>
            </c:strRef>
          </c:tx>
          <c:dLbls>
            <c:dLblPos val="ctr"/>
            <c:showLegendKey val="0"/>
            <c:showVal val="0"/>
            <c:showCatName val="0"/>
            <c:showSerName val="1"/>
            <c:showPercent val="0"/>
            <c:showBubbleSize val="0"/>
          </c:dLbls>
          <c:xVal>
            <c:strRef>
              <c:f>'2022_Data'!$F$577</c:f>
            </c:strRef>
          </c:xVal>
          <c:yVal>
            <c:numRef>
              <c:f>'2022_Data'!$E$577</c:f>
              <c:numCache/>
            </c:numRef>
          </c:yVal>
          <c:bubbleSize>
            <c:numRef>
              <c:f>'2022_Data'!$G$577</c:f>
            </c:numRef>
          </c:bubbleSize>
        </c:ser>
        <c:ser>
          <c:idx val="576"/>
          <c:order val="576"/>
          <c:tx>
            <c:strRef>
              <c:f>'2022_Data'!$A$578</c:f>
            </c:strRef>
          </c:tx>
          <c:dLbls>
            <c:dLblPos val="ctr"/>
            <c:showLegendKey val="0"/>
            <c:showVal val="0"/>
            <c:showCatName val="0"/>
            <c:showSerName val="1"/>
            <c:showPercent val="0"/>
            <c:showBubbleSize val="0"/>
          </c:dLbls>
          <c:xVal>
            <c:strRef>
              <c:f>'2022_Data'!$F$578</c:f>
            </c:strRef>
          </c:xVal>
          <c:yVal>
            <c:numRef>
              <c:f>'2022_Data'!$E$578</c:f>
              <c:numCache/>
            </c:numRef>
          </c:yVal>
          <c:bubbleSize>
            <c:numRef>
              <c:f>'2022_Data'!$G$578</c:f>
            </c:numRef>
          </c:bubbleSize>
        </c:ser>
        <c:ser>
          <c:idx val="577"/>
          <c:order val="577"/>
          <c:tx>
            <c:strRef>
              <c:f>'2022_Data'!$A$579</c:f>
            </c:strRef>
          </c:tx>
          <c:dLbls>
            <c:dLblPos val="ctr"/>
            <c:showLegendKey val="0"/>
            <c:showVal val="0"/>
            <c:showCatName val="0"/>
            <c:showSerName val="1"/>
            <c:showPercent val="0"/>
            <c:showBubbleSize val="0"/>
          </c:dLbls>
          <c:xVal>
            <c:strRef>
              <c:f>'2022_Data'!$F$579</c:f>
            </c:strRef>
          </c:xVal>
          <c:yVal>
            <c:numRef>
              <c:f>'2022_Data'!$E$579</c:f>
              <c:numCache/>
            </c:numRef>
          </c:yVal>
          <c:bubbleSize>
            <c:numRef>
              <c:f>'2022_Data'!$G$579</c:f>
            </c:numRef>
          </c:bubbleSize>
        </c:ser>
        <c:ser>
          <c:idx val="578"/>
          <c:order val="578"/>
          <c:tx>
            <c:strRef>
              <c:f>'2022_Data'!$A$580</c:f>
            </c:strRef>
          </c:tx>
          <c:dLbls>
            <c:dLblPos val="ctr"/>
            <c:showLegendKey val="0"/>
            <c:showVal val="0"/>
            <c:showCatName val="0"/>
            <c:showSerName val="1"/>
            <c:showPercent val="0"/>
            <c:showBubbleSize val="0"/>
          </c:dLbls>
          <c:xVal>
            <c:strRef>
              <c:f>'2022_Data'!$F$580</c:f>
            </c:strRef>
          </c:xVal>
          <c:yVal>
            <c:numRef>
              <c:f>'2022_Data'!$E$580</c:f>
              <c:numCache/>
            </c:numRef>
          </c:yVal>
          <c:bubbleSize>
            <c:numRef>
              <c:f>'2022_Data'!$G$580</c:f>
            </c:numRef>
          </c:bubbleSize>
        </c:ser>
        <c:ser>
          <c:idx val="579"/>
          <c:order val="579"/>
          <c:tx>
            <c:strRef>
              <c:f>'2022_Data'!$A$581</c:f>
            </c:strRef>
          </c:tx>
          <c:dLbls>
            <c:dLblPos val="ctr"/>
            <c:showLegendKey val="0"/>
            <c:showVal val="0"/>
            <c:showCatName val="0"/>
            <c:showSerName val="1"/>
            <c:showPercent val="0"/>
            <c:showBubbleSize val="0"/>
          </c:dLbls>
          <c:xVal>
            <c:strRef>
              <c:f>'2022_Data'!$F$581</c:f>
            </c:strRef>
          </c:xVal>
          <c:yVal>
            <c:numRef>
              <c:f>'2022_Data'!$E$581</c:f>
              <c:numCache/>
            </c:numRef>
          </c:yVal>
          <c:bubbleSize>
            <c:numRef>
              <c:f>'2022_Data'!$G$581</c:f>
            </c:numRef>
          </c:bubbleSize>
        </c:ser>
        <c:ser>
          <c:idx val="580"/>
          <c:order val="580"/>
          <c:tx>
            <c:strRef>
              <c:f>'2022_Data'!$A$582</c:f>
            </c:strRef>
          </c:tx>
          <c:dLbls>
            <c:dLblPos val="ctr"/>
            <c:showLegendKey val="0"/>
            <c:showVal val="0"/>
            <c:showCatName val="0"/>
            <c:showSerName val="1"/>
            <c:showPercent val="0"/>
            <c:showBubbleSize val="0"/>
          </c:dLbls>
          <c:xVal>
            <c:strRef>
              <c:f>'2022_Data'!$F$582</c:f>
            </c:strRef>
          </c:xVal>
          <c:yVal>
            <c:numRef>
              <c:f>'2022_Data'!$E$582</c:f>
              <c:numCache/>
            </c:numRef>
          </c:yVal>
          <c:bubbleSize>
            <c:numRef>
              <c:f>'2022_Data'!$G$582</c:f>
            </c:numRef>
          </c:bubbleSize>
        </c:ser>
        <c:ser>
          <c:idx val="581"/>
          <c:order val="581"/>
          <c:tx>
            <c:strRef>
              <c:f>'2022_Data'!$A$583</c:f>
            </c:strRef>
          </c:tx>
          <c:dLbls>
            <c:dLblPos val="ctr"/>
            <c:showLegendKey val="0"/>
            <c:showVal val="0"/>
            <c:showCatName val="0"/>
            <c:showSerName val="1"/>
            <c:showPercent val="0"/>
            <c:showBubbleSize val="0"/>
          </c:dLbls>
          <c:xVal>
            <c:strRef>
              <c:f>'2022_Data'!$F$583</c:f>
            </c:strRef>
          </c:xVal>
          <c:yVal>
            <c:numRef>
              <c:f>'2022_Data'!$E$583</c:f>
              <c:numCache/>
            </c:numRef>
          </c:yVal>
          <c:bubbleSize>
            <c:numRef>
              <c:f>'2022_Data'!$G$583</c:f>
            </c:numRef>
          </c:bubbleSize>
        </c:ser>
        <c:ser>
          <c:idx val="582"/>
          <c:order val="582"/>
          <c:tx>
            <c:strRef>
              <c:f>'2022_Data'!$A$584</c:f>
            </c:strRef>
          </c:tx>
          <c:dLbls>
            <c:dLblPos val="ctr"/>
            <c:showLegendKey val="0"/>
            <c:showVal val="0"/>
            <c:showCatName val="0"/>
            <c:showSerName val="1"/>
            <c:showPercent val="0"/>
            <c:showBubbleSize val="0"/>
          </c:dLbls>
          <c:xVal>
            <c:strRef>
              <c:f>'2022_Data'!$F$584</c:f>
            </c:strRef>
          </c:xVal>
          <c:yVal>
            <c:numRef>
              <c:f>'2022_Data'!$E$584</c:f>
              <c:numCache/>
            </c:numRef>
          </c:yVal>
          <c:bubbleSize>
            <c:numRef>
              <c:f>'2022_Data'!$G$584</c:f>
            </c:numRef>
          </c:bubbleSize>
        </c:ser>
        <c:ser>
          <c:idx val="583"/>
          <c:order val="583"/>
          <c:tx>
            <c:strRef>
              <c:f>'2022_Data'!$A$585</c:f>
            </c:strRef>
          </c:tx>
          <c:dLbls>
            <c:dLblPos val="ctr"/>
            <c:showLegendKey val="0"/>
            <c:showVal val="0"/>
            <c:showCatName val="0"/>
            <c:showSerName val="1"/>
            <c:showPercent val="0"/>
            <c:showBubbleSize val="0"/>
          </c:dLbls>
          <c:xVal>
            <c:strRef>
              <c:f>'2022_Data'!$F$585</c:f>
            </c:strRef>
          </c:xVal>
          <c:yVal>
            <c:numRef>
              <c:f>'2022_Data'!$E$585</c:f>
              <c:numCache/>
            </c:numRef>
          </c:yVal>
          <c:bubbleSize>
            <c:numRef>
              <c:f>'2022_Data'!$G$585</c:f>
            </c:numRef>
          </c:bubbleSize>
        </c:ser>
        <c:ser>
          <c:idx val="584"/>
          <c:order val="584"/>
          <c:tx>
            <c:strRef>
              <c:f>'2022_Data'!$A$586</c:f>
            </c:strRef>
          </c:tx>
          <c:dLbls>
            <c:dLblPos val="ctr"/>
            <c:showLegendKey val="0"/>
            <c:showVal val="0"/>
            <c:showCatName val="0"/>
            <c:showSerName val="1"/>
            <c:showPercent val="0"/>
            <c:showBubbleSize val="0"/>
          </c:dLbls>
          <c:xVal>
            <c:strRef>
              <c:f>'2022_Data'!$F$586</c:f>
            </c:strRef>
          </c:xVal>
          <c:yVal>
            <c:numRef>
              <c:f>'2022_Data'!$E$586</c:f>
              <c:numCache/>
            </c:numRef>
          </c:yVal>
          <c:bubbleSize>
            <c:numRef>
              <c:f>'2022_Data'!$G$586</c:f>
            </c:numRef>
          </c:bubbleSize>
        </c:ser>
        <c:ser>
          <c:idx val="585"/>
          <c:order val="585"/>
          <c:tx>
            <c:strRef>
              <c:f>'2022_Data'!$A$587</c:f>
            </c:strRef>
          </c:tx>
          <c:dLbls>
            <c:dLblPos val="ctr"/>
            <c:showLegendKey val="0"/>
            <c:showVal val="0"/>
            <c:showCatName val="0"/>
            <c:showSerName val="1"/>
            <c:showPercent val="0"/>
            <c:showBubbleSize val="0"/>
          </c:dLbls>
          <c:xVal>
            <c:strRef>
              <c:f>'2022_Data'!$F$587</c:f>
            </c:strRef>
          </c:xVal>
          <c:yVal>
            <c:numRef>
              <c:f>'2022_Data'!$E$587</c:f>
              <c:numCache/>
            </c:numRef>
          </c:yVal>
          <c:bubbleSize>
            <c:numRef>
              <c:f>'2022_Data'!$G$587</c:f>
            </c:numRef>
          </c:bubbleSize>
        </c:ser>
        <c:ser>
          <c:idx val="586"/>
          <c:order val="586"/>
          <c:tx>
            <c:strRef>
              <c:f>'2022_Data'!$A$588</c:f>
            </c:strRef>
          </c:tx>
          <c:dLbls>
            <c:dLblPos val="ctr"/>
            <c:showLegendKey val="0"/>
            <c:showVal val="0"/>
            <c:showCatName val="0"/>
            <c:showSerName val="1"/>
            <c:showPercent val="0"/>
            <c:showBubbleSize val="0"/>
          </c:dLbls>
          <c:xVal>
            <c:strRef>
              <c:f>'2022_Data'!$F$588</c:f>
            </c:strRef>
          </c:xVal>
          <c:yVal>
            <c:numRef>
              <c:f>'2022_Data'!$E$588</c:f>
              <c:numCache/>
            </c:numRef>
          </c:yVal>
          <c:bubbleSize>
            <c:numRef>
              <c:f>'2022_Data'!$G$588</c:f>
            </c:numRef>
          </c:bubbleSize>
        </c:ser>
        <c:ser>
          <c:idx val="587"/>
          <c:order val="587"/>
          <c:tx>
            <c:strRef>
              <c:f>'2022_Data'!$A$589</c:f>
            </c:strRef>
          </c:tx>
          <c:dLbls>
            <c:dLblPos val="ctr"/>
            <c:showLegendKey val="0"/>
            <c:showVal val="0"/>
            <c:showCatName val="0"/>
            <c:showSerName val="1"/>
            <c:showPercent val="0"/>
            <c:showBubbleSize val="0"/>
          </c:dLbls>
          <c:xVal>
            <c:strRef>
              <c:f>'2022_Data'!$F$589</c:f>
            </c:strRef>
          </c:xVal>
          <c:yVal>
            <c:numRef>
              <c:f>'2022_Data'!$E$589</c:f>
              <c:numCache/>
            </c:numRef>
          </c:yVal>
          <c:bubbleSize>
            <c:numRef>
              <c:f>'2022_Data'!$G$589</c:f>
            </c:numRef>
          </c:bubbleSize>
        </c:ser>
        <c:ser>
          <c:idx val="588"/>
          <c:order val="588"/>
          <c:tx>
            <c:strRef>
              <c:f>'2022_Data'!$A$590</c:f>
            </c:strRef>
          </c:tx>
          <c:dLbls>
            <c:dLblPos val="ctr"/>
            <c:showLegendKey val="0"/>
            <c:showVal val="0"/>
            <c:showCatName val="0"/>
            <c:showSerName val="1"/>
            <c:showPercent val="0"/>
            <c:showBubbleSize val="0"/>
          </c:dLbls>
          <c:xVal>
            <c:strRef>
              <c:f>'2022_Data'!$F$590</c:f>
            </c:strRef>
          </c:xVal>
          <c:yVal>
            <c:numRef>
              <c:f>'2022_Data'!$E$590</c:f>
              <c:numCache/>
            </c:numRef>
          </c:yVal>
          <c:bubbleSize>
            <c:numRef>
              <c:f>'2022_Data'!$G$590</c:f>
            </c:numRef>
          </c:bubbleSize>
        </c:ser>
        <c:ser>
          <c:idx val="589"/>
          <c:order val="589"/>
          <c:tx>
            <c:strRef>
              <c:f>'2022_Data'!$A$591</c:f>
            </c:strRef>
          </c:tx>
          <c:dLbls>
            <c:dLblPos val="ctr"/>
            <c:showLegendKey val="0"/>
            <c:showVal val="0"/>
            <c:showCatName val="0"/>
            <c:showSerName val="1"/>
            <c:showPercent val="0"/>
            <c:showBubbleSize val="0"/>
          </c:dLbls>
          <c:xVal>
            <c:strRef>
              <c:f>'2022_Data'!$F$591</c:f>
            </c:strRef>
          </c:xVal>
          <c:yVal>
            <c:numRef>
              <c:f>'2022_Data'!$E$591</c:f>
              <c:numCache/>
            </c:numRef>
          </c:yVal>
          <c:bubbleSize>
            <c:numRef>
              <c:f>'2022_Data'!$G$591</c:f>
            </c:numRef>
          </c:bubbleSize>
        </c:ser>
        <c:ser>
          <c:idx val="590"/>
          <c:order val="590"/>
          <c:tx>
            <c:strRef>
              <c:f>'2022_Data'!$A$592</c:f>
            </c:strRef>
          </c:tx>
          <c:dLbls>
            <c:dLblPos val="ctr"/>
            <c:showLegendKey val="0"/>
            <c:showVal val="0"/>
            <c:showCatName val="0"/>
            <c:showSerName val="1"/>
            <c:showPercent val="0"/>
            <c:showBubbleSize val="0"/>
          </c:dLbls>
          <c:xVal>
            <c:strRef>
              <c:f>'2022_Data'!$F$592</c:f>
            </c:strRef>
          </c:xVal>
          <c:yVal>
            <c:numRef>
              <c:f>'2022_Data'!$E$592</c:f>
              <c:numCache/>
            </c:numRef>
          </c:yVal>
          <c:bubbleSize>
            <c:numRef>
              <c:f>'2022_Data'!$G$592</c:f>
            </c:numRef>
          </c:bubbleSize>
        </c:ser>
        <c:ser>
          <c:idx val="591"/>
          <c:order val="591"/>
          <c:tx>
            <c:strRef>
              <c:f>'2022_Data'!$A$593</c:f>
            </c:strRef>
          </c:tx>
          <c:dLbls>
            <c:dLblPos val="ctr"/>
            <c:showLegendKey val="0"/>
            <c:showVal val="0"/>
            <c:showCatName val="0"/>
            <c:showSerName val="1"/>
            <c:showPercent val="0"/>
            <c:showBubbleSize val="0"/>
          </c:dLbls>
          <c:xVal>
            <c:strRef>
              <c:f>'2022_Data'!$F$593</c:f>
            </c:strRef>
          </c:xVal>
          <c:yVal>
            <c:numRef>
              <c:f>'2022_Data'!$E$593</c:f>
              <c:numCache/>
            </c:numRef>
          </c:yVal>
          <c:bubbleSize>
            <c:numRef>
              <c:f>'2022_Data'!$G$593</c:f>
            </c:numRef>
          </c:bubbleSize>
        </c:ser>
        <c:ser>
          <c:idx val="592"/>
          <c:order val="592"/>
          <c:tx>
            <c:strRef>
              <c:f>'2022_Data'!$A$594</c:f>
            </c:strRef>
          </c:tx>
          <c:dLbls>
            <c:dLblPos val="ctr"/>
            <c:showLegendKey val="0"/>
            <c:showVal val="0"/>
            <c:showCatName val="0"/>
            <c:showSerName val="1"/>
            <c:showPercent val="0"/>
            <c:showBubbleSize val="0"/>
          </c:dLbls>
          <c:xVal>
            <c:strRef>
              <c:f>'2022_Data'!$F$594</c:f>
            </c:strRef>
          </c:xVal>
          <c:yVal>
            <c:numRef>
              <c:f>'2022_Data'!$E$594</c:f>
              <c:numCache/>
            </c:numRef>
          </c:yVal>
          <c:bubbleSize>
            <c:numRef>
              <c:f>'2022_Data'!$G$594</c:f>
            </c:numRef>
          </c:bubbleSize>
        </c:ser>
        <c:ser>
          <c:idx val="593"/>
          <c:order val="593"/>
          <c:tx>
            <c:strRef>
              <c:f>'2022_Data'!$A$595</c:f>
            </c:strRef>
          </c:tx>
          <c:dLbls>
            <c:dLblPos val="ctr"/>
            <c:showLegendKey val="0"/>
            <c:showVal val="0"/>
            <c:showCatName val="0"/>
            <c:showSerName val="1"/>
            <c:showPercent val="0"/>
            <c:showBubbleSize val="0"/>
          </c:dLbls>
          <c:xVal>
            <c:strRef>
              <c:f>'2022_Data'!$F$595</c:f>
            </c:strRef>
          </c:xVal>
          <c:yVal>
            <c:numRef>
              <c:f>'2022_Data'!$E$595</c:f>
              <c:numCache/>
            </c:numRef>
          </c:yVal>
          <c:bubbleSize>
            <c:numRef>
              <c:f>'2022_Data'!$G$595</c:f>
            </c:numRef>
          </c:bubbleSize>
        </c:ser>
        <c:ser>
          <c:idx val="594"/>
          <c:order val="594"/>
          <c:tx>
            <c:strRef>
              <c:f>'2022_Data'!$A$596</c:f>
            </c:strRef>
          </c:tx>
          <c:dLbls>
            <c:dLblPos val="ctr"/>
            <c:showLegendKey val="0"/>
            <c:showVal val="0"/>
            <c:showCatName val="0"/>
            <c:showSerName val="1"/>
            <c:showPercent val="0"/>
            <c:showBubbleSize val="0"/>
          </c:dLbls>
          <c:xVal>
            <c:strRef>
              <c:f>'2022_Data'!$F$596</c:f>
            </c:strRef>
          </c:xVal>
          <c:yVal>
            <c:numRef>
              <c:f>'2022_Data'!$E$596</c:f>
              <c:numCache/>
            </c:numRef>
          </c:yVal>
          <c:bubbleSize>
            <c:numRef>
              <c:f>'2022_Data'!$G$596</c:f>
            </c:numRef>
          </c:bubbleSize>
        </c:ser>
        <c:ser>
          <c:idx val="595"/>
          <c:order val="595"/>
          <c:tx>
            <c:strRef>
              <c:f>'2022_Data'!$A$597</c:f>
            </c:strRef>
          </c:tx>
          <c:dLbls>
            <c:dLblPos val="ctr"/>
            <c:showLegendKey val="0"/>
            <c:showVal val="0"/>
            <c:showCatName val="0"/>
            <c:showSerName val="1"/>
            <c:showPercent val="0"/>
            <c:showBubbleSize val="0"/>
          </c:dLbls>
          <c:xVal>
            <c:strRef>
              <c:f>'2022_Data'!$F$597</c:f>
            </c:strRef>
          </c:xVal>
          <c:yVal>
            <c:numRef>
              <c:f>'2022_Data'!$E$597</c:f>
              <c:numCache/>
            </c:numRef>
          </c:yVal>
          <c:bubbleSize>
            <c:numRef>
              <c:f>'2022_Data'!$G$597</c:f>
            </c:numRef>
          </c:bubbleSize>
        </c:ser>
        <c:ser>
          <c:idx val="596"/>
          <c:order val="596"/>
          <c:tx>
            <c:strRef>
              <c:f>'2022_Data'!$A$598</c:f>
            </c:strRef>
          </c:tx>
          <c:dLbls>
            <c:dLblPos val="ctr"/>
            <c:showLegendKey val="0"/>
            <c:showVal val="0"/>
            <c:showCatName val="0"/>
            <c:showSerName val="1"/>
            <c:showPercent val="0"/>
            <c:showBubbleSize val="0"/>
          </c:dLbls>
          <c:xVal>
            <c:strRef>
              <c:f>'2022_Data'!$F$598</c:f>
            </c:strRef>
          </c:xVal>
          <c:yVal>
            <c:numRef>
              <c:f>'2022_Data'!$E$598</c:f>
              <c:numCache/>
            </c:numRef>
          </c:yVal>
          <c:bubbleSize>
            <c:numRef>
              <c:f>'2022_Data'!$G$598</c:f>
            </c:numRef>
          </c:bubbleSize>
        </c:ser>
        <c:ser>
          <c:idx val="597"/>
          <c:order val="597"/>
          <c:tx>
            <c:strRef>
              <c:f>'2022_Data'!$A$599</c:f>
            </c:strRef>
          </c:tx>
          <c:dLbls>
            <c:dLblPos val="ctr"/>
            <c:showLegendKey val="0"/>
            <c:showVal val="0"/>
            <c:showCatName val="0"/>
            <c:showSerName val="1"/>
            <c:showPercent val="0"/>
            <c:showBubbleSize val="0"/>
          </c:dLbls>
          <c:xVal>
            <c:strRef>
              <c:f>'2022_Data'!$F$599</c:f>
            </c:strRef>
          </c:xVal>
          <c:yVal>
            <c:numRef>
              <c:f>'2022_Data'!$E$599</c:f>
              <c:numCache/>
            </c:numRef>
          </c:yVal>
          <c:bubbleSize>
            <c:numRef>
              <c:f>'2022_Data'!$G$599</c:f>
            </c:numRef>
          </c:bubbleSize>
        </c:ser>
        <c:ser>
          <c:idx val="598"/>
          <c:order val="598"/>
          <c:tx>
            <c:strRef>
              <c:f>'2022_Data'!$A$600</c:f>
            </c:strRef>
          </c:tx>
          <c:dLbls>
            <c:dLblPos val="ctr"/>
            <c:showLegendKey val="0"/>
            <c:showVal val="0"/>
            <c:showCatName val="0"/>
            <c:showSerName val="1"/>
            <c:showPercent val="0"/>
            <c:showBubbleSize val="0"/>
          </c:dLbls>
          <c:xVal>
            <c:strRef>
              <c:f>'2022_Data'!$F$600</c:f>
            </c:strRef>
          </c:xVal>
          <c:yVal>
            <c:numRef>
              <c:f>'2022_Data'!$E$600</c:f>
              <c:numCache/>
            </c:numRef>
          </c:yVal>
          <c:bubbleSize>
            <c:numRef>
              <c:f>'2022_Data'!$G$600</c:f>
            </c:numRef>
          </c:bubbleSize>
        </c:ser>
        <c:ser>
          <c:idx val="599"/>
          <c:order val="599"/>
          <c:tx>
            <c:strRef>
              <c:f>'2022_Data'!$A$601</c:f>
            </c:strRef>
          </c:tx>
          <c:dLbls>
            <c:dLblPos val="ctr"/>
            <c:showLegendKey val="0"/>
            <c:showVal val="0"/>
            <c:showCatName val="0"/>
            <c:showSerName val="1"/>
            <c:showPercent val="0"/>
            <c:showBubbleSize val="0"/>
          </c:dLbls>
          <c:xVal>
            <c:strRef>
              <c:f>'2022_Data'!$F$601</c:f>
            </c:strRef>
          </c:xVal>
          <c:yVal>
            <c:numRef>
              <c:f>'2022_Data'!$E$601</c:f>
              <c:numCache/>
            </c:numRef>
          </c:yVal>
          <c:bubbleSize>
            <c:numRef>
              <c:f>'2022_Data'!$G$601</c:f>
            </c:numRef>
          </c:bubbleSize>
        </c:ser>
        <c:ser>
          <c:idx val="600"/>
          <c:order val="600"/>
          <c:tx>
            <c:strRef>
              <c:f>'2022_Data'!$A$602</c:f>
            </c:strRef>
          </c:tx>
          <c:dLbls>
            <c:dLblPos val="ctr"/>
            <c:showLegendKey val="0"/>
            <c:showVal val="0"/>
            <c:showCatName val="0"/>
            <c:showSerName val="1"/>
            <c:showPercent val="0"/>
            <c:showBubbleSize val="0"/>
          </c:dLbls>
          <c:xVal>
            <c:strRef>
              <c:f>'2022_Data'!$F$602</c:f>
            </c:strRef>
          </c:xVal>
          <c:yVal>
            <c:numRef>
              <c:f>'2022_Data'!$E$602</c:f>
              <c:numCache/>
            </c:numRef>
          </c:yVal>
          <c:bubbleSize>
            <c:numRef>
              <c:f>'2022_Data'!$G$602</c:f>
            </c:numRef>
          </c:bubbleSize>
        </c:ser>
        <c:ser>
          <c:idx val="601"/>
          <c:order val="601"/>
          <c:tx>
            <c:strRef>
              <c:f>'2022_Data'!$A$603</c:f>
            </c:strRef>
          </c:tx>
          <c:dLbls>
            <c:dLblPos val="ctr"/>
            <c:showLegendKey val="0"/>
            <c:showVal val="0"/>
            <c:showCatName val="0"/>
            <c:showSerName val="1"/>
            <c:showPercent val="0"/>
            <c:showBubbleSize val="0"/>
          </c:dLbls>
          <c:xVal>
            <c:strRef>
              <c:f>'2022_Data'!$F$603</c:f>
            </c:strRef>
          </c:xVal>
          <c:yVal>
            <c:numRef>
              <c:f>'2022_Data'!$E$603</c:f>
              <c:numCache/>
            </c:numRef>
          </c:yVal>
          <c:bubbleSize>
            <c:numRef>
              <c:f>'2022_Data'!$G$603</c:f>
            </c:numRef>
          </c:bubbleSize>
        </c:ser>
        <c:ser>
          <c:idx val="602"/>
          <c:order val="602"/>
          <c:tx>
            <c:strRef>
              <c:f>'2022_Data'!$A$604</c:f>
            </c:strRef>
          </c:tx>
          <c:dLbls>
            <c:dLblPos val="ctr"/>
            <c:showLegendKey val="0"/>
            <c:showVal val="0"/>
            <c:showCatName val="0"/>
            <c:showSerName val="1"/>
            <c:showPercent val="0"/>
            <c:showBubbleSize val="0"/>
          </c:dLbls>
          <c:xVal>
            <c:strRef>
              <c:f>'2022_Data'!$F$604</c:f>
            </c:strRef>
          </c:xVal>
          <c:yVal>
            <c:numRef>
              <c:f>'2022_Data'!$E$604</c:f>
              <c:numCache/>
            </c:numRef>
          </c:yVal>
          <c:bubbleSize>
            <c:numRef>
              <c:f>'2022_Data'!$G$604</c:f>
            </c:numRef>
          </c:bubbleSize>
        </c:ser>
        <c:ser>
          <c:idx val="603"/>
          <c:order val="603"/>
          <c:tx>
            <c:strRef>
              <c:f>'2022_Data'!$A$605</c:f>
            </c:strRef>
          </c:tx>
          <c:dLbls>
            <c:dLblPos val="ctr"/>
            <c:showLegendKey val="0"/>
            <c:showVal val="0"/>
            <c:showCatName val="0"/>
            <c:showSerName val="1"/>
            <c:showPercent val="0"/>
            <c:showBubbleSize val="0"/>
          </c:dLbls>
          <c:xVal>
            <c:strRef>
              <c:f>'2022_Data'!$F$605</c:f>
            </c:strRef>
          </c:xVal>
          <c:yVal>
            <c:numRef>
              <c:f>'2022_Data'!$E$605</c:f>
              <c:numCache/>
            </c:numRef>
          </c:yVal>
          <c:bubbleSize>
            <c:numRef>
              <c:f>'2022_Data'!$G$605</c:f>
            </c:numRef>
          </c:bubbleSize>
        </c:ser>
        <c:ser>
          <c:idx val="604"/>
          <c:order val="604"/>
          <c:tx>
            <c:strRef>
              <c:f>'2022_Data'!$A$606</c:f>
            </c:strRef>
          </c:tx>
          <c:dLbls>
            <c:dLblPos val="ctr"/>
            <c:showLegendKey val="0"/>
            <c:showVal val="0"/>
            <c:showCatName val="0"/>
            <c:showSerName val="1"/>
            <c:showPercent val="0"/>
            <c:showBubbleSize val="0"/>
          </c:dLbls>
          <c:xVal>
            <c:strRef>
              <c:f>'2022_Data'!$F$606</c:f>
            </c:strRef>
          </c:xVal>
          <c:yVal>
            <c:numRef>
              <c:f>'2022_Data'!$E$606</c:f>
              <c:numCache/>
            </c:numRef>
          </c:yVal>
          <c:bubbleSize>
            <c:numRef>
              <c:f>'2022_Data'!$G$606</c:f>
            </c:numRef>
          </c:bubbleSize>
        </c:ser>
        <c:ser>
          <c:idx val="605"/>
          <c:order val="605"/>
          <c:tx>
            <c:strRef>
              <c:f>'2022_Data'!$A$607</c:f>
            </c:strRef>
          </c:tx>
          <c:dLbls>
            <c:dLblPos val="ctr"/>
            <c:showLegendKey val="0"/>
            <c:showVal val="0"/>
            <c:showCatName val="0"/>
            <c:showSerName val="1"/>
            <c:showPercent val="0"/>
            <c:showBubbleSize val="0"/>
          </c:dLbls>
          <c:xVal>
            <c:strRef>
              <c:f>'2022_Data'!$F$607</c:f>
            </c:strRef>
          </c:xVal>
          <c:yVal>
            <c:numRef>
              <c:f>'2022_Data'!$E$607</c:f>
              <c:numCache/>
            </c:numRef>
          </c:yVal>
          <c:bubbleSize>
            <c:numRef>
              <c:f>'2022_Data'!$G$607</c:f>
            </c:numRef>
          </c:bubbleSize>
        </c:ser>
        <c:ser>
          <c:idx val="606"/>
          <c:order val="606"/>
          <c:tx>
            <c:strRef>
              <c:f>'2022_Data'!$A$608</c:f>
            </c:strRef>
          </c:tx>
          <c:dLbls>
            <c:dLblPos val="ctr"/>
            <c:showLegendKey val="0"/>
            <c:showVal val="0"/>
            <c:showCatName val="0"/>
            <c:showSerName val="1"/>
            <c:showPercent val="0"/>
            <c:showBubbleSize val="0"/>
          </c:dLbls>
          <c:xVal>
            <c:strRef>
              <c:f>'2022_Data'!$F$608</c:f>
            </c:strRef>
          </c:xVal>
          <c:yVal>
            <c:numRef>
              <c:f>'2022_Data'!$E$608</c:f>
              <c:numCache/>
            </c:numRef>
          </c:yVal>
          <c:bubbleSize>
            <c:numRef>
              <c:f>'2022_Data'!$G$608</c:f>
            </c:numRef>
          </c:bubbleSize>
        </c:ser>
        <c:ser>
          <c:idx val="607"/>
          <c:order val="607"/>
          <c:tx>
            <c:strRef>
              <c:f>'2022_Data'!$A$609</c:f>
            </c:strRef>
          </c:tx>
          <c:dLbls>
            <c:dLblPos val="ctr"/>
            <c:showLegendKey val="0"/>
            <c:showVal val="0"/>
            <c:showCatName val="0"/>
            <c:showSerName val="1"/>
            <c:showPercent val="0"/>
            <c:showBubbleSize val="0"/>
          </c:dLbls>
          <c:xVal>
            <c:strRef>
              <c:f>'2022_Data'!$F$609</c:f>
            </c:strRef>
          </c:xVal>
          <c:yVal>
            <c:numRef>
              <c:f>'2022_Data'!$E$609</c:f>
              <c:numCache/>
            </c:numRef>
          </c:yVal>
          <c:bubbleSize>
            <c:numRef>
              <c:f>'2022_Data'!$G$609</c:f>
            </c:numRef>
          </c:bubbleSize>
        </c:ser>
        <c:ser>
          <c:idx val="608"/>
          <c:order val="608"/>
          <c:tx>
            <c:strRef>
              <c:f>'2022_Data'!$A$610</c:f>
            </c:strRef>
          </c:tx>
          <c:dLbls>
            <c:dLblPos val="ctr"/>
            <c:showLegendKey val="0"/>
            <c:showVal val="0"/>
            <c:showCatName val="0"/>
            <c:showSerName val="1"/>
            <c:showPercent val="0"/>
            <c:showBubbleSize val="0"/>
          </c:dLbls>
          <c:xVal>
            <c:strRef>
              <c:f>'2022_Data'!$F$610</c:f>
            </c:strRef>
          </c:xVal>
          <c:yVal>
            <c:numRef>
              <c:f>'2022_Data'!$E$610</c:f>
              <c:numCache/>
            </c:numRef>
          </c:yVal>
          <c:bubbleSize>
            <c:numRef>
              <c:f>'2022_Data'!$G$610</c:f>
            </c:numRef>
          </c:bubbleSize>
        </c:ser>
        <c:ser>
          <c:idx val="609"/>
          <c:order val="609"/>
          <c:tx>
            <c:strRef>
              <c:f>'2022_Data'!$A$611</c:f>
            </c:strRef>
          </c:tx>
          <c:dLbls>
            <c:dLblPos val="ctr"/>
            <c:showLegendKey val="0"/>
            <c:showVal val="0"/>
            <c:showCatName val="0"/>
            <c:showSerName val="1"/>
            <c:showPercent val="0"/>
            <c:showBubbleSize val="0"/>
          </c:dLbls>
          <c:xVal>
            <c:strRef>
              <c:f>'2022_Data'!$F$611</c:f>
            </c:strRef>
          </c:xVal>
          <c:yVal>
            <c:numRef>
              <c:f>'2022_Data'!$E$611</c:f>
              <c:numCache/>
            </c:numRef>
          </c:yVal>
          <c:bubbleSize>
            <c:numRef>
              <c:f>'2022_Data'!$G$611</c:f>
            </c:numRef>
          </c:bubbleSize>
        </c:ser>
        <c:ser>
          <c:idx val="610"/>
          <c:order val="610"/>
          <c:tx>
            <c:strRef>
              <c:f>'2022_Data'!$A$612</c:f>
            </c:strRef>
          </c:tx>
          <c:dLbls>
            <c:dLblPos val="ctr"/>
            <c:showLegendKey val="0"/>
            <c:showVal val="0"/>
            <c:showCatName val="0"/>
            <c:showSerName val="1"/>
            <c:showPercent val="0"/>
            <c:showBubbleSize val="0"/>
          </c:dLbls>
          <c:xVal>
            <c:strRef>
              <c:f>'2022_Data'!$F$612</c:f>
            </c:strRef>
          </c:xVal>
          <c:yVal>
            <c:numRef>
              <c:f>'2022_Data'!$E$612</c:f>
              <c:numCache/>
            </c:numRef>
          </c:yVal>
          <c:bubbleSize>
            <c:numRef>
              <c:f>'2022_Data'!$G$612</c:f>
            </c:numRef>
          </c:bubbleSize>
        </c:ser>
        <c:ser>
          <c:idx val="611"/>
          <c:order val="611"/>
          <c:tx>
            <c:strRef>
              <c:f>'2022_Data'!$A$613</c:f>
            </c:strRef>
          </c:tx>
          <c:dLbls>
            <c:dLblPos val="ctr"/>
            <c:showLegendKey val="0"/>
            <c:showVal val="0"/>
            <c:showCatName val="0"/>
            <c:showSerName val="1"/>
            <c:showPercent val="0"/>
            <c:showBubbleSize val="0"/>
          </c:dLbls>
          <c:xVal>
            <c:strRef>
              <c:f>'2022_Data'!$F$613</c:f>
            </c:strRef>
          </c:xVal>
          <c:yVal>
            <c:numRef>
              <c:f>'2022_Data'!$E$613</c:f>
              <c:numCache/>
            </c:numRef>
          </c:yVal>
          <c:bubbleSize>
            <c:numRef>
              <c:f>'2022_Data'!$G$613</c:f>
            </c:numRef>
          </c:bubbleSize>
        </c:ser>
        <c:ser>
          <c:idx val="612"/>
          <c:order val="612"/>
          <c:tx>
            <c:strRef>
              <c:f>'2022_Data'!$A$614</c:f>
            </c:strRef>
          </c:tx>
          <c:dLbls>
            <c:dLblPos val="ctr"/>
            <c:showLegendKey val="0"/>
            <c:showVal val="0"/>
            <c:showCatName val="0"/>
            <c:showSerName val="1"/>
            <c:showPercent val="0"/>
            <c:showBubbleSize val="0"/>
          </c:dLbls>
          <c:xVal>
            <c:strRef>
              <c:f>'2022_Data'!$F$614</c:f>
            </c:strRef>
          </c:xVal>
          <c:yVal>
            <c:numRef>
              <c:f>'2022_Data'!$E$614</c:f>
              <c:numCache/>
            </c:numRef>
          </c:yVal>
          <c:bubbleSize>
            <c:numRef>
              <c:f>'2022_Data'!$G$614</c:f>
            </c:numRef>
          </c:bubbleSize>
        </c:ser>
        <c:ser>
          <c:idx val="613"/>
          <c:order val="613"/>
          <c:tx>
            <c:strRef>
              <c:f>'2022_Data'!$A$615</c:f>
            </c:strRef>
          </c:tx>
          <c:dLbls>
            <c:dLblPos val="ctr"/>
            <c:showLegendKey val="0"/>
            <c:showVal val="0"/>
            <c:showCatName val="0"/>
            <c:showSerName val="1"/>
            <c:showPercent val="0"/>
            <c:showBubbleSize val="0"/>
          </c:dLbls>
          <c:xVal>
            <c:strRef>
              <c:f>'2022_Data'!$F$615</c:f>
            </c:strRef>
          </c:xVal>
          <c:yVal>
            <c:numRef>
              <c:f>'2022_Data'!$E$615</c:f>
              <c:numCache/>
            </c:numRef>
          </c:yVal>
          <c:bubbleSize>
            <c:numRef>
              <c:f>'2022_Data'!$G$615</c:f>
            </c:numRef>
          </c:bubbleSize>
        </c:ser>
        <c:ser>
          <c:idx val="614"/>
          <c:order val="614"/>
          <c:tx>
            <c:strRef>
              <c:f>'2022_Data'!$A$616</c:f>
            </c:strRef>
          </c:tx>
          <c:dLbls>
            <c:dLblPos val="ctr"/>
            <c:showLegendKey val="0"/>
            <c:showVal val="0"/>
            <c:showCatName val="0"/>
            <c:showSerName val="1"/>
            <c:showPercent val="0"/>
            <c:showBubbleSize val="0"/>
          </c:dLbls>
          <c:xVal>
            <c:strRef>
              <c:f>'2022_Data'!$F$616</c:f>
            </c:strRef>
          </c:xVal>
          <c:yVal>
            <c:numRef>
              <c:f>'2022_Data'!$E$616</c:f>
              <c:numCache/>
            </c:numRef>
          </c:yVal>
          <c:bubbleSize>
            <c:numRef>
              <c:f>'2022_Data'!$G$616</c:f>
            </c:numRef>
          </c:bubbleSize>
        </c:ser>
        <c:ser>
          <c:idx val="615"/>
          <c:order val="615"/>
          <c:tx>
            <c:strRef>
              <c:f>'2022_Data'!$A$617</c:f>
            </c:strRef>
          </c:tx>
          <c:dLbls>
            <c:dLblPos val="ctr"/>
            <c:showLegendKey val="0"/>
            <c:showVal val="0"/>
            <c:showCatName val="0"/>
            <c:showSerName val="1"/>
            <c:showPercent val="0"/>
            <c:showBubbleSize val="0"/>
          </c:dLbls>
          <c:xVal>
            <c:strRef>
              <c:f>'2022_Data'!$F$617</c:f>
            </c:strRef>
          </c:xVal>
          <c:yVal>
            <c:numRef>
              <c:f>'2022_Data'!$E$617</c:f>
              <c:numCache/>
            </c:numRef>
          </c:yVal>
          <c:bubbleSize>
            <c:numRef>
              <c:f>'2022_Data'!$G$617</c:f>
            </c:numRef>
          </c:bubbleSize>
        </c:ser>
        <c:ser>
          <c:idx val="616"/>
          <c:order val="616"/>
          <c:tx>
            <c:strRef>
              <c:f>'2022_Data'!$A$618</c:f>
            </c:strRef>
          </c:tx>
          <c:dLbls>
            <c:dLblPos val="ctr"/>
            <c:showLegendKey val="0"/>
            <c:showVal val="0"/>
            <c:showCatName val="0"/>
            <c:showSerName val="1"/>
            <c:showPercent val="0"/>
            <c:showBubbleSize val="0"/>
          </c:dLbls>
          <c:xVal>
            <c:strRef>
              <c:f>'2022_Data'!$F$618</c:f>
            </c:strRef>
          </c:xVal>
          <c:yVal>
            <c:numRef>
              <c:f>'2022_Data'!$E$618</c:f>
              <c:numCache/>
            </c:numRef>
          </c:yVal>
          <c:bubbleSize>
            <c:numRef>
              <c:f>'2022_Data'!$G$618</c:f>
            </c:numRef>
          </c:bubbleSize>
        </c:ser>
        <c:ser>
          <c:idx val="617"/>
          <c:order val="617"/>
          <c:tx>
            <c:strRef>
              <c:f>'2022_Data'!$A$619</c:f>
            </c:strRef>
          </c:tx>
          <c:dLbls>
            <c:dLblPos val="ctr"/>
            <c:showLegendKey val="0"/>
            <c:showVal val="0"/>
            <c:showCatName val="0"/>
            <c:showSerName val="1"/>
            <c:showPercent val="0"/>
            <c:showBubbleSize val="0"/>
          </c:dLbls>
          <c:xVal>
            <c:strRef>
              <c:f>'2022_Data'!$F$619</c:f>
            </c:strRef>
          </c:xVal>
          <c:yVal>
            <c:numRef>
              <c:f>'2022_Data'!$E$619</c:f>
              <c:numCache/>
            </c:numRef>
          </c:yVal>
          <c:bubbleSize>
            <c:numRef>
              <c:f>'2022_Data'!$G$619</c:f>
            </c:numRef>
          </c:bubbleSize>
        </c:ser>
        <c:ser>
          <c:idx val="618"/>
          <c:order val="618"/>
          <c:tx>
            <c:strRef>
              <c:f>'2022_Data'!$A$620</c:f>
            </c:strRef>
          </c:tx>
          <c:dLbls>
            <c:dLblPos val="ctr"/>
            <c:showLegendKey val="0"/>
            <c:showVal val="0"/>
            <c:showCatName val="0"/>
            <c:showSerName val="1"/>
            <c:showPercent val="0"/>
            <c:showBubbleSize val="0"/>
          </c:dLbls>
          <c:xVal>
            <c:strRef>
              <c:f>'2022_Data'!$F$620</c:f>
            </c:strRef>
          </c:xVal>
          <c:yVal>
            <c:numRef>
              <c:f>'2022_Data'!$E$620</c:f>
              <c:numCache/>
            </c:numRef>
          </c:yVal>
          <c:bubbleSize>
            <c:numRef>
              <c:f>'2022_Data'!$G$620</c:f>
            </c:numRef>
          </c:bubbleSize>
        </c:ser>
        <c:ser>
          <c:idx val="619"/>
          <c:order val="619"/>
          <c:tx>
            <c:strRef>
              <c:f>'2022_Data'!$A$621</c:f>
            </c:strRef>
          </c:tx>
          <c:dLbls>
            <c:dLblPos val="ctr"/>
            <c:showLegendKey val="0"/>
            <c:showVal val="0"/>
            <c:showCatName val="0"/>
            <c:showSerName val="1"/>
            <c:showPercent val="0"/>
            <c:showBubbleSize val="0"/>
          </c:dLbls>
          <c:xVal>
            <c:strRef>
              <c:f>'2022_Data'!$F$621</c:f>
            </c:strRef>
          </c:xVal>
          <c:yVal>
            <c:numRef>
              <c:f>'2022_Data'!$E$621</c:f>
              <c:numCache/>
            </c:numRef>
          </c:yVal>
          <c:bubbleSize>
            <c:numRef>
              <c:f>'2022_Data'!$G$621</c:f>
            </c:numRef>
          </c:bubbleSize>
        </c:ser>
        <c:ser>
          <c:idx val="620"/>
          <c:order val="620"/>
          <c:tx>
            <c:strRef>
              <c:f>'2022_Data'!$A$622</c:f>
            </c:strRef>
          </c:tx>
          <c:dLbls>
            <c:dLblPos val="ctr"/>
            <c:showLegendKey val="0"/>
            <c:showVal val="0"/>
            <c:showCatName val="0"/>
            <c:showSerName val="1"/>
            <c:showPercent val="0"/>
            <c:showBubbleSize val="0"/>
          </c:dLbls>
          <c:xVal>
            <c:strRef>
              <c:f>'2022_Data'!$F$622</c:f>
            </c:strRef>
          </c:xVal>
          <c:yVal>
            <c:numRef>
              <c:f>'2022_Data'!$E$622</c:f>
              <c:numCache/>
            </c:numRef>
          </c:yVal>
          <c:bubbleSize>
            <c:numRef>
              <c:f>'2022_Data'!$G$622</c:f>
            </c:numRef>
          </c:bubbleSize>
        </c:ser>
        <c:ser>
          <c:idx val="621"/>
          <c:order val="621"/>
          <c:tx>
            <c:strRef>
              <c:f>'2022_Data'!$A$623</c:f>
            </c:strRef>
          </c:tx>
          <c:dLbls>
            <c:dLblPos val="ctr"/>
            <c:showLegendKey val="0"/>
            <c:showVal val="0"/>
            <c:showCatName val="0"/>
            <c:showSerName val="1"/>
            <c:showPercent val="0"/>
            <c:showBubbleSize val="0"/>
          </c:dLbls>
          <c:xVal>
            <c:strRef>
              <c:f>'2022_Data'!$F$623</c:f>
            </c:strRef>
          </c:xVal>
          <c:yVal>
            <c:numRef>
              <c:f>'2022_Data'!$E$623</c:f>
              <c:numCache/>
            </c:numRef>
          </c:yVal>
          <c:bubbleSize>
            <c:numRef>
              <c:f>'2022_Data'!$G$623</c:f>
            </c:numRef>
          </c:bubbleSize>
        </c:ser>
        <c:ser>
          <c:idx val="622"/>
          <c:order val="622"/>
          <c:tx>
            <c:strRef>
              <c:f>'2022_Data'!$A$624</c:f>
            </c:strRef>
          </c:tx>
          <c:dLbls>
            <c:dLblPos val="ctr"/>
            <c:showLegendKey val="0"/>
            <c:showVal val="0"/>
            <c:showCatName val="0"/>
            <c:showSerName val="1"/>
            <c:showPercent val="0"/>
            <c:showBubbleSize val="0"/>
          </c:dLbls>
          <c:xVal>
            <c:strRef>
              <c:f>'2022_Data'!$F$624</c:f>
            </c:strRef>
          </c:xVal>
          <c:yVal>
            <c:numRef>
              <c:f>'2022_Data'!$E$624</c:f>
              <c:numCache/>
            </c:numRef>
          </c:yVal>
          <c:bubbleSize>
            <c:numRef>
              <c:f>'2022_Data'!$G$624</c:f>
            </c:numRef>
          </c:bubbleSize>
        </c:ser>
        <c:ser>
          <c:idx val="623"/>
          <c:order val="623"/>
          <c:tx>
            <c:strRef>
              <c:f>'2022_Data'!$A$625</c:f>
            </c:strRef>
          </c:tx>
          <c:dLbls>
            <c:dLblPos val="ctr"/>
            <c:showLegendKey val="0"/>
            <c:showVal val="0"/>
            <c:showCatName val="0"/>
            <c:showSerName val="1"/>
            <c:showPercent val="0"/>
            <c:showBubbleSize val="0"/>
          </c:dLbls>
          <c:xVal>
            <c:strRef>
              <c:f>'2022_Data'!$F$625</c:f>
            </c:strRef>
          </c:xVal>
          <c:yVal>
            <c:numRef>
              <c:f>'2022_Data'!$E$625</c:f>
              <c:numCache/>
            </c:numRef>
          </c:yVal>
          <c:bubbleSize>
            <c:numRef>
              <c:f>'2022_Data'!$G$625</c:f>
            </c:numRef>
          </c:bubbleSize>
        </c:ser>
        <c:ser>
          <c:idx val="624"/>
          <c:order val="624"/>
          <c:tx>
            <c:strRef>
              <c:f>'2022_Data'!$A$626</c:f>
            </c:strRef>
          </c:tx>
          <c:dLbls>
            <c:dLblPos val="ctr"/>
            <c:showLegendKey val="0"/>
            <c:showVal val="0"/>
            <c:showCatName val="0"/>
            <c:showSerName val="1"/>
            <c:showPercent val="0"/>
            <c:showBubbleSize val="0"/>
          </c:dLbls>
          <c:xVal>
            <c:strRef>
              <c:f>'2022_Data'!$F$626</c:f>
            </c:strRef>
          </c:xVal>
          <c:yVal>
            <c:numRef>
              <c:f>'2022_Data'!$E$626</c:f>
              <c:numCache/>
            </c:numRef>
          </c:yVal>
          <c:bubbleSize>
            <c:numRef>
              <c:f>'2022_Data'!$G$626</c:f>
            </c:numRef>
          </c:bubbleSize>
        </c:ser>
        <c:ser>
          <c:idx val="625"/>
          <c:order val="625"/>
          <c:tx>
            <c:strRef>
              <c:f>'2022_Data'!$A$627</c:f>
            </c:strRef>
          </c:tx>
          <c:dLbls>
            <c:dLblPos val="ctr"/>
            <c:showLegendKey val="0"/>
            <c:showVal val="0"/>
            <c:showCatName val="0"/>
            <c:showSerName val="1"/>
            <c:showPercent val="0"/>
            <c:showBubbleSize val="0"/>
          </c:dLbls>
          <c:xVal>
            <c:strRef>
              <c:f>'2022_Data'!$F$627</c:f>
            </c:strRef>
          </c:xVal>
          <c:yVal>
            <c:numRef>
              <c:f>'2022_Data'!$E$627</c:f>
              <c:numCache/>
            </c:numRef>
          </c:yVal>
          <c:bubbleSize>
            <c:numRef>
              <c:f>'2022_Data'!$G$627</c:f>
            </c:numRef>
          </c:bubbleSize>
        </c:ser>
        <c:ser>
          <c:idx val="626"/>
          <c:order val="626"/>
          <c:tx>
            <c:strRef>
              <c:f>'2022_Data'!$A$628</c:f>
            </c:strRef>
          </c:tx>
          <c:dLbls>
            <c:dLblPos val="ctr"/>
            <c:showLegendKey val="0"/>
            <c:showVal val="0"/>
            <c:showCatName val="0"/>
            <c:showSerName val="1"/>
            <c:showPercent val="0"/>
            <c:showBubbleSize val="0"/>
          </c:dLbls>
          <c:xVal>
            <c:strRef>
              <c:f>'2022_Data'!$F$628</c:f>
            </c:strRef>
          </c:xVal>
          <c:yVal>
            <c:numRef>
              <c:f>'2022_Data'!$E$628</c:f>
              <c:numCache/>
            </c:numRef>
          </c:yVal>
          <c:bubbleSize>
            <c:numRef>
              <c:f>'2022_Data'!$G$628</c:f>
            </c:numRef>
          </c:bubbleSize>
        </c:ser>
        <c:ser>
          <c:idx val="627"/>
          <c:order val="627"/>
          <c:tx>
            <c:strRef>
              <c:f>'2022_Data'!$A$629</c:f>
            </c:strRef>
          </c:tx>
          <c:dLbls>
            <c:dLblPos val="ctr"/>
            <c:showLegendKey val="0"/>
            <c:showVal val="0"/>
            <c:showCatName val="0"/>
            <c:showSerName val="1"/>
            <c:showPercent val="0"/>
            <c:showBubbleSize val="0"/>
          </c:dLbls>
          <c:xVal>
            <c:strRef>
              <c:f>'2022_Data'!$F$629</c:f>
            </c:strRef>
          </c:xVal>
          <c:yVal>
            <c:numRef>
              <c:f>'2022_Data'!$E$629</c:f>
              <c:numCache/>
            </c:numRef>
          </c:yVal>
          <c:bubbleSize>
            <c:numRef>
              <c:f>'2022_Data'!$G$629</c:f>
            </c:numRef>
          </c:bubbleSize>
        </c:ser>
        <c:ser>
          <c:idx val="628"/>
          <c:order val="628"/>
          <c:tx>
            <c:strRef>
              <c:f>'2022_Data'!$A$630</c:f>
            </c:strRef>
          </c:tx>
          <c:dLbls>
            <c:dLblPos val="ctr"/>
            <c:showLegendKey val="0"/>
            <c:showVal val="0"/>
            <c:showCatName val="0"/>
            <c:showSerName val="1"/>
            <c:showPercent val="0"/>
            <c:showBubbleSize val="0"/>
          </c:dLbls>
          <c:xVal>
            <c:strRef>
              <c:f>'2022_Data'!$F$630</c:f>
            </c:strRef>
          </c:xVal>
          <c:yVal>
            <c:numRef>
              <c:f>'2022_Data'!$E$630</c:f>
              <c:numCache/>
            </c:numRef>
          </c:yVal>
          <c:bubbleSize>
            <c:numRef>
              <c:f>'2022_Data'!$G$630</c:f>
            </c:numRef>
          </c:bubbleSize>
        </c:ser>
        <c:ser>
          <c:idx val="629"/>
          <c:order val="629"/>
          <c:tx>
            <c:strRef>
              <c:f>'2022_Data'!$A$631</c:f>
            </c:strRef>
          </c:tx>
          <c:dLbls>
            <c:dLblPos val="ctr"/>
            <c:showLegendKey val="0"/>
            <c:showVal val="0"/>
            <c:showCatName val="0"/>
            <c:showSerName val="1"/>
            <c:showPercent val="0"/>
            <c:showBubbleSize val="0"/>
          </c:dLbls>
          <c:xVal>
            <c:strRef>
              <c:f>'2022_Data'!$F$631</c:f>
            </c:strRef>
          </c:xVal>
          <c:yVal>
            <c:numRef>
              <c:f>'2022_Data'!$E$631</c:f>
              <c:numCache/>
            </c:numRef>
          </c:yVal>
          <c:bubbleSize>
            <c:numRef>
              <c:f>'2022_Data'!$G$631</c:f>
            </c:numRef>
          </c:bubbleSize>
        </c:ser>
        <c:ser>
          <c:idx val="630"/>
          <c:order val="630"/>
          <c:tx>
            <c:strRef>
              <c:f>'2022_Data'!$A$632</c:f>
            </c:strRef>
          </c:tx>
          <c:dLbls>
            <c:dLblPos val="ctr"/>
            <c:showLegendKey val="0"/>
            <c:showVal val="0"/>
            <c:showCatName val="0"/>
            <c:showSerName val="1"/>
            <c:showPercent val="0"/>
            <c:showBubbleSize val="0"/>
          </c:dLbls>
          <c:xVal>
            <c:strRef>
              <c:f>'2022_Data'!$F$632</c:f>
            </c:strRef>
          </c:xVal>
          <c:yVal>
            <c:numRef>
              <c:f>'2022_Data'!$E$632</c:f>
              <c:numCache/>
            </c:numRef>
          </c:yVal>
          <c:bubbleSize>
            <c:numRef>
              <c:f>'2022_Data'!$G$632</c:f>
            </c:numRef>
          </c:bubbleSize>
        </c:ser>
        <c:ser>
          <c:idx val="631"/>
          <c:order val="631"/>
          <c:tx>
            <c:strRef>
              <c:f>'2022_Data'!$A$633</c:f>
            </c:strRef>
          </c:tx>
          <c:dLbls>
            <c:dLblPos val="ctr"/>
            <c:showLegendKey val="0"/>
            <c:showVal val="0"/>
            <c:showCatName val="0"/>
            <c:showSerName val="1"/>
            <c:showPercent val="0"/>
            <c:showBubbleSize val="0"/>
          </c:dLbls>
          <c:xVal>
            <c:strRef>
              <c:f>'2022_Data'!$F$633</c:f>
            </c:strRef>
          </c:xVal>
          <c:yVal>
            <c:numRef>
              <c:f>'2022_Data'!$E$633</c:f>
              <c:numCache/>
            </c:numRef>
          </c:yVal>
          <c:bubbleSize>
            <c:numRef>
              <c:f>'2022_Data'!$G$633</c:f>
            </c:numRef>
          </c:bubbleSize>
        </c:ser>
        <c:ser>
          <c:idx val="632"/>
          <c:order val="632"/>
          <c:tx>
            <c:strRef>
              <c:f>'2022_Data'!$A$634</c:f>
            </c:strRef>
          </c:tx>
          <c:dLbls>
            <c:dLblPos val="ctr"/>
            <c:showLegendKey val="0"/>
            <c:showVal val="0"/>
            <c:showCatName val="0"/>
            <c:showSerName val="1"/>
            <c:showPercent val="0"/>
            <c:showBubbleSize val="0"/>
          </c:dLbls>
          <c:xVal>
            <c:strRef>
              <c:f>'2022_Data'!$F$634</c:f>
            </c:strRef>
          </c:xVal>
          <c:yVal>
            <c:numRef>
              <c:f>'2022_Data'!$E$634</c:f>
              <c:numCache/>
            </c:numRef>
          </c:yVal>
          <c:bubbleSize>
            <c:numRef>
              <c:f>'2022_Data'!$G$634</c:f>
            </c:numRef>
          </c:bubbleSize>
        </c:ser>
        <c:ser>
          <c:idx val="633"/>
          <c:order val="633"/>
          <c:tx>
            <c:strRef>
              <c:f>'2022_Data'!$A$635</c:f>
            </c:strRef>
          </c:tx>
          <c:dLbls>
            <c:dLblPos val="ctr"/>
            <c:showLegendKey val="0"/>
            <c:showVal val="0"/>
            <c:showCatName val="0"/>
            <c:showSerName val="1"/>
            <c:showPercent val="0"/>
            <c:showBubbleSize val="0"/>
          </c:dLbls>
          <c:xVal>
            <c:strRef>
              <c:f>'2022_Data'!$F$635</c:f>
            </c:strRef>
          </c:xVal>
          <c:yVal>
            <c:numRef>
              <c:f>'2022_Data'!$E$635</c:f>
              <c:numCache/>
            </c:numRef>
          </c:yVal>
          <c:bubbleSize>
            <c:numRef>
              <c:f>'2022_Data'!$G$635</c:f>
            </c:numRef>
          </c:bubbleSize>
        </c:ser>
        <c:ser>
          <c:idx val="634"/>
          <c:order val="634"/>
          <c:tx>
            <c:strRef>
              <c:f>'2022_Data'!$A$636</c:f>
            </c:strRef>
          </c:tx>
          <c:dLbls>
            <c:dLblPos val="ctr"/>
            <c:showLegendKey val="0"/>
            <c:showVal val="0"/>
            <c:showCatName val="0"/>
            <c:showSerName val="1"/>
            <c:showPercent val="0"/>
            <c:showBubbleSize val="0"/>
          </c:dLbls>
          <c:xVal>
            <c:strRef>
              <c:f>'2022_Data'!$F$636</c:f>
            </c:strRef>
          </c:xVal>
          <c:yVal>
            <c:numRef>
              <c:f>'2022_Data'!$E$636</c:f>
              <c:numCache/>
            </c:numRef>
          </c:yVal>
          <c:bubbleSize>
            <c:numRef>
              <c:f>'2022_Data'!$G$636</c:f>
            </c:numRef>
          </c:bubbleSize>
        </c:ser>
        <c:ser>
          <c:idx val="635"/>
          <c:order val="635"/>
          <c:tx>
            <c:strRef>
              <c:f>'2022_Data'!$A$637</c:f>
            </c:strRef>
          </c:tx>
          <c:dLbls>
            <c:dLblPos val="ctr"/>
            <c:showLegendKey val="0"/>
            <c:showVal val="0"/>
            <c:showCatName val="0"/>
            <c:showSerName val="1"/>
            <c:showPercent val="0"/>
            <c:showBubbleSize val="0"/>
          </c:dLbls>
          <c:xVal>
            <c:strRef>
              <c:f>'2022_Data'!$F$637</c:f>
            </c:strRef>
          </c:xVal>
          <c:yVal>
            <c:numRef>
              <c:f>'2022_Data'!$E$637</c:f>
              <c:numCache/>
            </c:numRef>
          </c:yVal>
          <c:bubbleSize>
            <c:numRef>
              <c:f>'2022_Data'!$G$637</c:f>
            </c:numRef>
          </c:bubbleSize>
        </c:ser>
        <c:ser>
          <c:idx val="636"/>
          <c:order val="636"/>
          <c:tx>
            <c:strRef>
              <c:f>'2022_Data'!$A$638</c:f>
            </c:strRef>
          </c:tx>
          <c:dLbls>
            <c:dLblPos val="ctr"/>
            <c:showLegendKey val="0"/>
            <c:showVal val="0"/>
            <c:showCatName val="0"/>
            <c:showSerName val="1"/>
            <c:showPercent val="0"/>
            <c:showBubbleSize val="0"/>
          </c:dLbls>
          <c:xVal>
            <c:strRef>
              <c:f>'2022_Data'!$F$638</c:f>
            </c:strRef>
          </c:xVal>
          <c:yVal>
            <c:numRef>
              <c:f>'2022_Data'!$E$638</c:f>
              <c:numCache/>
            </c:numRef>
          </c:yVal>
          <c:bubbleSize>
            <c:numRef>
              <c:f>'2022_Data'!$G$638</c:f>
            </c:numRef>
          </c:bubbleSize>
        </c:ser>
        <c:ser>
          <c:idx val="637"/>
          <c:order val="637"/>
          <c:tx>
            <c:strRef>
              <c:f>'2022_Data'!$A$639</c:f>
            </c:strRef>
          </c:tx>
          <c:dLbls>
            <c:dLblPos val="ctr"/>
            <c:showLegendKey val="0"/>
            <c:showVal val="0"/>
            <c:showCatName val="0"/>
            <c:showSerName val="1"/>
            <c:showPercent val="0"/>
            <c:showBubbleSize val="0"/>
          </c:dLbls>
          <c:xVal>
            <c:strRef>
              <c:f>'2022_Data'!$F$639</c:f>
            </c:strRef>
          </c:xVal>
          <c:yVal>
            <c:numRef>
              <c:f>'2022_Data'!$E$639</c:f>
              <c:numCache/>
            </c:numRef>
          </c:yVal>
          <c:bubbleSize>
            <c:numRef>
              <c:f>'2022_Data'!$G$639</c:f>
            </c:numRef>
          </c:bubbleSize>
        </c:ser>
        <c:ser>
          <c:idx val="638"/>
          <c:order val="638"/>
          <c:tx>
            <c:strRef>
              <c:f>'2022_Data'!$A$640</c:f>
            </c:strRef>
          </c:tx>
          <c:dLbls>
            <c:dLblPos val="ctr"/>
            <c:showLegendKey val="0"/>
            <c:showVal val="0"/>
            <c:showCatName val="0"/>
            <c:showSerName val="1"/>
            <c:showPercent val="0"/>
            <c:showBubbleSize val="0"/>
          </c:dLbls>
          <c:xVal>
            <c:strRef>
              <c:f>'2022_Data'!$F$640</c:f>
            </c:strRef>
          </c:xVal>
          <c:yVal>
            <c:numRef>
              <c:f>'2022_Data'!$E$640</c:f>
              <c:numCache/>
            </c:numRef>
          </c:yVal>
          <c:bubbleSize>
            <c:numRef>
              <c:f>'2022_Data'!$G$640</c:f>
            </c:numRef>
          </c:bubbleSize>
        </c:ser>
        <c:ser>
          <c:idx val="639"/>
          <c:order val="639"/>
          <c:tx>
            <c:strRef>
              <c:f>'2022_Data'!$A$641</c:f>
            </c:strRef>
          </c:tx>
          <c:dLbls>
            <c:dLblPos val="ctr"/>
            <c:showLegendKey val="0"/>
            <c:showVal val="0"/>
            <c:showCatName val="0"/>
            <c:showSerName val="1"/>
            <c:showPercent val="0"/>
            <c:showBubbleSize val="0"/>
          </c:dLbls>
          <c:xVal>
            <c:strRef>
              <c:f>'2022_Data'!$F$641</c:f>
            </c:strRef>
          </c:xVal>
          <c:yVal>
            <c:numRef>
              <c:f>'2022_Data'!$E$641</c:f>
              <c:numCache/>
            </c:numRef>
          </c:yVal>
          <c:bubbleSize>
            <c:numRef>
              <c:f>'2022_Data'!$G$641</c:f>
            </c:numRef>
          </c:bubbleSize>
        </c:ser>
        <c:ser>
          <c:idx val="640"/>
          <c:order val="640"/>
          <c:tx>
            <c:strRef>
              <c:f>'2022_Data'!$A$642</c:f>
            </c:strRef>
          </c:tx>
          <c:dLbls>
            <c:dLblPos val="ctr"/>
            <c:showLegendKey val="0"/>
            <c:showVal val="0"/>
            <c:showCatName val="0"/>
            <c:showSerName val="1"/>
            <c:showPercent val="0"/>
            <c:showBubbleSize val="0"/>
          </c:dLbls>
          <c:xVal>
            <c:strRef>
              <c:f>'2022_Data'!$F$642</c:f>
            </c:strRef>
          </c:xVal>
          <c:yVal>
            <c:numRef>
              <c:f>'2022_Data'!$E$642</c:f>
              <c:numCache/>
            </c:numRef>
          </c:yVal>
          <c:bubbleSize>
            <c:numRef>
              <c:f>'2022_Data'!$G$642</c:f>
            </c:numRef>
          </c:bubbleSize>
        </c:ser>
        <c:ser>
          <c:idx val="641"/>
          <c:order val="641"/>
          <c:tx>
            <c:strRef>
              <c:f>'2022_Data'!$A$643</c:f>
            </c:strRef>
          </c:tx>
          <c:dLbls>
            <c:dLblPos val="ctr"/>
            <c:showLegendKey val="0"/>
            <c:showVal val="0"/>
            <c:showCatName val="0"/>
            <c:showSerName val="1"/>
            <c:showPercent val="0"/>
            <c:showBubbleSize val="0"/>
          </c:dLbls>
          <c:xVal>
            <c:strRef>
              <c:f>'2022_Data'!$F$643</c:f>
            </c:strRef>
          </c:xVal>
          <c:yVal>
            <c:numRef>
              <c:f>'2022_Data'!$E$643</c:f>
              <c:numCache/>
            </c:numRef>
          </c:yVal>
          <c:bubbleSize>
            <c:numRef>
              <c:f>'2022_Data'!$G$643</c:f>
            </c:numRef>
          </c:bubbleSize>
        </c:ser>
        <c:ser>
          <c:idx val="642"/>
          <c:order val="642"/>
          <c:tx>
            <c:strRef>
              <c:f>'2022_Data'!$A$644</c:f>
            </c:strRef>
          </c:tx>
          <c:dLbls>
            <c:dLblPos val="ctr"/>
            <c:showLegendKey val="0"/>
            <c:showVal val="0"/>
            <c:showCatName val="0"/>
            <c:showSerName val="1"/>
            <c:showPercent val="0"/>
            <c:showBubbleSize val="0"/>
          </c:dLbls>
          <c:xVal>
            <c:strRef>
              <c:f>'2022_Data'!$F$644</c:f>
            </c:strRef>
          </c:xVal>
          <c:yVal>
            <c:numRef>
              <c:f>'2022_Data'!$E$644</c:f>
              <c:numCache/>
            </c:numRef>
          </c:yVal>
          <c:bubbleSize>
            <c:numRef>
              <c:f>'2022_Data'!$G$644</c:f>
            </c:numRef>
          </c:bubbleSize>
        </c:ser>
        <c:ser>
          <c:idx val="643"/>
          <c:order val="643"/>
          <c:tx>
            <c:strRef>
              <c:f>'2022_Data'!$A$645</c:f>
            </c:strRef>
          </c:tx>
          <c:dLbls>
            <c:dLblPos val="ctr"/>
            <c:showLegendKey val="0"/>
            <c:showVal val="0"/>
            <c:showCatName val="0"/>
            <c:showSerName val="1"/>
            <c:showPercent val="0"/>
            <c:showBubbleSize val="0"/>
          </c:dLbls>
          <c:xVal>
            <c:strRef>
              <c:f>'2022_Data'!$F$645</c:f>
            </c:strRef>
          </c:xVal>
          <c:yVal>
            <c:numRef>
              <c:f>'2022_Data'!$E$645</c:f>
              <c:numCache/>
            </c:numRef>
          </c:yVal>
          <c:bubbleSize>
            <c:numRef>
              <c:f>'2022_Data'!$G$645</c:f>
            </c:numRef>
          </c:bubbleSize>
        </c:ser>
        <c:ser>
          <c:idx val="644"/>
          <c:order val="644"/>
          <c:tx>
            <c:strRef>
              <c:f>'2022_Data'!$A$646</c:f>
            </c:strRef>
          </c:tx>
          <c:dLbls>
            <c:dLblPos val="ctr"/>
            <c:showLegendKey val="0"/>
            <c:showVal val="0"/>
            <c:showCatName val="0"/>
            <c:showSerName val="1"/>
            <c:showPercent val="0"/>
            <c:showBubbleSize val="0"/>
          </c:dLbls>
          <c:xVal>
            <c:strRef>
              <c:f>'2022_Data'!$F$646</c:f>
            </c:strRef>
          </c:xVal>
          <c:yVal>
            <c:numRef>
              <c:f>'2022_Data'!$E$646</c:f>
              <c:numCache/>
            </c:numRef>
          </c:yVal>
          <c:bubbleSize>
            <c:numRef>
              <c:f>'2022_Data'!$G$646</c:f>
            </c:numRef>
          </c:bubbleSize>
        </c:ser>
        <c:ser>
          <c:idx val="645"/>
          <c:order val="645"/>
          <c:tx>
            <c:strRef>
              <c:f>'2022_Data'!$A$647</c:f>
            </c:strRef>
          </c:tx>
          <c:dLbls>
            <c:dLblPos val="ctr"/>
            <c:showLegendKey val="0"/>
            <c:showVal val="0"/>
            <c:showCatName val="0"/>
            <c:showSerName val="1"/>
            <c:showPercent val="0"/>
            <c:showBubbleSize val="0"/>
          </c:dLbls>
          <c:xVal>
            <c:strRef>
              <c:f>'2022_Data'!$F$647</c:f>
            </c:strRef>
          </c:xVal>
          <c:yVal>
            <c:numRef>
              <c:f>'2022_Data'!$E$647</c:f>
              <c:numCache/>
            </c:numRef>
          </c:yVal>
          <c:bubbleSize>
            <c:numRef>
              <c:f>'2022_Data'!$G$647</c:f>
            </c:numRef>
          </c:bubbleSize>
        </c:ser>
        <c:ser>
          <c:idx val="646"/>
          <c:order val="646"/>
          <c:tx>
            <c:strRef>
              <c:f>'2022_Data'!$A$648</c:f>
            </c:strRef>
          </c:tx>
          <c:dLbls>
            <c:dLblPos val="ctr"/>
            <c:showLegendKey val="0"/>
            <c:showVal val="0"/>
            <c:showCatName val="0"/>
            <c:showSerName val="1"/>
            <c:showPercent val="0"/>
            <c:showBubbleSize val="0"/>
          </c:dLbls>
          <c:xVal>
            <c:strRef>
              <c:f>'2022_Data'!$F$648</c:f>
            </c:strRef>
          </c:xVal>
          <c:yVal>
            <c:numRef>
              <c:f>'2022_Data'!$E$648</c:f>
              <c:numCache/>
            </c:numRef>
          </c:yVal>
          <c:bubbleSize>
            <c:numRef>
              <c:f>'2022_Data'!$G$648</c:f>
            </c:numRef>
          </c:bubbleSize>
        </c:ser>
        <c:ser>
          <c:idx val="647"/>
          <c:order val="647"/>
          <c:tx>
            <c:strRef>
              <c:f>'2022_Data'!$A$649</c:f>
            </c:strRef>
          </c:tx>
          <c:dLbls>
            <c:dLblPos val="ctr"/>
            <c:showLegendKey val="0"/>
            <c:showVal val="0"/>
            <c:showCatName val="0"/>
            <c:showSerName val="1"/>
            <c:showPercent val="0"/>
            <c:showBubbleSize val="0"/>
          </c:dLbls>
          <c:xVal>
            <c:strRef>
              <c:f>'2022_Data'!$F$649</c:f>
            </c:strRef>
          </c:xVal>
          <c:yVal>
            <c:numRef>
              <c:f>'2022_Data'!$E$649</c:f>
              <c:numCache/>
            </c:numRef>
          </c:yVal>
          <c:bubbleSize>
            <c:numRef>
              <c:f>'2022_Data'!$G$649</c:f>
            </c:numRef>
          </c:bubbleSize>
        </c:ser>
        <c:ser>
          <c:idx val="648"/>
          <c:order val="648"/>
          <c:tx>
            <c:strRef>
              <c:f>'2022_Data'!$A$650</c:f>
            </c:strRef>
          </c:tx>
          <c:dLbls>
            <c:dLblPos val="ctr"/>
            <c:showLegendKey val="0"/>
            <c:showVal val="0"/>
            <c:showCatName val="0"/>
            <c:showSerName val="1"/>
            <c:showPercent val="0"/>
            <c:showBubbleSize val="0"/>
          </c:dLbls>
          <c:xVal>
            <c:strRef>
              <c:f>'2022_Data'!$F$650</c:f>
            </c:strRef>
          </c:xVal>
          <c:yVal>
            <c:numRef>
              <c:f>'2022_Data'!$E$650</c:f>
              <c:numCache/>
            </c:numRef>
          </c:yVal>
          <c:bubbleSize>
            <c:numRef>
              <c:f>'2022_Data'!$G$650</c:f>
            </c:numRef>
          </c:bubbleSize>
        </c:ser>
        <c:ser>
          <c:idx val="649"/>
          <c:order val="649"/>
          <c:tx>
            <c:strRef>
              <c:f>'2022_Data'!$A$651</c:f>
            </c:strRef>
          </c:tx>
          <c:dLbls>
            <c:dLblPos val="ctr"/>
            <c:showLegendKey val="0"/>
            <c:showVal val="0"/>
            <c:showCatName val="0"/>
            <c:showSerName val="1"/>
            <c:showPercent val="0"/>
            <c:showBubbleSize val="0"/>
          </c:dLbls>
          <c:xVal>
            <c:strRef>
              <c:f>'2022_Data'!$F$651</c:f>
            </c:strRef>
          </c:xVal>
          <c:yVal>
            <c:numRef>
              <c:f>'2022_Data'!$E$651</c:f>
              <c:numCache/>
            </c:numRef>
          </c:yVal>
          <c:bubbleSize>
            <c:numRef>
              <c:f>'2022_Data'!$G$651</c:f>
            </c:numRef>
          </c:bubbleSize>
        </c:ser>
        <c:ser>
          <c:idx val="650"/>
          <c:order val="650"/>
          <c:tx>
            <c:strRef>
              <c:f>'2022_Data'!$A$652</c:f>
            </c:strRef>
          </c:tx>
          <c:dLbls>
            <c:dLblPos val="ctr"/>
            <c:showLegendKey val="0"/>
            <c:showVal val="0"/>
            <c:showCatName val="0"/>
            <c:showSerName val="1"/>
            <c:showPercent val="0"/>
            <c:showBubbleSize val="0"/>
          </c:dLbls>
          <c:xVal>
            <c:strRef>
              <c:f>'2022_Data'!$F$652</c:f>
            </c:strRef>
          </c:xVal>
          <c:yVal>
            <c:numRef>
              <c:f>'2022_Data'!$E$652</c:f>
              <c:numCache/>
            </c:numRef>
          </c:yVal>
          <c:bubbleSize>
            <c:numRef>
              <c:f>'2022_Data'!$G$652</c:f>
            </c:numRef>
          </c:bubbleSize>
        </c:ser>
        <c:ser>
          <c:idx val="651"/>
          <c:order val="651"/>
          <c:tx>
            <c:strRef>
              <c:f>'2022_Data'!$A$653</c:f>
            </c:strRef>
          </c:tx>
          <c:dLbls>
            <c:dLblPos val="ctr"/>
            <c:showLegendKey val="0"/>
            <c:showVal val="0"/>
            <c:showCatName val="0"/>
            <c:showSerName val="1"/>
            <c:showPercent val="0"/>
            <c:showBubbleSize val="0"/>
          </c:dLbls>
          <c:xVal>
            <c:strRef>
              <c:f>'2022_Data'!$F$653</c:f>
            </c:strRef>
          </c:xVal>
          <c:yVal>
            <c:numRef>
              <c:f>'2022_Data'!$E$653</c:f>
              <c:numCache/>
            </c:numRef>
          </c:yVal>
          <c:bubbleSize>
            <c:numRef>
              <c:f>'2022_Data'!$G$653</c:f>
            </c:numRef>
          </c:bubbleSize>
        </c:ser>
        <c:ser>
          <c:idx val="652"/>
          <c:order val="652"/>
          <c:tx>
            <c:strRef>
              <c:f>'2022_Data'!$A$654</c:f>
            </c:strRef>
          </c:tx>
          <c:dLbls>
            <c:dLblPos val="ctr"/>
            <c:showLegendKey val="0"/>
            <c:showVal val="0"/>
            <c:showCatName val="0"/>
            <c:showSerName val="1"/>
            <c:showPercent val="0"/>
            <c:showBubbleSize val="0"/>
          </c:dLbls>
          <c:xVal>
            <c:strRef>
              <c:f>'2022_Data'!$F$654</c:f>
            </c:strRef>
          </c:xVal>
          <c:yVal>
            <c:numRef>
              <c:f>'2022_Data'!$E$654</c:f>
              <c:numCache/>
            </c:numRef>
          </c:yVal>
          <c:bubbleSize>
            <c:numRef>
              <c:f>'2022_Data'!$G$654</c:f>
            </c:numRef>
          </c:bubbleSize>
        </c:ser>
        <c:ser>
          <c:idx val="653"/>
          <c:order val="653"/>
          <c:tx>
            <c:strRef>
              <c:f>'2022_Data'!$A$655</c:f>
            </c:strRef>
          </c:tx>
          <c:dLbls>
            <c:dLblPos val="ctr"/>
            <c:showLegendKey val="0"/>
            <c:showVal val="0"/>
            <c:showCatName val="0"/>
            <c:showSerName val="1"/>
            <c:showPercent val="0"/>
            <c:showBubbleSize val="0"/>
          </c:dLbls>
          <c:xVal>
            <c:strRef>
              <c:f>'2022_Data'!$F$655</c:f>
            </c:strRef>
          </c:xVal>
          <c:yVal>
            <c:numRef>
              <c:f>'2022_Data'!$E$655</c:f>
              <c:numCache/>
            </c:numRef>
          </c:yVal>
          <c:bubbleSize>
            <c:numRef>
              <c:f>'2022_Data'!$G$655</c:f>
            </c:numRef>
          </c:bubbleSize>
        </c:ser>
        <c:ser>
          <c:idx val="654"/>
          <c:order val="654"/>
          <c:tx>
            <c:strRef>
              <c:f>'2022_Data'!$A$656</c:f>
            </c:strRef>
          </c:tx>
          <c:dLbls>
            <c:dLblPos val="ctr"/>
            <c:showLegendKey val="0"/>
            <c:showVal val="0"/>
            <c:showCatName val="0"/>
            <c:showSerName val="1"/>
            <c:showPercent val="0"/>
            <c:showBubbleSize val="0"/>
          </c:dLbls>
          <c:xVal>
            <c:strRef>
              <c:f>'2022_Data'!$F$656</c:f>
            </c:strRef>
          </c:xVal>
          <c:yVal>
            <c:numRef>
              <c:f>'2022_Data'!$E$656</c:f>
              <c:numCache/>
            </c:numRef>
          </c:yVal>
          <c:bubbleSize>
            <c:numRef>
              <c:f>'2022_Data'!$G$656</c:f>
            </c:numRef>
          </c:bubbleSize>
        </c:ser>
        <c:ser>
          <c:idx val="655"/>
          <c:order val="655"/>
          <c:tx>
            <c:strRef>
              <c:f>'2022_Data'!$A$657</c:f>
            </c:strRef>
          </c:tx>
          <c:dLbls>
            <c:dLblPos val="ctr"/>
            <c:showLegendKey val="0"/>
            <c:showVal val="0"/>
            <c:showCatName val="0"/>
            <c:showSerName val="1"/>
            <c:showPercent val="0"/>
            <c:showBubbleSize val="0"/>
          </c:dLbls>
          <c:xVal>
            <c:strRef>
              <c:f>'2022_Data'!$F$657</c:f>
            </c:strRef>
          </c:xVal>
          <c:yVal>
            <c:numRef>
              <c:f>'2022_Data'!$E$657</c:f>
              <c:numCache/>
            </c:numRef>
          </c:yVal>
          <c:bubbleSize>
            <c:numRef>
              <c:f>'2022_Data'!$G$657</c:f>
            </c:numRef>
          </c:bubbleSize>
        </c:ser>
        <c:ser>
          <c:idx val="656"/>
          <c:order val="656"/>
          <c:tx>
            <c:strRef>
              <c:f>'2022_Data'!$A$658</c:f>
            </c:strRef>
          </c:tx>
          <c:dLbls>
            <c:dLblPos val="ctr"/>
            <c:showLegendKey val="0"/>
            <c:showVal val="0"/>
            <c:showCatName val="0"/>
            <c:showSerName val="1"/>
            <c:showPercent val="0"/>
            <c:showBubbleSize val="0"/>
          </c:dLbls>
          <c:xVal>
            <c:strRef>
              <c:f>'2022_Data'!$F$658</c:f>
            </c:strRef>
          </c:xVal>
          <c:yVal>
            <c:numRef>
              <c:f>'2022_Data'!$E$658</c:f>
              <c:numCache/>
            </c:numRef>
          </c:yVal>
          <c:bubbleSize>
            <c:numRef>
              <c:f>'2022_Data'!$G$658</c:f>
            </c:numRef>
          </c:bubbleSize>
        </c:ser>
        <c:ser>
          <c:idx val="657"/>
          <c:order val="657"/>
          <c:tx>
            <c:strRef>
              <c:f>'2022_Data'!$A$659</c:f>
            </c:strRef>
          </c:tx>
          <c:dLbls>
            <c:dLblPos val="ctr"/>
            <c:showLegendKey val="0"/>
            <c:showVal val="0"/>
            <c:showCatName val="0"/>
            <c:showSerName val="1"/>
            <c:showPercent val="0"/>
            <c:showBubbleSize val="0"/>
          </c:dLbls>
          <c:xVal>
            <c:strRef>
              <c:f>'2022_Data'!$F$659</c:f>
            </c:strRef>
          </c:xVal>
          <c:yVal>
            <c:numRef>
              <c:f>'2022_Data'!$E$659</c:f>
              <c:numCache/>
            </c:numRef>
          </c:yVal>
          <c:bubbleSize>
            <c:numRef>
              <c:f>'2022_Data'!$G$659</c:f>
            </c:numRef>
          </c:bubbleSize>
        </c:ser>
        <c:ser>
          <c:idx val="658"/>
          <c:order val="658"/>
          <c:tx>
            <c:strRef>
              <c:f>'2022_Data'!$A$660</c:f>
            </c:strRef>
          </c:tx>
          <c:dLbls>
            <c:dLblPos val="ctr"/>
            <c:showLegendKey val="0"/>
            <c:showVal val="0"/>
            <c:showCatName val="0"/>
            <c:showSerName val="1"/>
            <c:showPercent val="0"/>
            <c:showBubbleSize val="0"/>
          </c:dLbls>
          <c:xVal>
            <c:strRef>
              <c:f>'2022_Data'!$F$660</c:f>
            </c:strRef>
          </c:xVal>
          <c:yVal>
            <c:numRef>
              <c:f>'2022_Data'!$E$660</c:f>
              <c:numCache/>
            </c:numRef>
          </c:yVal>
          <c:bubbleSize>
            <c:numRef>
              <c:f>'2022_Data'!$G$660</c:f>
            </c:numRef>
          </c:bubbleSize>
        </c:ser>
        <c:ser>
          <c:idx val="659"/>
          <c:order val="659"/>
          <c:tx>
            <c:strRef>
              <c:f>'2022_Data'!$A$661</c:f>
            </c:strRef>
          </c:tx>
          <c:dLbls>
            <c:dLblPos val="ctr"/>
            <c:showLegendKey val="0"/>
            <c:showVal val="0"/>
            <c:showCatName val="0"/>
            <c:showSerName val="1"/>
            <c:showPercent val="0"/>
            <c:showBubbleSize val="0"/>
          </c:dLbls>
          <c:xVal>
            <c:strRef>
              <c:f>'2022_Data'!$F$661</c:f>
            </c:strRef>
          </c:xVal>
          <c:yVal>
            <c:numRef>
              <c:f>'2022_Data'!$E$661</c:f>
              <c:numCache/>
            </c:numRef>
          </c:yVal>
          <c:bubbleSize>
            <c:numRef>
              <c:f>'2022_Data'!$G$661</c:f>
            </c:numRef>
          </c:bubbleSize>
        </c:ser>
        <c:ser>
          <c:idx val="660"/>
          <c:order val="660"/>
          <c:tx>
            <c:strRef>
              <c:f>'2022_Data'!$A$662</c:f>
            </c:strRef>
          </c:tx>
          <c:dLbls>
            <c:dLblPos val="ctr"/>
            <c:showLegendKey val="0"/>
            <c:showVal val="0"/>
            <c:showCatName val="0"/>
            <c:showSerName val="1"/>
            <c:showPercent val="0"/>
            <c:showBubbleSize val="0"/>
          </c:dLbls>
          <c:xVal>
            <c:strRef>
              <c:f>'2022_Data'!$F$662</c:f>
            </c:strRef>
          </c:xVal>
          <c:yVal>
            <c:numRef>
              <c:f>'2022_Data'!$E$662</c:f>
              <c:numCache/>
            </c:numRef>
          </c:yVal>
          <c:bubbleSize>
            <c:numRef>
              <c:f>'2022_Data'!$G$662</c:f>
            </c:numRef>
          </c:bubbleSize>
        </c:ser>
        <c:ser>
          <c:idx val="661"/>
          <c:order val="661"/>
          <c:tx>
            <c:strRef>
              <c:f>'2022_Data'!$A$663</c:f>
            </c:strRef>
          </c:tx>
          <c:dLbls>
            <c:dLblPos val="ctr"/>
            <c:showLegendKey val="0"/>
            <c:showVal val="0"/>
            <c:showCatName val="0"/>
            <c:showSerName val="1"/>
            <c:showPercent val="0"/>
            <c:showBubbleSize val="0"/>
          </c:dLbls>
          <c:xVal>
            <c:strRef>
              <c:f>'2022_Data'!$F$663</c:f>
            </c:strRef>
          </c:xVal>
          <c:yVal>
            <c:numRef>
              <c:f>'2022_Data'!$E$663</c:f>
              <c:numCache/>
            </c:numRef>
          </c:yVal>
          <c:bubbleSize>
            <c:numRef>
              <c:f>'2022_Data'!$G$663</c:f>
            </c:numRef>
          </c:bubbleSize>
        </c:ser>
        <c:ser>
          <c:idx val="662"/>
          <c:order val="662"/>
          <c:tx>
            <c:strRef>
              <c:f>'2022_Data'!$A$664</c:f>
            </c:strRef>
          </c:tx>
          <c:dLbls>
            <c:dLblPos val="ctr"/>
            <c:showLegendKey val="0"/>
            <c:showVal val="0"/>
            <c:showCatName val="0"/>
            <c:showSerName val="1"/>
            <c:showPercent val="0"/>
            <c:showBubbleSize val="0"/>
          </c:dLbls>
          <c:xVal>
            <c:strRef>
              <c:f>'2022_Data'!$F$664</c:f>
            </c:strRef>
          </c:xVal>
          <c:yVal>
            <c:numRef>
              <c:f>'2022_Data'!$E$664</c:f>
              <c:numCache/>
            </c:numRef>
          </c:yVal>
          <c:bubbleSize>
            <c:numRef>
              <c:f>'2022_Data'!$G$664</c:f>
            </c:numRef>
          </c:bubbleSize>
        </c:ser>
        <c:ser>
          <c:idx val="663"/>
          <c:order val="663"/>
          <c:tx>
            <c:strRef>
              <c:f>'2022_Data'!$A$665</c:f>
            </c:strRef>
          </c:tx>
          <c:dLbls>
            <c:dLblPos val="ctr"/>
            <c:showLegendKey val="0"/>
            <c:showVal val="0"/>
            <c:showCatName val="0"/>
            <c:showSerName val="1"/>
            <c:showPercent val="0"/>
            <c:showBubbleSize val="0"/>
          </c:dLbls>
          <c:xVal>
            <c:strRef>
              <c:f>'2022_Data'!$F$665</c:f>
            </c:strRef>
          </c:xVal>
          <c:yVal>
            <c:numRef>
              <c:f>'2022_Data'!$E$665</c:f>
              <c:numCache/>
            </c:numRef>
          </c:yVal>
          <c:bubbleSize>
            <c:numRef>
              <c:f>'2022_Data'!$G$665</c:f>
            </c:numRef>
          </c:bubbleSize>
        </c:ser>
        <c:ser>
          <c:idx val="664"/>
          <c:order val="664"/>
          <c:tx>
            <c:strRef>
              <c:f>'2022_Data'!$A$666</c:f>
            </c:strRef>
          </c:tx>
          <c:dLbls>
            <c:dLblPos val="ctr"/>
            <c:showLegendKey val="0"/>
            <c:showVal val="0"/>
            <c:showCatName val="0"/>
            <c:showSerName val="1"/>
            <c:showPercent val="0"/>
            <c:showBubbleSize val="0"/>
          </c:dLbls>
          <c:xVal>
            <c:strRef>
              <c:f>'2022_Data'!$F$666</c:f>
            </c:strRef>
          </c:xVal>
          <c:yVal>
            <c:numRef>
              <c:f>'2022_Data'!$E$666</c:f>
              <c:numCache/>
            </c:numRef>
          </c:yVal>
          <c:bubbleSize>
            <c:numRef>
              <c:f>'2022_Data'!$G$666</c:f>
            </c:numRef>
          </c:bubbleSize>
        </c:ser>
        <c:ser>
          <c:idx val="665"/>
          <c:order val="665"/>
          <c:tx>
            <c:strRef>
              <c:f>'2022_Data'!$A$667</c:f>
            </c:strRef>
          </c:tx>
          <c:dLbls>
            <c:dLblPos val="ctr"/>
            <c:showLegendKey val="0"/>
            <c:showVal val="0"/>
            <c:showCatName val="0"/>
            <c:showSerName val="1"/>
            <c:showPercent val="0"/>
            <c:showBubbleSize val="0"/>
          </c:dLbls>
          <c:xVal>
            <c:strRef>
              <c:f>'2022_Data'!$F$667</c:f>
            </c:strRef>
          </c:xVal>
          <c:yVal>
            <c:numRef>
              <c:f>'2022_Data'!$E$667</c:f>
              <c:numCache/>
            </c:numRef>
          </c:yVal>
          <c:bubbleSize>
            <c:numRef>
              <c:f>'2022_Data'!$G$667</c:f>
            </c:numRef>
          </c:bubbleSize>
        </c:ser>
        <c:ser>
          <c:idx val="666"/>
          <c:order val="666"/>
          <c:tx>
            <c:strRef>
              <c:f>'2022_Data'!$A$668</c:f>
            </c:strRef>
          </c:tx>
          <c:dLbls>
            <c:dLblPos val="ctr"/>
            <c:showLegendKey val="0"/>
            <c:showVal val="0"/>
            <c:showCatName val="0"/>
            <c:showSerName val="1"/>
            <c:showPercent val="0"/>
            <c:showBubbleSize val="0"/>
          </c:dLbls>
          <c:xVal>
            <c:strRef>
              <c:f>'2022_Data'!$F$668</c:f>
            </c:strRef>
          </c:xVal>
          <c:yVal>
            <c:numRef>
              <c:f>'2022_Data'!$E$668</c:f>
              <c:numCache/>
            </c:numRef>
          </c:yVal>
          <c:bubbleSize>
            <c:numRef>
              <c:f>'2022_Data'!$G$668</c:f>
            </c:numRef>
          </c:bubbleSize>
        </c:ser>
        <c:ser>
          <c:idx val="667"/>
          <c:order val="667"/>
          <c:tx>
            <c:strRef>
              <c:f>'2022_Data'!$A$669</c:f>
            </c:strRef>
          </c:tx>
          <c:dLbls>
            <c:dLblPos val="ctr"/>
            <c:showLegendKey val="0"/>
            <c:showVal val="0"/>
            <c:showCatName val="0"/>
            <c:showSerName val="1"/>
            <c:showPercent val="0"/>
            <c:showBubbleSize val="0"/>
          </c:dLbls>
          <c:xVal>
            <c:strRef>
              <c:f>'2022_Data'!$F$669</c:f>
            </c:strRef>
          </c:xVal>
          <c:yVal>
            <c:numRef>
              <c:f>'2022_Data'!$E$669</c:f>
              <c:numCache/>
            </c:numRef>
          </c:yVal>
          <c:bubbleSize>
            <c:numRef>
              <c:f>'2022_Data'!$G$669</c:f>
            </c:numRef>
          </c:bubbleSize>
        </c:ser>
        <c:ser>
          <c:idx val="668"/>
          <c:order val="668"/>
          <c:tx>
            <c:strRef>
              <c:f>'2022_Data'!$A$670</c:f>
            </c:strRef>
          </c:tx>
          <c:dLbls>
            <c:dLblPos val="ctr"/>
            <c:showLegendKey val="0"/>
            <c:showVal val="0"/>
            <c:showCatName val="0"/>
            <c:showSerName val="1"/>
            <c:showPercent val="0"/>
            <c:showBubbleSize val="0"/>
          </c:dLbls>
          <c:xVal>
            <c:strRef>
              <c:f>'2022_Data'!$F$670</c:f>
            </c:strRef>
          </c:xVal>
          <c:yVal>
            <c:numRef>
              <c:f>'2022_Data'!$E$670</c:f>
              <c:numCache/>
            </c:numRef>
          </c:yVal>
          <c:bubbleSize>
            <c:numRef>
              <c:f>'2022_Data'!$G$670</c:f>
            </c:numRef>
          </c:bubbleSize>
        </c:ser>
        <c:ser>
          <c:idx val="669"/>
          <c:order val="669"/>
          <c:tx>
            <c:strRef>
              <c:f>'2022_Data'!$A$671</c:f>
            </c:strRef>
          </c:tx>
          <c:dLbls>
            <c:dLblPos val="ctr"/>
            <c:showLegendKey val="0"/>
            <c:showVal val="0"/>
            <c:showCatName val="0"/>
            <c:showSerName val="1"/>
            <c:showPercent val="0"/>
            <c:showBubbleSize val="0"/>
          </c:dLbls>
          <c:xVal>
            <c:strRef>
              <c:f>'2022_Data'!$F$671</c:f>
            </c:strRef>
          </c:xVal>
          <c:yVal>
            <c:numRef>
              <c:f>'2022_Data'!$E$671</c:f>
              <c:numCache/>
            </c:numRef>
          </c:yVal>
          <c:bubbleSize>
            <c:numRef>
              <c:f>'2022_Data'!$G$671</c:f>
            </c:numRef>
          </c:bubbleSize>
        </c:ser>
        <c:ser>
          <c:idx val="670"/>
          <c:order val="670"/>
          <c:tx>
            <c:strRef>
              <c:f>'2022_Data'!$A$672</c:f>
            </c:strRef>
          </c:tx>
          <c:dLbls>
            <c:dLblPos val="ctr"/>
            <c:showLegendKey val="0"/>
            <c:showVal val="0"/>
            <c:showCatName val="0"/>
            <c:showSerName val="1"/>
            <c:showPercent val="0"/>
            <c:showBubbleSize val="0"/>
          </c:dLbls>
          <c:xVal>
            <c:strRef>
              <c:f>'2022_Data'!$F$672</c:f>
            </c:strRef>
          </c:xVal>
          <c:yVal>
            <c:numRef>
              <c:f>'2022_Data'!$E$672</c:f>
              <c:numCache/>
            </c:numRef>
          </c:yVal>
          <c:bubbleSize>
            <c:numRef>
              <c:f>'2022_Data'!$G$672</c:f>
            </c:numRef>
          </c:bubbleSize>
        </c:ser>
        <c:ser>
          <c:idx val="671"/>
          <c:order val="671"/>
          <c:tx>
            <c:strRef>
              <c:f>'2022_Data'!$A$673</c:f>
            </c:strRef>
          </c:tx>
          <c:dLbls>
            <c:dLblPos val="ctr"/>
            <c:showLegendKey val="0"/>
            <c:showVal val="0"/>
            <c:showCatName val="0"/>
            <c:showSerName val="1"/>
            <c:showPercent val="0"/>
            <c:showBubbleSize val="0"/>
          </c:dLbls>
          <c:xVal>
            <c:strRef>
              <c:f>'2022_Data'!$F$673</c:f>
            </c:strRef>
          </c:xVal>
          <c:yVal>
            <c:numRef>
              <c:f>'2022_Data'!$E$673</c:f>
              <c:numCache/>
            </c:numRef>
          </c:yVal>
          <c:bubbleSize>
            <c:numRef>
              <c:f>'2022_Data'!$G$673</c:f>
            </c:numRef>
          </c:bubbleSize>
        </c:ser>
        <c:ser>
          <c:idx val="672"/>
          <c:order val="672"/>
          <c:tx>
            <c:strRef>
              <c:f>'2022_Data'!$A$674</c:f>
            </c:strRef>
          </c:tx>
          <c:dLbls>
            <c:dLblPos val="ctr"/>
            <c:showLegendKey val="0"/>
            <c:showVal val="0"/>
            <c:showCatName val="0"/>
            <c:showSerName val="1"/>
            <c:showPercent val="0"/>
            <c:showBubbleSize val="0"/>
          </c:dLbls>
          <c:xVal>
            <c:strRef>
              <c:f>'2022_Data'!$F$674</c:f>
            </c:strRef>
          </c:xVal>
          <c:yVal>
            <c:numRef>
              <c:f>'2022_Data'!$E$674</c:f>
              <c:numCache/>
            </c:numRef>
          </c:yVal>
          <c:bubbleSize>
            <c:numRef>
              <c:f>'2022_Data'!$G$674</c:f>
            </c:numRef>
          </c:bubbleSize>
        </c:ser>
        <c:ser>
          <c:idx val="673"/>
          <c:order val="673"/>
          <c:tx>
            <c:strRef>
              <c:f>'2022_Data'!$A$675</c:f>
            </c:strRef>
          </c:tx>
          <c:dLbls>
            <c:dLblPos val="ctr"/>
            <c:showLegendKey val="0"/>
            <c:showVal val="0"/>
            <c:showCatName val="0"/>
            <c:showSerName val="1"/>
            <c:showPercent val="0"/>
            <c:showBubbleSize val="0"/>
          </c:dLbls>
          <c:xVal>
            <c:strRef>
              <c:f>'2022_Data'!$F$675</c:f>
            </c:strRef>
          </c:xVal>
          <c:yVal>
            <c:numRef>
              <c:f>'2022_Data'!$E$675</c:f>
              <c:numCache/>
            </c:numRef>
          </c:yVal>
          <c:bubbleSize>
            <c:numRef>
              <c:f>'2022_Data'!$G$675</c:f>
            </c:numRef>
          </c:bubbleSize>
        </c:ser>
        <c:ser>
          <c:idx val="674"/>
          <c:order val="674"/>
          <c:tx>
            <c:strRef>
              <c:f>'2022_Data'!$A$676</c:f>
            </c:strRef>
          </c:tx>
          <c:dLbls>
            <c:dLblPos val="ctr"/>
            <c:showLegendKey val="0"/>
            <c:showVal val="0"/>
            <c:showCatName val="0"/>
            <c:showSerName val="1"/>
            <c:showPercent val="0"/>
            <c:showBubbleSize val="0"/>
          </c:dLbls>
          <c:xVal>
            <c:strRef>
              <c:f>'2022_Data'!$F$676</c:f>
            </c:strRef>
          </c:xVal>
          <c:yVal>
            <c:numRef>
              <c:f>'2022_Data'!$E$676</c:f>
              <c:numCache/>
            </c:numRef>
          </c:yVal>
          <c:bubbleSize>
            <c:numRef>
              <c:f>'2022_Data'!$G$676</c:f>
            </c:numRef>
          </c:bubbleSize>
        </c:ser>
        <c:ser>
          <c:idx val="675"/>
          <c:order val="675"/>
          <c:tx>
            <c:strRef>
              <c:f>'2022_Data'!$A$677</c:f>
            </c:strRef>
          </c:tx>
          <c:dLbls>
            <c:dLblPos val="ctr"/>
            <c:showLegendKey val="0"/>
            <c:showVal val="0"/>
            <c:showCatName val="0"/>
            <c:showSerName val="1"/>
            <c:showPercent val="0"/>
            <c:showBubbleSize val="0"/>
          </c:dLbls>
          <c:xVal>
            <c:strRef>
              <c:f>'2022_Data'!$F$677</c:f>
            </c:strRef>
          </c:xVal>
          <c:yVal>
            <c:numRef>
              <c:f>'2022_Data'!$E$677</c:f>
              <c:numCache/>
            </c:numRef>
          </c:yVal>
          <c:bubbleSize>
            <c:numRef>
              <c:f>'2022_Data'!$G$677</c:f>
            </c:numRef>
          </c:bubbleSize>
        </c:ser>
        <c:ser>
          <c:idx val="676"/>
          <c:order val="676"/>
          <c:tx>
            <c:strRef>
              <c:f>'2022_Data'!$A$678</c:f>
            </c:strRef>
          </c:tx>
          <c:dLbls>
            <c:dLblPos val="ctr"/>
            <c:showLegendKey val="0"/>
            <c:showVal val="0"/>
            <c:showCatName val="0"/>
            <c:showSerName val="1"/>
            <c:showPercent val="0"/>
            <c:showBubbleSize val="0"/>
          </c:dLbls>
          <c:xVal>
            <c:strRef>
              <c:f>'2022_Data'!$F$678</c:f>
            </c:strRef>
          </c:xVal>
          <c:yVal>
            <c:numRef>
              <c:f>'2022_Data'!$E$678</c:f>
              <c:numCache/>
            </c:numRef>
          </c:yVal>
          <c:bubbleSize>
            <c:numRef>
              <c:f>'2022_Data'!$G$678</c:f>
            </c:numRef>
          </c:bubbleSize>
        </c:ser>
        <c:ser>
          <c:idx val="677"/>
          <c:order val="677"/>
          <c:tx>
            <c:strRef>
              <c:f>'2022_Data'!$A$679</c:f>
            </c:strRef>
          </c:tx>
          <c:dLbls>
            <c:dLblPos val="ctr"/>
            <c:showLegendKey val="0"/>
            <c:showVal val="0"/>
            <c:showCatName val="0"/>
            <c:showSerName val="1"/>
            <c:showPercent val="0"/>
            <c:showBubbleSize val="0"/>
          </c:dLbls>
          <c:xVal>
            <c:strRef>
              <c:f>'2022_Data'!$F$679</c:f>
            </c:strRef>
          </c:xVal>
          <c:yVal>
            <c:numRef>
              <c:f>'2022_Data'!$E$679</c:f>
              <c:numCache/>
            </c:numRef>
          </c:yVal>
          <c:bubbleSize>
            <c:numRef>
              <c:f>'2022_Data'!$G$679</c:f>
            </c:numRef>
          </c:bubbleSize>
        </c:ser>
        <c:ser>
          <c:idx val="678"/>
          <c:order val="678"/>
          <c:tx>
            <c:strRef>
              <c:f>'2022_Data'!$A$680</c:f>
            </c:strRef>
          </c:tx>
          <c:dLbls>
            <c:dLblPos val="ctr"/>
            <c:showLegendKey val="0"/>
            <c:showVal val="0"/>
            <c:showCatName val="0"/>
            <c:showSerName val="1"/>
            <c:showPercent val="0"/>
            <c:showBubbleSize val="0"/>
          </c:dLbls>
          <c:xVal>
            <c:strRef>
              <c:f>'2022_Data'!$F$680</c:f>
            </c:strRef>
          </c:xVal>
          <c:yVal>
            <c:numRef>
              <c:f>'2022_Data'!$E$680</c:f>
              <c:numCache/>
            </c:numRef>
          </c:yVal>
          <c:bubbleSize>
            <c:numRef>
              <c:f>'2022_Data'!$G$680</c:f>
            </c:numRef>
          </c:bubbleSize>
        </c:ser>
        <c:ser>
          <c:idx val="679"/>
          <c:order val="679"/>
          <c:tx>
            <c:strRef>
              <c:f>'2022_Data'!$A$681</c:f>
            </c:strRef>
          </c:tx>
          <c:dLbls>
            <c:dLblPos val="ctr"/>
            <c:showLegendKey val="0"/>
            <c:showVal val="0"/>
            <c:showCatName val="0"/>
            <c:showSerName val="1"/>
            <c:showPercent val="0"/>
            <c:showBubbleSize val="0"/>
          </c:dLbls>
          <c:xVal>
            <c:strRef>
              <c:f>'2022_Data'!$F$681</c:f>
            </c:strRef>
          </c:xVal>
          <c:yVal>
            <c:numRef>
              <c:f>'2022_Data'!$E$681</c:f>
              <c:numCache/>
            </c:numRef>
          </c:yVal>
          <c:bubbleSize>
            <c:numRef>
              <c:f>'2022_Data'!$G$681</c:f>
            </c:numRef>
          </c:bubbleSize>
        </c:ser>
        <c:ser>
          <c:idx val="680"/>
          <c:order val="680"/>
          <c:tx>
            <c:strRef>
              <c:f>'2022_Data'!$A$682</c:f>
            </c:strRef>
          </c:tx>
          <c:dLbls>
            <c:dLblPos val="ctr"/>
            <c:showLegendKey val="0"/>
            <c:showVal val="0"/>
            <c:showCatName val="0"/>
            <c:showSerName val="1"/>
            <c:showPercent val="0"/>
            <c:showBubbleSize val="0"/>
          </c:dLbls>
          <c:xVal>
            <c:strRef>
              <c:f>'2022_Data'!$F$682</c:f>
            </c:strRef>
          </c:xVal>
          <c:yVal>
            <c:numRef>
              <c:f>'2022_Data'!$E$682</c:f>
              <c:numCache/>
            </c:numRef>
          </c:yVal>
          <c:bubbleSize>
            <c:numRef>
              <c:f>'2022_Data'!$G$682</c:f>
            </c:numRef>
          </c:bubbleSize>
        </c:ser>
        <c:ser>
          <c:idx val="681"/>
          <c:order val="681"/>
          <c:tx>
            <c:strRef>
              <c:f>'2022_Data'!$A$683</c:f>
            </c:strRef>
          </c:tx>
          <c:dLbls>
            <c:dLblPos val="ctr"/>
            <c:showLegendKey val="0"/>
            <c:showVal val="0"/>
            <c:showCatName val="0"/>
            <c:showSerName val="1"/>
            <c:showPercent val="0"/>
            <c:showBubbleSize val="0"/>
          </c:dLbls>
          <c:xVal>
            <c:strRef>
              <c:f>'2022_Data'!$F$683</c:f>
            </c:strRef>
          </c:xVal>
          <c:yVal>
            <c:numRef>
              <c:f>'2022_Data'!$E$683</c:f>
              <c:numCache/>
            </c:numRef>
          </c:yVal>
          <c:bubbleSize>
            <c:numRef>
              <c:f>'2022_Data'!$G$683</c:f>
            </c:numRef>
          </c:bubbleSize>
        </c:ser>
        <c:ser>
          <c:idx val="682"/>
          <c:order val="682"/>
          <c:tx>
            <c:strRef>
              <c:f>'2022_Data'!$A$684</c:f>
            </c:strRef>
          </c:tx>
          <c:dLbls>
            <c:dLblPos val="ctr"/>
            <c:showLegendKey val="0"/>
            <c:showVal val="0"/>
            <c:showCatName val="0"/>
            <c:showSerName val="1"/>
            <c:showPercent val="0"/>
            <c:showBubbleSize val="0"/>
          </c:dLbls>
          <c:xVal>
            <c:strRef>
              <c:f>'2022_Data'!$F$684</c:f>
            </c:strRef>
          </c:xVal>
          <c:yVal>
            <c:numRef>
              <c:f>'2022_Data'!$E$684</c:f>
              <c:numCache/>
            </c:numRef>
          </c:yVal>
          <c:bubbleSize>
            <c:numRef>
              <c:f>'2022_Data'!$G$684</c:f>
            </c:numRef>
          </c:bubbleSize>
        </c:ser>
        <c:ser>
          <c:idx val="683"/>
          <c:order val="683"/>
          <c:tx>
            <c:strRef>
              <c:f>'2022_Data'!$A$685</c:f>
            </c:strRef>
          </c:tx>
          <c:dLbls>
            <c:dLblPos val="ctr"/>
            <c:showLegendKey val="0"/>
            <c:showVal val="0"/>
            <c:showCatName val="0"/>
            <c:showSerName val="1"/>
            <c:showPercent val="0"/>
            <c:showBubbleSize val="0"/>
          </c:dLbls>
          <c:xVal>
            <c:strRef>
              <c:f>'2022_Data'!$F$685</c:f>
            </c:strRef>
          </c:xVal>
          <c:yVal>
            <c:numRef>
              <c:f>'2022_Data'!$E$685</c:f>
              <c:numCache/>
            </c:numRef>
          </c:yVal>
          <c:bubbleSize>
            <c:numRef>
              <c:f>'2022_Data'!$G$685</c:f>
            </c:numRef>
          </c:bubbleSize>
        </c:ser>
        <c:ser>
          <c:idx val="684"/>
          <c:order val="684"/>
          <c:tx>
            <c:strRef>
              <c:f>'2022_Data'!$A$686</c:f>
            </c:strRef>
          </c:tx>
          <c:dLbls>
            <c:dLblPos val="ctr"/>
            <c:showLegendKey val="0"/>
            <c:showVal val="0"/>
            <c:showCatName val="0"/>
            <c:showSerName val="1"/>
            <c:showPercent val="0"/>
            <c:showBubbleSize val="0"/>
          </c:dLbls>
          <c:xVal>
            <c:strRef>
              <c:f>'2022_Data'!$F$686</c:f>
            </c:strRef>
          </c:xVal>
          <c:yVal>
            <c:numRef>
              <c:f>'2022_Data'!$E$686</c:f>
              <c:numCache/>
            </c:numRef>
          </c:yVal>
          <c:bubbleSize>
            <c:numRef>
              <c:f>'2022_Data'!$G$686</c:f>
            </c:numRef>
          </c:bubbleSize>
        </c:ser>
        <c:ser>
          <c:idx val="685"/>
          <c:order val="685"/>
          <c:tx>
            <c:strRef>
              <c:f>'2022_Data'!$A$687</c:f>
            </c:strRef>
          </c:tx>
          <c:dLbls>
            <c:dLblPos val="ctr"/>
            <c:showLegendKey val="0"/>
            <c:showVal val="0"/>
            <c:showCatName val="0"/>
            <c:showSerName val="1"/>
            <c:showPercent val="0"/>
            <c:showBubbleSize val="0"/>
          </c:dLbls>
          <c:xVal>
            <c:strRef>
              <c:f>'2022_Data'!$F$687</c:f>
            </c:strRef>
          </c:xVal>
          <c:yVal>
            <c:numRef>
              <c:f>'2022_Data'!$E$687</c:f>
              <c:numCache/>
            </c:numRef>
          </c:yVal>
          <c:bubbleSize>
            <c:numRef>
              <c:f>'2022_Data'!$G$687</c:f>
            </c:numRef>
          </c:bubbleSize>
        </c:ser>
        <c:ser>
          <c:idx val="686"/>
          <c:order val="686"/>
          <c:tx>
            <c:strRef>
              <c:f>'2022_Data'!$A$688</c:f>
            </c:strRef>
          </c:tx>
          <c:dLbls>
            <c:dLblPos val="ctr"/>
            <c:showLegendKey val="0"/>
            <c:showVal val="0"/>
            <c:showCatName val="0"/>
            <c:showSerName val="1"/>
            <c:showPercent val="0"/>
            <c:showBubbleSize val="0"/>
          </c:dLbls>
          <c:xVal>
            <c:strRef>
              <c:f>'2022_Data'!$F$688</c:f>
            </c:strRef>
          </c:xVal>
          <c:yVal>
            <c:numRef>
              <c:f>'2022_Data'!$E$688</c:f>
              <c:numCache/>
            </c:numRef>
          </c:yVal>
          <c:bubbleSize>
            <c:numRef>
              <c:f>'2022_Data'!$G$688</c:f>
            </c:numRef>
          </c:bubbleSize>
        </c:ser>
        <c:ser>
          <c:idx val="687"/>
          <c:order val="687"/>
          <c:tx>
            <c:strRef>
              <c:f>'2022_Data'!$A$689</c:f>
            </c:strRef>
          </c:tx>
          <c:dLbls>
            <c:dLblPos val="ctr"/>
            <c:showLegendKey val="0"/>
            <c:showVal val="0"/>
            <c:showCatName val="0"/>
            <c:showSerName val="1"/>
            <c:showPercent val="0"/>
            <c:showBubbleSize val="0"/>
          </c:dLbls>
          <c:xVal>
            <c:strRef>
              <c:f>'2022_Data'!$F$689</c:f>
            </c:strRef>
          </c:xVal>
          <c:yVal>
            <c:numRef>
              <c:f>'2022_Data'!$E$689</c:f>
              <c:numCache/>
            </c:numRef>
          </c:yVal>
          <c:bubbleSize>
            <c:numRef>
              <c:f>'2022_Data'!$G$689</c:f>
            </c:numRef>
          </c:bubbleSize>
        </c:ser>
        <c:ser>
          <c:idx val="688"/>
          <c:order val="688"/>
          <c:tx>
            <c:strRef>
              <c:f>'2022_Data'!$A$690</c:f>
            </c:strRef>
          </c:tx>
          <c:dLbls>
            <c:dLblPos val="ctr"/>
            <c:showLegendKey val="0"/>
            <c:showVal val="0"/>
            <c:showCatName val="0"/>
            <c:showSerName val="1"/>
            <c:showPercent val="0"/>
            <c:showBubbleSize val="0"/>
          </c:dLbls>
          <c:xVal>
            <c:strRef>
              <c:f>'2022_Data'!$F$690</c:f>
            </c:strRef>
          </c:xVal>
          <c:yVal>
            <c:numRef>
              <c:f>'2022_Data'!$E$690</c:f>
              <c:numCache/>
            </c:numRef>
          </c:yVal>
          <c:bubbleSize>
            <c:numRef>
              <c:f>'2022_Data'!$G$690</c:f>
            </c:numRef>
          </c:bubbleSize>
        </c:ser>
        <c:ser>
          <c:idx val="689"/>
          <c:order val="689"/>
          <c:tx>
            <c:strRef>
              <c:f>'2022_Data'!$A$691</c:f>
            </c:strRef>
          </c:tx>
          <c:dLbls>
            <c:dLblPos val="ctr"/>
            <c:showLegendKey val="0"/>
            <c:showVal val="0"/>
            <c:showCatName val="0"/>
            <c:showSerName val="1"/>
            <c:showPercent val="0"/>
            <c:showBubbleSize val="0"/>
          </c:dLbls>
          <c:xVal>
            <c:strRef>
              <c:f>'2022_Data'!$F$691</c:f>
            </c:strRef>
          </c:xVal>
          <c:yVal>
            <c:numRef>
              <c:f>'2022_Data'!$E$691</c:f>
              <c:numCache/>
            </c:numRef>
          </c:yVal>
          <c:bubbleSize>
            <c:numRef>
              <c:f>'2022_Data'!$G$691</c:f>
            </c:numRef>
          </c:bubbleSize>
        </c:ser>
        <c:ser>
          <c:idx val="690"/>
          <c:order val="690"/>
          <c:tx>
            <c:strRef>
              <c:f>'2022_Data'!$A$692</c:f>
            </c:strRef>
          </c:tx>
          <c:dLbls>
            <c:dLblPos val="ctr"/>
            <c:showLegendKey val="0"/>
            <c:showVal val="0"/>
            <c:showCatName val="0"/>
            <c:showSerName val="1"/>
            <c:showPercent val="0"/>
            <c:showBubbleSize val="0"/>
          </c:dLbls>
          <c:xVal>
            <c:strRef>
              <c:f>'2022_Data'!$F$692</c:f>
            </c:strRef>
          </c:xVal>
          <c:yVal>
            <c:numRef>
              <c:f>'2022_Data'!$E$692</c:f>
              <c:numCache/>
            </c:numRef>
          </c:yVal>
          <c:bubbleSize>
            <c:numRef>
              <c:f>'2022_Data'!$G$692</c:f>
            </c:numRef>
          </c:bubbleSize>
        </c:ser>
        <c:ser>
          <c:idx val="691"/>
          <c:order val="691"/>
          <c:tx>
            <c:strRef>
              <c:f>'2022_Data'!$A$693</c:f>
            </c:strRef>
          </c:tx>
          <c:dLbls>
            <c:dLblPos val="ctr"/>
            <c:showLegendKey val="0"/>
            <c:showVal val="0"/>
            <c:showCatName val="0"/>
            <c:showSerName val="1"/>
            <c:showPercent val="0"/>
            <c:showBubbleSize val="0"/>
          </c:dLbls>
          <c:xVal>
            <c:strRef>
              <c:f>'2022_Data'!$F$693</c:f>
            </c:strRef>
          </c:xVal>
          <c:yVal>
            <c:numRef>
              <c:f>'2022_Data'!$E$693</c:f>
              <c:numCache/>
            </c:numRef>
          </c:yVal>
          <c:bubbleSize>
            <c:numRef>
              <c:f>'2022_Data'!$G$693</c:f>
            </c:numRef>
          </c:bubbleSize>
        </c:ser>
        <c:ser>
          <c:idx val="692"/>
          <c:order val="692"/>
          <c:tx>
            <c:strRef>
              <c:f>'2022_Data'!$A$694</c:f>
            </c:strRef>
          </c:tx>
          <c:dLbls>
            <c:dLblPos val="ctr"/>
            <c:showLegendKey val="0"/>
            <c:showVal val="0"/>
            <c:showCatName val="0"/>
            <c:showSerName val="1"/>
            <c:showPercent val="0"/>
            <c:showBubbleSize val="0"/>
          </c:dLbls>
          <c:xVal>
            <c:strRef>
              <c:f>'2022_Data'!$F$694</c:f>
            </c:strRef>
          </c:xVal>
          <c:yVal>
            <c:numRef>
              <c:f>'2022_Data'!$E$694</c:f>
              <c:numCache/>
            </c:numRef>
          </c:yVal>
          <c:bubbleSize>
            <c:numRef>
              <c:f>'2022_Data'!$G$694</c:f>
            </c:numRef>
          </c:bubbleSize>
        </c:ser>
        <c:ser>
          <c:idx val="693"/>
          <c:order val="693"/>
          <c:tx>
            <c:strRef>
              <c:f>'2022_Data'!$A$695</c:f>
            </c:strRef>
          </c:tx>
          <c:dLbls>
            <c:dLblPos val="ctr"/>
            <c:showLegendKey val="0"/>
            <c:showVal val="0"/>
            <c:showCatName val="0"/>
            <c:showSerName val="1"/>
            <c:showPercent val="0"/>
            <c:showBubbleSize val="0"/>
          </c:dLbls>
          <c:xVal>
            <c:strRef>
              <c:f>'2022_Data'!$F$695</c:f>
            </c:strRef>
          </c:xVal>
          <c:yVal>
            <c:numRef>
              <c:f>'2022_Data'!$E$695</c:f>
              <c:numCache/>
            </c:numRef>
          </c:yVal>
          <c:bubbleSize>
            <c:numRef>
              <c:f>'2022_Data'!$G$695</c:f>
            </c:numRef>
          </c:bubbleSize>
        </c:ser>
        <c:ser>
          <c:idx val="694"/>
          <c:order val="694"/>
          <c:tx>
            <c:strRef>
              <c:f>'2022_Data'!$A$696</c:f>
            </c:strRef>
          </c:tx>
          <c:dLbls>
            <c:dLblPos val="ctr"/>
            <c:showLegendKey val="0"/>
            <c:showVal val="0"/>
            <c:showCatName val="0"/>
            <c:showSerName val="1"/>
            <c:showPercent val="0"/>
            <c:showBubbleSize val="0"/>
          </c:dLbls>
          <c:xVal>
            <c:strRef>
              <c:f>'2022_Data'!$F$696</c:f>
            </c:strRef>
          </c:xVal>
          <c:yVal>
            <c:numRef>
              <c:f>'2022_Data'!$E$696</c:f>
              <c:numCache/>
            </c:numRef>
          </c:yVal>
          <c:bubbleSize>
            <c:numRef>
              <c:f>'2022_Data'!$G$696</c:f>
            </c:numRef>
          </c:bubbleSize>
        </c:ser>
        <c:ser>
          <c:idx val="695"/>
          <c:order val="695"/>
          <c:tx>
            <c:strRef>
              <c:f>'2022_Data'!$A$697</c:f>
            </c:strRef>
          </c:tx>
          <c:dLbls>
            <c:dLblPos val="ctr"/>
            <c:showLegendKey val="0"/>
            <c:showVal val="0"/>
            <c:showCatName val="0"/>
            <c:showSerName val="1"/>
            <c:showPercent val="0"/>
            <c:showBubbleSize val="0"/>
          </c:dLbls>
          <c:xVal>
            <c:strRef>
              <c:f>'2022_Data'!$F$697</c:f>
            </c:strRef>
          </c:xVal>
          <c:yVal>
            <c:numRef>
              <c:f>'2022_Data'!$E$697</c:f>
              <c:numCache/>
            </c:numRef>
          </c:yVal>
          <c:bubbleSize>
            <c:numRef>
              <c:f>'2022_Data'!$G$697</c:f>
            </c:numRef>
          </c:bubbleSize>
        </c:ser>
        <c:ser>
          <c:idx val="696"/>
          <c:order val="696"/>
          <c:tx>
            <c:strRef>
              <c:f>'2022_Data'!$A$698</c:f>
            </c:strRef>
          </c:tx>
          <c:dLbls>
            <c:dLblPos val="ctr"/>
            <c:showLegendKey val="0"/>
            <c:showVal val="0"/>
            <c:showCatName val="0"/>
            <c:showSerName val="1"/>
            <c:showPercent val="0"/>
            <c:showBubbleSize val="0"/>
          </c:dLbls>
          <c:xVal>
            <c:strRef>
              <c:f>'2022_Data'!$F$698</c:f>
            </c:strRef>
          </c:xVal>
          <c:yVal>
            <c:numRef>
              <c:f>'2022_Data'!$E$698</c:f>
              <c:numCache/>
            </c:numRef>
          </c:yVal>
          <c:bubbleSize>
            <c:numRef>
              <c:f>'2022_Data'!$G$698</c:f>
            </c:numRef>
          </c:bubbleSize>
        </c:ser>
        <c:ser>
          <c:idx val="697"/>
          <c:order val="697"/>
          <c:tx>
            <c:strRef>
              <c:f>'2022_Data'!$A$699</c:f>
            </c:strRef>
          </c:tx>
          <c:dLbls>
            <c:dLblPos val="ctr"/>
            <c:showLegendKey val="0"/>
            <c:showVal val="0"/>
            <c:showCatName val="0"/>
            <c:showSerName val="1"/>
            <c:showPercent val="0"/>
            <c:showBubbleSize val="0"/>
          </c:dLbls>
          <c:xVal>
            <c:strRef>
              <c:f>'2022_Data'!$F$699</c:f>
            </c:strRef>
          </c:xVal>
          <c:yVal>
            <c:numRef>
              <c:f>'2022_Data'!$E$699</c:f>
              <c:numCache/>
            </c:numRef>
          </c:yVal>
          <c:bubbleSize>
            <c:numRef>
              <c:f>'2022_Data'!$G$699</c:f>
            </c:numRef>
          </c:bubbleSize>
        </c:ser>
        <c:ser>
          <c:idx val="698"/>
          <c:order val="698"/>
          <c:tx>
            <c:strRef>
              <c:f>'2022_Data'!$A$700</c:f>
            </c:strRef>
          </c:tx>
          <c:dLbls>
            <c:dLblPos val="ctr"/>
            <c:showLegendKey val="0"/>
            <c:showVal val="0"/>
            <c:showCatName val="0"/>
            <c:showSerName val="1"/>
            <c:showPercent val="0"/>
            <c:showBubbleSize val="0"/>
          </c:dLbls>
          <c:xVal>
            <c:strRef>
              <c:f>'2022_Data'!$F$700</c:f>
            </c:strRef>
          </c:xVal>
          <c:yVal>
            <c:numRef>
              <c:f>'2022_Data'!$E$700</c:f>
              <c:numCache/>
            </c:numRef>
          </c:yVal>
          <c:bubbleSize>
            <c:numRef>
              <c:f>'2022_Data'!$G$700</c:f>
            </c:numRef>
          </c:bubbleSize>
        </c:ser>
        <c:ser>
          <c:idx val="699"/>
          <c:order val="699"/>
          <c:tx>
            <c:strRef>
              <c:f>'2022_Data'!$A$701</c:f>
            </c:strRef>
          </c:tx>
          <c:dLbls>
            <c:dLblPos val="ctr"/>
            <c:showLegendKey val="0"/>
            <c:showVal val="0"/>
            <c:showCatName val="0"/>
            <c:showSerName val="1"/>
            <c:showPercent val="0"/>
            <c:showBubbleSize val="0"/>
          </c:dLbls>
          <c:xVal>
            <c:strRef>
              <c:f>'2022_Data'!$F$701</c:f>
            </c:strRef>
          </c:xVal>
          <c:yVal>
            <c:numRef>
              <c:f>'2022_Data'!$E$701</c:f>
              <c:numCache/>
            </c:numRef>
          </c:yVal>
          <c:bubbleSize>
            <c:numRef>
              <c:f>'2022_Data'!$G$701</c:f>
            </c:numRef>
          </c:bubbleSize>
        </c:ser>
        <c:ser>
          <c:idx val="700"/>
          <c:order val="700"/>
          <c:tx>
            <c:strRef>
              <c:f>'2022_Data'!$A$702</c:f>
            </c:strRef>
          </c:tx>
          <c:dLbls>
            <c:dLblPos val="ctr"/>
            <c:showLegendKey val="0"/>
            <c:showVal val="0"/>
            <c:showCatName val="0"/>
            <c:showSerName val="1"/>
            <c:showPercent val="0"/>
            <c:showBubbleSize val="0"/>
          </c:dLbls>
          <c:xVal>
            <c:strRef>
              <c:f>'2022_Data'!$F$702</c:f>
            </c:strRef>
          </c:xVal>
          <c:yVal>
            <c:numRef>
              <c:f>'2022_Data'!$E$702</c:f>
              <c:numCache/>
            </c:numRef>
          </c:yVal>
          <c:bubbleSize>
            <c:numRef>
              <c:f>'2022_Data'!$G$702</c:f>
            </c:numRef>
          </c:bubbleSize>
        </c:ser>
        <c:ser>
          <c:idx val="701"/>
          <c:order val="701"/>
          <c:tx>
            <c:strRef>
              <c:f>'2022_Data'!$A$703</c:f>
            </c:strRef>
          </c:tx>
          <c:dLbls>
            <c:dLblPos val="ctr"/>
            <c:showLegendKey val="0"/>
            <c:showVal val="0"/>
            <c:showCatName val="0"/>
            <c:showSerName val="1"/>
            <c:showPercent val="0"/>
            <c:showBubbleSize val="0"/>
          </c:dLbls>
          <c:xVal>
            <c:strRef>
              <c:f>'2022_Data'!$F$703</c:f>
            </c:strRef>
          </c:xVal>
          <c:yVal>
            <c:numRef>
              <c:f>'2022_Data'!$E$703</c:f>
              <c:numCache/>
            </c:numRef>
          </c:yVal>
          <c:bubbleSize>
            <c:numRef>
              <c:f>'2022_Data'!$G$703</c:f>
            </c:numRef>
          </c:bubbleSize>
        </c:ser>
        <c:ser>
          <c:idx val="702"/>
          <c:order val="702"/>
          <c:tx>
            <c:strRef>
              <c:f>'2022_Data'!$A$704</c:f>
            </c:strRef>
          </c:tx>
          <c:dLbls>
            <c:dLblPos val="ctr"/>
            <c:showLegendKey val="0"/>
            <c:showVal val="0"/>
            <c:showCatName val="0"/>
            <c:showSerName val="1"/>
            <c:showPercent val="0"/>
            <c:showBubbleSize val="0"/>
          </c:dLbls>
          <c:xVal>
            <c:strRef>
              <c:f>'2022_Data'!$F$704</c:f>
            </c:strRef>
          </c:xVal>
          <c:yVal>
            <c:numRef>
              <c:f>'2022_Data'!$E$704</c:f>
              <c:numCache/>
            </c:numRef>
          </c:yVal>
          <c:bubbleSize>
            <c:numRef>
              <c:f>'2022_Data'!$G$704</c:f>
            </c:numRef>
          </c:bubbleSize>
        </c:ser>
        <c:ser>
          <c:idx val="703"/>
          <c:order val="703"/>
          <c:tx>
            <c:strRef>
              <c:f>'2022_Data'!$A$705</c:f>
            </c:strRef>
          </c:tx>
          <c:dLbls>
            <c:dLblPos val="ctr"/>
            <c:showLegendKey val="0"/>
            <c:showVal val="0"/>
            <c:showCatName val="0"/>
            <c:showSerName val="1"/>
            <c:showPercent val="0"/>
            <c:showBubbleSize val="0"/>
          </c:dLbls>
          <c:xVal>
            <c:strRef>
              <c:f>'2022_Data'!$F$705</c:f>
            </c:strRef>
          </c:xVal>
          <c:yVal>
            <c:numRef>
              <c:f>'2022_Data'!$E$705</c:f>
              <c:numCache/>
            </c:numRef>
          </c:yVal>
          <c:bubbleSize>
            <c:numRef>
              <c:f>'2022_Data'!$G$705</c:f>
            </c:numRef>
          </c:bubbleSize>
        </c:ser>
        <c:ser>
          <c:idx val="704"/>
          <c:order val="704"/>
          <c:tx>
            <c:strRef>
              <c:f>'2022_Data'!$A$706</c:f>
            </c:strRef>
          </c:tx>
          <c:dLbls>
            <c:dLblPos val="ctr"/>
            <c:showLegendKey val="0"/>
            <c:showVal val="0"/>
            <c:showCatName val="0"/>
            <c:showSerName val="1"/>
            <c:showPercent val="0"/>
            <c:showBubbleSize val="0"/>
          </c:dLbls>
          <c:xVal>
            <c:strRef>
              <c:f>'2022_Data'!$F$706</c:f>
            </c:strRef>
          </c:xVal>
          <c:yVal>
            <c:numRef>
              <c:f>'2022_Data'!$E$706</c:f>
              <c:numCache/>
            </c:numRef>
          </c:yVal>
          <c:bubbleSize>
            <c:numRef>
              <c:f>'2022_Data'!$G$706</c:f>
            </c:numRef>
          </c:bubbleSize>
        </c:ser>
        <c:ser>
          <c:idx val="705"/>
          <c:order val="705"/>
          <c:tx>
            <c:strRef>
              <c:f>'2022_Data'!$A$707</c:f>
            </c:strRef>
          </c:tx>
          <c:dLbls>
            <c:dLblPos val="ctr"/>
            <c:showLegendKey val="0"/>
            <c:showVal val="0"/>
            <c:showCatName val="0"/>
            <c:showSerName val="1"/>
            <c:showPercent val="0"/>
            <c:showBubbleSize val="0"/>
          </c:dLbls>
          <c:xVal>
            <c:strRef>
              <c:f>'2022_Data'!$F$707</c:f>
            </c:strRef>
          </c:xVal>
          <c:yVal>
            <c:numRef>
              <c:f>'2022_Data'!$E$707</c:f>
              <c:numCache/>
            </c:numRef>
          </c:yVal>
          <c:bubbleSize>
            <c:numRef>
              <c:f>'2022_Data'!$G$707</c:f>
            </c:numRef>
          </c:bubbleSize>
        </c:ser>
        <c:ser>
          <c:idx val="706"/>
          <c:order val="706"/>
          <c:tx>
            <c:strRef>
              <c:f>'2022_Data'!$A$708</c:f>
            </c:strRef>
          </c:tx>
          <c:dLbls>
            <c:dLblPos val="ctr"/>
            <c:showLegendKey val="0"/>
            <c:showVal val="0"/>
            <c:showCatName val="0"/>
            <c:showSerName val="1"/>
            <c:showPercent val="0"/>
            <c:showBubbleSize val="0"/>
          </c:dLbls>
          <c:xVal>
            <c:strRef>
              <c:f>'2022_Data'!$F$708</c:f>
            </c:strRef>
          </c:xVal>
          <c:yVal>
            <c:numRef>
              <c:f>'2022_Data'!$E$708</c:f>
              <c:numCache/>
            </c:numRef>
          </c:yVal>
          <c:bubbleSize>
            <c:numRef>
              <c:f>'2022_Data'!$G$708</c:f>
            </c:numRef>
          </c:bubbleSize>
        </c:ser>
        <c:ser>
          <c:idx val="707"/>
          <c:order val="707"/>
          <c:tx>
            <c:strRef>
              <c:f>'2022_Data'!$A$709</c:f>
            </c:strRef>
          </c:tx>
          <c:dLbls>
            <c:dLblPos val="ctr"/>
            <c:showLegendKey val="0"/>
            <c:showVal val="0"/>
            <c:showCatName val="0"/>
            <c:showSerName val="1"/>
            <c:showPercent val="0"/>
            <c:showBubbleSize val="0"/>
          </c:dLbls>
          <c:xVal>
            <c:strRef>
              <c:f>'2022_Data'!$F$709</c:f>
            </c:strRef>
          </c:xVal>
          <c:yVal>
            <c:numRef>
              <c:f>'2022_Data'!$E$709</c:f>
              <c:numCache/>
            </c:numRef>
          </c:yVal>
          <c:bubbleSize>
            <c:numRef>
              <c:f>'2022_Data'!$G$709</c:f>
            </c:numRef>
          </c:bubbleSize>
        </c:ser>
        <c:ser>
          <c:idx val="708"/>
          <c:order val="708"/>
          <c:tx>
            <c:strRef>
              <c:f>'2022_Data'!$A$710</c:f>
            </c:strRef>
          </c:tx>
          <c:dLbls>
            <c:dLblPos val="ctr"/>
            <c:showLegendKey val="0"/>
            <c:showVal val="0"/>
            <c:showCatName val="0"/>
            <c:showSerName val="1"/>
            <c:showPercent val="0"/>
            <c:showBubbleSize val="0"/>
          </c:dLbls>
          <c:xVal>
            <c:strRef>
              <c:f>'2022_Data'!$F$710</c:f>
            </c:strRef>
          </c:xVal>
          <c:yVal>
            <c:numRef>
              <c:f>'2022_Data'!$E$710</c:f>
              <c:numCache/>
            </c:numRef>
          </c:yVal>
          <c:bubbleSize>
            <c:numRef>
              <c:f>'2022_Data'!$G$710</c:f>
            </c:numRef>
          </c:bubbleSize>
        </c:ser>
        <c:ser>
          <c:idx val="709"/>
          <c:order val="709"/>
          <c:tx>
            <c:strRef>
              <c:f>'2022_Data'!$A$711</c:f>
            </c:strRef>
          </c:tx>
          <c:dLbls>
            <c:dLblPos val="ctr"/>
            <c:showLegendKey val="0"/>
            <c:showVal val="0"/>
            <c:showCatName val="0"/>
            <c:showSerName val="1"/>
            <c:showPercent val="0"/>
            <c:showBubbleSize val="0"/>
          </c:dLbls>
          <c:xVal>
            <c:strRef>
              <c:f>'2022_Data'!$F$711</c:f>
            </c:strRef>
          </c:xVal>
          <c:yVal>
            <c:numRef>
              <c:f>'2022_Data'!$E$711</c:f>
              <c:numCache/>
            </c:numRef>
          </c:yVal>
          <c:bubbleSize>
            <c:numRef>
              <c:f>'2022_Data'!$G$711</c:f>
            </c:numRef>
          </c:bubbleSize>
        </c:ser>
        <c:ser>
          <c:idx val="710"/>
          <c:order val="710"/>
          <c:tx>
            <c:strRef>
              <c:f>'2022_Data'!$A$712</c:f>
            </c:strRef>
          </c:tx>
          <c:dLbls>
            <c:dLblPos val="ctr"/>
            <c:showLegendKey val="0"/>
            <c:showVal val="0"/>
            <c:showCatName val="0"/>
            <c:showSerName val="1"/>
            <c:showPercent val="0"/>
            <c:showBubbleSize val="0"/>
          </c:dLbls>
          <c:xVal>
            <c:strRef>
              <c:f>'2022_Data'!$F$712</c:f>
            </c:strRef>
          </c:xVal>
          <c:yVal>
            <c:numRef>
              <c:f>'2022_Data'!$E$712</c:f>
              <c:numCache/>
            </c:numRef>
          </c:yVal>
          <c:bubbleSize>
            <c:numRef>
              <c:f>'2022_Data'!$G$712</c:f>
            </c:numRef>
          </c:bubbleSize>
        </c:ser>
        <c:ser>
          <c:idx val="711"/>
          <c:order val="711"/>
          <c:tx>
            <c:strRef>
              <c:f>'2022_Data'!$A$713</c:f>
            </c:strRef>
          </c:tx>
          <c:dLbls>
            <c:dLblPos val="ctr"/>
            <c:showLegendKey val="0"/>
            <c:showVal val="0"/>
            <c:showCatName val="0"/>
            <c:showSerName val="1"/>
            <c:showPercent val="0"/>
            <c:showBubbleSize val="0"/>
          </c:dLbls>
          <c:xVal>
            <c:strRef>
              <c:f>'2022_Data'!$F$713</c:f>
            </c:strRef>
          </c:xVal>
          <c:yVal>
            <c:numRef>
              <c:f>'2022_Data'!$E$713</c:f>
              <c:numCache/>
            </c:numRef>
          </c:yVal>
          <c:bubbleSize>
            <c:numRef>
              <c:f>'2022_Data'!$G$713</c:f>
            </c:numRef>
          </c:bubbleSize>
        </c:ser>
        <c:ser>
          <c:idx val="712"/>
          <c:order val="712"/>
          <c:tx>
            <c:strRef>
              <c:f>'2022_Data'!$A$714</c:f>
            </c:strRef>
          </c:tx>
          <c:dLbls>
            <c:dLblPos val="ctr"/>
            <c:showLegendKey val="0"/>
            <c:showVal val="0"/>
            <c:showCatName val="0"/>
            <c:showSerName val="1"/>
            <c:showPercent val="0"/>
            <c:showBubbleSize val="0"/>
          </c:dLbls>
          <c:xVal>
            <c:strRef>
              <c:f>'2022_Data'!$F$714</c:f>
            </c:strRef>
          </c:xVal>
          <c:yVal>
            <c:numRef>
              <c:f>'2022_Data'!$E$714</c:f>
              <c:numCache/>
            </c:numRef>
          </c:yVal>
          <c:bubbleSize>
            <c:numRef>
              <c:f>'2022_Data'!$G$714</c:f>
            </c:numRef>
          </c:bubbleSize>
        </c:ser>
        <c:ser>
          <c:idx val="713"/>
          <c:order val="713"/>
          <c:tx>
            <c:strRef>
              <c:f>'2022_Data'!$A$715</c:f>
            </c:strRef>
          </c:tx>
          <c:dLbls>
            <c:dLblPos val="ctr"/>
            <c:showLegendKey val="0"/>
            <c:showVal val="0"/>
            <c:showCatName val="0"/>
            <c:showSerName val="1"/>
            <c:showPercent val="0"/>
            <c:showBubbleSize val="0"/>
          </c:dLbls>
          <c:xVal>
            <c:strRef>
              <c:f>'2022_Data'!$F$715</c:f>
            </c:strRef>
          </c:xVal>
          <c:yVal>
            <c:numRef>
              <c:f>'2022_Data'!$E$715</c:f>
              <c:numCache/>
            </c:numRef>
          </c:yVal>
          <c:bubbleSize>
            <c:numRef>
              <c:f>'2022_Data'!$G$715</c:f>
            </c:numRef>
          </c:bubbleSize>
        </c:ser>
        <c:ser>
          <c:idx val="714"/>
          <c:order val="714"/>
          <c:tx>
            <c:strRef>
              <c:f>'2022_Data'!$A$716</c:f>
            </c:strRef>
          </c:tx>
          <c:dLbls>
            <c:dLblPos val="ctr"/>
            <c:showLegendKey val="0"/>
            <c:showVal val="0"/>
            <c:showCatName val="0"/>
            <c:showSerName val="1"/>
            <c:showPercent val="0"/>
            <c:showBubbleSize val="0"/>
          </c:dLbls>
          <c:xVal>
            <c:strRef>
              <c:f>'2022_Data'!$F$716</c:f>
            </c:strRef>
          </c:xVal>
          <c:yVal>
            <c:numRef>
              <c:f>'2022_Data'!$E$716</c:f>
              <c:numCache/>
            </c:numRef>
          </c:yVal>
          <c:bubbleSize>
            <c:numRef>
              <c:f>'2022_Data'!$G$716</c:f>
            </c:numRef>
          </c:bubbleSize>
        </c:ser>
        <c:ser>
          <c:idx val="715"/>
          <c:order val="715"/>
          <c:tx>
            <c:strRef>
              <c:f>'2022_Data'!$A$717</c:f>
            </c:strRef>
          </c:tx>
          <c:dLbls>
            <c:dLblPos val="ctr"/>
            <c:showLegendKey val="0"/>
            <c:showVal val="0"/>
            <c:showCatName val="0"/>
            <c:showSerName val="1"/>
            <c:showPercent val="0"/>
            <c:showBubbleSize val="0"/>
          </c:dLbls>
          <c:xVal>
            <c:strRef>
              <c:f>'2022_Data'!$F$717</c:f>
            </c:strRef>
          </c:xVal>
          <c:yVal>
            <c:numRef>
              <c:f>'2022_Data'!$E$717</c:f>
              <c:numCache/>
            </c:numRef>
          </c:yVal>
          <c:bubbleSize>
            <c:numRef>
              <c:f>'2022_Data'!$G$717</c:f>
            </c:numRef>
          </c:bubbleSize>
        </c:ser>
        <c:ser>
          <c:idx val="716"/>
          <c:order val="716"/>
          <c:tx>
            <c:strRef>
              <c:f>'2022_Data'!$A$718</c:f>
            </c:strRef>
          </c:tx>
          <c:dLbls>
            <c:dLblPos val="ctr"/>
            <c:showLegendKey val="0"/>
            <c:showVal val="0"/>
            <c:showCatName val="0"/>
            <c:showSerName val="1"/>
            <c:showPercent val="0"/>
            <c:showBubbleSize val="0"/>
          </c:dLbls>
          <c:xVal>
            <c:strRef>
              <c:f>'2022_Data'!$F$718</c:f>
            </c:strRef>
          </c:xVal>
          <c:yVal>
            <c:numRef>
              <c:f>'2022_Data'!$E$718</c:f>
              <c:numCache/>
            </c:numRef>
          </c:yVal>
          <c:bubbleSize>
            <c:numRef>
              <c:f>'2022_Data'!$G$718</c:f>
            </c:numRef>
          </c:bubbleSize>
        </c:ser>
        <c:ser>
          <c:idx val="717"/>
          <c:order val="717"/>
          <c:tx>
            <c:strRef>
              <c:f>'2022_Data'!$A$719</c:f>
            </c:strRef>
          </c:tx>
          <c:dLbls>
            <c:dLblPos val="ctr"/>
            <c:showLegendKey val="0"/>
            <c:showVal val="0"/>
            <c:showCatName val="0"/>
            <c:showSerName val="1"/>
            <c:showPercent val="0"/>
            <c:showBubbleSize val="0"/>
          </c:dLbls>
          <c:xVal>
            <c:strRef>
              <c:f>'2022_Data'!$F$719</c:f>
            </c:strRef>
          </c:xVal>
          <c:yVal>
            <c:numRef>
              <c:f>'2022_Data'!$E$719</c:f>
              <c:numCache/>
            </c:numRef>
          </c:yVal>
          <c:bubbleSize>
            <c:numRef>
              <c:f>'2022_Data'!$G$719</c:f>
            </c:numRef>
          </c:bubbleSize>
        </c:ser>
        <c:ser>
          <c:idx val="718"/>
          <c:order val="718"/>
          <c:tx>
            <c:strRef>
              <c:f>'2022_Data'!$A$720</c:f>
            </c:strRef>
          </c:tx>
          <c:dLbls>
            <c:dLblPos val="ctr"/>
            <c:showLegendKey val="0"/>
            <c:showVal val="0"/>
            <c:showCatName val="0"/>
            <c:showSerName val="1"/>
            <c:showPercent val="0"/>
            <c:showBubbleSize val="0"/>
          </c:dLbls>
          <c:xVal>
            <c:strRef>
              <c:f>'2022_Data'!$F$720</c:f>
            </c:strRef>
          </c:xVal>
          <c:yVal>
            <c:numRef>
              <c:f>'2022_Data'!$E$720</c:f>
              <c:numCache/>
            </c:numRef>
          </c:yVal>
          <c:bubbleSize>
            <c:numRef>
              <c:f>'2022_Data'!$G$720</c:f>
            </c:numRef>
          </c:bubbleSize>
        </c:ser>
        <c:ser>
          <c:idx val="719"/>
          <c:order val="719"/>
          <c:tx>
            <c:strRef>
              <c:f>'2022_Data'!$A$721</c:f>
            </c:strRef>
          </c:tx>
          <c:dLbls>
            <c:dLblPos val="ctr"/>
            <c:showLegendKey val="0"/>
            <c:showVal val="0"/>
            <c:showCatName val="0"/>
            <c:showSerName val="1"/>
            <c:showPercent val="0"/>
            <c:showBubbleSize val="0"/>
          </c:dLbls>
          <c:xVal>
            <c:strRef>
              <c:f>'2022_Data'!$F$721</c:f>
            </c:strRef>
          </c:xVal>
          <c:yVal>
            <c:numRef>
              <c:f>'2022_Data'!$E$721</c:f>
              <c:numCache/>
            </c:numRef>
          </c:yVal>
          <c:bubbleSize>
            <c:numRef>
              <c:f>'2022_Data'!$G$721</c:f>
            </c:numRef>
          </c:bubbleSize>
        </c:ser>
        <c:ser>
          <c:idx val="720"/>
          <c:order val="720"/>
          <c:tx>
            <c:strRef>
              <c:f>'2022_Data'!$A$722</c:f>
            </c:strRef>
          </c:tx>
          <c:dLbls>
            <c:dLblPos val="ctr"/>
            <c:showLegendKey val="0"/>
            <c:showVal val="0"/>
            <c:showCatName val="0"/>
            <c:showSerName val="1"/>
            <c:showPercent val="0"/>
            <c:showBubbleSize val="0"/>
          </c:dLbls>
          <c:xVal>
            <c:strRef>
              <c:f>'2022_Data'!$F$722</c:f>
            </c:strRef>
          </c:xVal>
          <c:yVal>
            <c:numRef>
              <c:f>'2022_Data'!$E$722</c:f>
              <c:numCache/>
            </c:numRef>
          </c:yVal>
          <c:bubbleSize>
            <c:numRef>
              <c:f>'2022_Data'!$G$722</c:f>
            </c:numRef>
          </c:bubbleSize>
        </c:ser>
        <c:ser>
          <c:idx val="721"/>
          <c:order val="721"/>
          <c:tx>
            <c:strRef>
              <c:f>'2022_Data'!$A$723</c:f>
            </c:strRef>
          </c:tx>
          <c:dLbls>
            <c:dLblPos val="ctr"/>
            <c:showLegendKey val="0"/>
            <c:showVal val="0"/>
            <c:showCatName val="0"/>
            <c:showSerName val="1"/>
            <c:showPercent val="0"/>
            <c:showBubbleSize val="0"/>
          </c:dLbls>
          <c:xVal>
            <c:strRef>
              <c:f>'2022_Data'!$F$723</c:f>
            </c:strRef>
          </c:xVal>
          <c:yVal>
            <c:numRef>
              <c:f>'2022_Data'!$E$723</c:f>
              <c:numCache/>
            </c:numRef>
          </c:yVal>
          <c:bubbleSize>
            <c:numRef>
              <c:f>'2022_Data'!$G$723</c:f>
            </c:numRef>
          </c:bubbleSize>
        </c:ser>
        <c:ser>
          <c:idx val="722"/>
          <c:order val="722"/>
          <c:tx>
            <c:strRef>
              <c:f>'2022_Data'!$A$724</c:f>
            </c:strRef>
          </c:tx>
          <c:dLbls>
            <c:dLblPos val="ctr"/>
            <c:showLegendKey val="0"/>
            <c:showVal val="0"/>
            <c:showCatName val="0"/>
            <c:showSerName val="1"/>
            <c:showPercent val="0"/>
            <c:showBubbleSize val="0"/>
          </c:dLbls>
          <c:xVal>
            <c:strRef>
              <c:f>'2022_Data'!$F$724</c:f>
            </c:strRef>
          </c:xVal>
          <c:yVal>
            <c:numRef>
              <c:f>'2022_Data'!$E$724</c:f>
              <c:numCache/>
            </c:numRef>
          </c:yVal>
          <c:bubbleSize>
            <c:numRef>
              <c:f>'2022_Data'!$G$724</c:f>
            </c:numRef>
          </c:bubbleSize>
        </c:ser>
        <c:ser>
          <c:idx val="723"/>
          <c:order val="723"/>
          <c:tx>
            <c:strRef>
              <c:f>'2022_Data'!$A$725</c:f>
            </c:strRef>
          </c:tx>
          <c:dLbls>
            <c:dLblPos val="ctr"/>
            <c:showLegendKey val="0"/>
            <c:showVal val="0"/>
            <c:showCatName val="0"/>
            <c:showSerName val="1"/>
            <c:showPercent val="0"/>
            <c:showBubbleSize val="0"/>
          </c:dLbls>
          <c:xVal>
            <c:strRef>
              <c:f>'2022_Data'!$F$725</c:f>
            </c:strRef>
          </c:xVal>
          <c:yVal>
            <c:numRef>
              <c:f>'2022_Data'!$E$725</c:f>
              <c:numCache/>
            </c:numRef>
          </c:yVal>
          <c:bubbleSize>
            <c:numRef>
              <c:f>'2022_Data'!$G$725</c:f>
            </c:numRef>
          </c:bubbleSize>
        </c:ser>
        <c:ser>
          <c:idx val="724"/>
          <c:order val="724"/>
          <c:tx>
            <c:strRef>
              <c:f>'2022_Data'!$A$726</c:f>
            </c:strRef>
          </c:tx>
          <c:dLbls>
            <c:dLblPos val="ctr"/>
            <c:showLegendKey val="0"/>
            <c:showVal val="0"/>
            <c:showCatName val="0"/>
            <c:showSerName val="1"/>
            <c:showPercent val="0"/>
            <c:showBubbleSize val="0"/>
          </c:dLbls>
          <c:xVal>
            <c:strRef>
              <c:f>'2022_Data'!$F$726</c:f>
            </c:strRef>
          </c:xVal>
          <c:yVal>
            <c:numRef>
              <c:f>'2022_Data'!$E$726</c:f>
              <c:numCache/>
            </c:numRef>
          </c:yVal>
          <c:bubbleSize>
            <c:numRef>
              <c:f>'2022_Data'!$G$726</c:f>
            </c:numRef>
          </c:bubbleSize>
        </c:ser>
        <c:ser>
          <c:idx val="725"/>
          <c:order val="725"/>
          <c:tx>
            <c:strRef>
              <c:f>'2022_Data'!$A$727</c:f>
            </c:strRef>
          </c:tx>
          <c:dLbls>
            <c:dLblPos val="ctr"/>
            <c:showLegendKey val="0"/>
            <c:showVal val="0"/>
            <c:showCatName val="0"/>
            <c:showSerName val="1"/>
            <c:showPercent val="0"/>
            <c:showBubbleSize val="0"/>
          </c:dLbls>
          <c:xVal>
            <c:strRef>
              <c:f>'2022_Data'!$F$727</c:f>
            </c:strRef>
          </c:xVal>
          <c:yVal>
            <c:numRef>
              <c:f>'2022_Data'!$E$727</c:f>
              <c:numCache/>
            </c:numRef>
          </c:yVal>
          <c:bubbleSize>
            <c:numRef>
              <c:f>'2022_Data'!$G$727</c:f>
            </c:numRef>
          </c:bubbleSize>
        </c:ser>
        <c:ser>
          <c:idx val="726"/>
          <c:order val="726"/>
          <c:tx>
            <c:strRef>
              <c:f>'2022_Data'!$A$728</c:f>
            </c:strRef>
          </c:tx>
          <c:dLbls>
            <c:dLblPos val="ctr"/>
            <c:showLegendKey val="0"/>
            <c:showVal val="0"/>
            <c:showCatName val="0"/>
            <c:showSerName val="1"/>
            <c:showPercent val="0"/>
            <c:showBubbleSize val="0"/>
          </c:dLbls>
          <c:xVal>
            <c:strRef>
              <c:f>'2022_Data'!$F$728</c:f>
            </c:strRef>
          </c:xVal>
          <c:yVal>
            <c:numRef>
              <c:f>'2022_Data'!$E$728</c:f>
              <c:numCache/>
            </c:numRef>
          </c:yVal>
          <c:bubbleSize>
            <c:numRef>
              <c:f>'2022_Data'!$G$728</c:f>
            </c:numRef>
          </c:bubbleSize>
        </c:ser>
        <c:ser>
          <c:idx val="727"/>
          <c:order val="727"/>
          <c:tx>
            <c:strRef>
              <c:f>'2022_Data'!$A$729</c:f>
            </c:strRef>
          </c:tx>
          <c:dLbls>
            <c:dLblPos val="ctr"/>
            <c:showLegendKey val="0"/>
            <c:showVal val="0"/>
            <c:showCatName val="0"/>
            <c:showSerName val="1"/>
            <c:showPercent val="0"/>
            <c:showBubbleSize val="0"/>
          </c:dLbls>
          <c:xVal>
            <c:strRef>
              <c:f>'2022_Data'!$F$729</c:f>
            </c:strRef>
          </c:xVal>
          <c:yVal>
            <c:numRef>
              <c:f>'2022_Data'!$E$729</c:f>
              <c:numCache/>
            </c:numRef>
          </c:yVal>
          <c:bubbleSize>
            <c:numRef>
              <c:f>'2022_Data'!$G$729</c:f>
            </c:numRef>
          </c:bubbleSize>
        </c:ser>
        <c:ser>
          <c:idx val="728"/>
          <c:order val="728"/>
          <c:tx>
            <c:strRef>
              <c:f>'2022_Data'!$A$730</c:f>
            </c:strRef>
          </c:tx>
          <c:dLbls>
            <c:dLblPos val="ctr"/>
            <c:showLegendKey val="0"/>
            <c:showVal val="0"/>
            <c:showCatName val="0"/>
            <c:showSerName val="1"/>
            <c:showPercent val="0"/>
            <c:showBubbleSize val="0"/>
          </c:dLbls>
          <c:xVal>
            <c:strRef>
              <c:f>'2022_Data'!$F$730</c:f>
            </c:strRef>
          </c:xVal>
          <c:yVal>
            <c:numRef>
              <c:f>'2022_Data'!$E$730</c:f>
              <c:numCache/>
            </c:numRef>
          </c:yVal>
          <c:bubbleSize>
            <c:numRef>
              <c:f>'2022_Data'!$G$730</c:f>
            </c:numRef>
          </c:bubbleSize>
        </c:ser>
        <c:ser>
          <c:idx val="729"/>
          <c:order val="729"/>
          <c:tx>
            <c:strRef>
              <c:f>'2022_Data'!$A$731</c:f>
            </c:strRef>
          </c:tx>
          <c:dLbls>
            <c:dLblPos val="ctr"/>
            <c:showLegendKey val="0"/>
            <c:showVal val="0"/>
            <c:showCatName val="0"/>
            <c:showSerName val="1"/>
            <c:showPercent val="0"/>
            <c:showBubbleSize val="0"/>
          </c:dLbls>
          <c:xVal>
            <c:strRef>
              <c:f>'2022_Data'!$F$731</c:f>
            </c:strRef>
          </c:xVal>
          <c:yVal>
            <c:numRef>
              <c:f>'2022_Data'!$E$731</c:f>
              <c:numCache/>
            </c:numRef>
          </c:yVal>
          <c:bubbleSize>
            <c:numRef>
              <c:f>'2022_Data'!$G$731</c:f>
            </c:numRef>
          </c:bubbleSize>
        </c:ser>
        <c:ser>
          <c:idx val="730"/>
          <c:order val="730"/>
          <c:tx>
            <c:strRef>
              <c:f>'2022_Data'!$A$732</c:f>
            </c:strRef>
          </c:tx>
          <c:dLbls>
            <c:dLblPos val="ctr"/>
            <c:showLegendKey val="0"/>
            <c:showVal val="0"/>
            <c:showCatName val="0"/>
            <c:showSerName val="1"/>
            <c:showPercent val="0"/>
            <c:showBubbleSize val="0"/>
          </c:dLbls>
          <c:xVal>
            <c:strRef>
              <c:f>'2022_Data'!$F$732</c:f>
            </c:strRef>
          </c:xVal>
          <c:yVal>
            <c:numRef>
              <c:f>'2022_Data'!$E$732</c:f>
              <c:numCache/>
            </c:numRef>
          </c:yVal>
          <c:bubbleSize>
            <c:numRef>
              <c:f>'2022_Data'!$G$732</c:f>
            </c:numRef>
          </c:bubbleSize>
        </c:ser>
        <c:ser>
          <c:idx val="731"/>
          <c:order val="731"/>
          <c:tx>
            <c:strRef>
              <c:f>'2022_Data'!$A$733</c:f>
            </c:strRef>
          </c:tx>
          <c:dLbls>
            <c:dLblPos val="ctr"/>
            <c:showLegendKey val="0"/>
            <c:showVal val="0"/>
            <c:showCatName val="0"/>
            <c:showSerName val="1"/>
            <c:showPercent val="0"/>
            <c:showBubbleSize val="0"/>
          </c:dLbls>
          <c:xVal>
            <c:strRef>
              <c:f>'2022_Data'!$F$733</c:f>
            </c:strRef>
          </c:xVal>
          <c:yVal>
            <c:numRef>
              <c:f>'2022_Data'!$E$733</c:f>
              <c:numCache/>
            </c:numRef>
          </c:yVal>
          <c:bubbleSize>
            <c:numRef>
              <c:f>'2022_Data'!$G$733</c:f>
            </c:numRef>
          </c:bubbleSize>
        </c:ser>
        <c:ser>
          <c:idx val="732"/>
          <c:order val="732"/>
          <c:tx>
            <c:strRef>
              <c:f>'2022_Data'!$A$734</c:f>
            </c:strRef>
          </c:tx>
          <c:dLbls>
            <c:dLblPos val="ctr"/>
            <c:showLegendKey val="0"/>
            <c:showVal val="0"/>
            <c:showCatName val="0"/>
            <c:showSerName val="1"/>
            <c:showPercent val="0"/>
            <c:showBubbleSize val="0"/>
          </c:dLbls>
          <c:xVal>
            <c:strRef>
              <c:f>'2022_Data'!$F$734</c:f>
            </c:strRef>
          </c:xVal>
          <c:yVal>
            <c:numRef>
              <c:f>'2022_Data'!$E$734</c:f>
              <c:numCache/>
            </c:numRef>
          </c:yVal>
          <c:bubbleSize>
            <c:numRef>
              <c:f>'2022_Data'!$G$734</c:f>
            </c:numRef>
          </c:bubbleSize>
        </c:ser>
        <c:ser>
          <c:idx val="733"/>
          <c:order val="733"/>
          <c:tx>
            <c:strRef>
              <c:f>'2022_Data'!$A$735</c:f>
            </c:strRef>
          </c:tx>
          <c:dLbls>
            <c:dLblPos val="ctr"/>
            <c:showLegendKey val="0"/>
            <c:showVal val="0"/>
            <c:showCatName val="0"/>
            <c:showSerName val="1"/>
            <c:showPercent val="0"/>
            <c:showBubbleSize val="0"/>
          </c:dLbls>
          <c:xVal>
            <c:strRef>
              <c:f>'2022_Data'!$F$735</c:f>
            </c:strRef>
          </c:xVal>
          <c:yVal>
            <c:numRef>
              <c:f>'2022_Data'!$E$735</c:f>
              <c:numCache/>
            </c:numRef>
          </c:yVal>
          <c:bubbleSize>
            <c:numRef>
              <c:f>'2022_Data'!$G$735</c:f>
            </c:numRef>
          </c:bubbleSize>
        </c:ser>
        <c:ser>
          <c:idx val="734"/>
          <c:order val="734"/>
          <c:tx>
            <c:strRef>
              <c:f>'2022_Data'!$A$736</c:f>
            </c:strRef>
          </c:tx>
          <c:dLbls>
            <c:dLblPos val="ctr"/>
            <c:showLegendKey val="0"/>
            <c:showVal val="0"/>
            <c:showCatName val="0"/>
            <c:showSerName val="1"/>
            <c:showPercent val="0"/>
            <c:showBubbleSize val="0"/>
          </c:dLbls>
          <c:xVal>
            <c:strRef>
              <c:f>'2022_Data'!$F$736</c:f>
            </c:strRef>
          </c:xVal>
          <c:yVal>
            <c:numRef>
              <c:f>'2022_Data'!$E$736</c:f>
              <c:numCache/>
            </c:numRef>
          </c:yVal>
          <c:bubbleSize>
            <c:numRef>
              <c:f>'2022_Data'!$G$736</c:f>
            </c:numRef>
          </c:bubbleSize>
        </c:ser>
        <c:ser>
          <c:idx val="735"/>
          <c:order val="735"/>
          <c:tx>
            <c:strRef>
              <c:f>'2022_Data'!$A$737</c:f>
            </c:strRef>
          </c:tx>
          <c:dLbls>
            <c:dLblPos val="ctr"/>
            <c:showLegendKey val="0"/>
            <c:showVal val="0"/>
            <c:showCatName val="0"/>
            <c:showSerName val="1"/>
            <c:showPercent val="0"/>
            <c:showBubbleSize val="0"/>
          </c:dLbls>
          <c:xVal>
            <c:strRef>
              <c:f>'2022_Data'!$F$737</c:f>
            </c:strRef>
          </c:xVal>
          <c:yVal>
            <c:numRef>
              <c:f>'2022_Data'!$E$737</c:f>
              <c:numCache/>
            </c:numRef>
          </c:yVal>
          <c:bubbleSize>
            <c:numRef>
              <c:f>'2022_Data'!$G$737</c:f>
            </c:numRef>
          </c:bubbleSize>
        </c:ser>
        <c:ser>
          <c:idx val="736"/>
          <c:order val="736"/>
          <c:tx>
            <c:strRef>
              <c:f>'2022_Data'!$A$738</c:f>
            </c:strRef>
          </c:tx>
          <c:dLbls>
            <c:dLblPos val="ctr"/>
            <c:showLegendKey val="0"/>
            <c:showVal val="0"/>
            <c:showCatName val="0"/>
            <c:showSerName val="1"/>
            <c:showPercent val="0"/>
            <c:showBubbleSize val="0"/>
          </c:dLbls>
          <c:xVal>
            <c:strRef>
              <c:f>'2022_Data'!$F$738</c:f>
            </c:strRef>
          </c:xVal>
          <c:yVal>
            <c:numRef>
              <c:f>'2022_Data'!$E$738</c:f>
              <c:numCache/>
            </c:numRef>
          </c:yVal>
          <c:bubbleSize>
            <c:numRef>
              <c:f>'2022_Data'!$G$738</c:f>
            </c:numRef>
          </c:bubbleSize>
        </c:ser>
        <c:ser>
          <c:idx val="737"/>
          <c:order val="737"/>
          <c:tx>
            <c:strRef>
              <c:f>'2022_Data'!$A$739</c:f>
            </c:strRef>
          </c:tx>
          <c:dLbls>
            <c:dLblPos val="ctr"/>
            <c:showLegendKey val="0"/>
            <c:showVal val="0"/>
            <c:showCatName val="0"/>
            <c:showSerName val="1"/>
            <c:showPercent val="0"/>
            <c:showBubbleSize val="0"/>
          </c:dLbls>
          <c:xVal>
            <c:strRef>
              <c:f>'2022_Data'!$F$739</c:f>
            </c:strRef>
          </c:xVal>
          <c:yVal>
            <c:numRef>
              <c:f>'2022_Data'!$E$739</c:f>
              <c:numCache/>
            </c:numRef>
          </c:yVal>
          <c:bubbleSize>
            <c:numRef>
              <c:f>'2022_Data'!$G$739</c:f>
            </c:numRef>
          </c:bubbleSize>
        </c:ser>
        <c:ser>
          <c:idx val="738"/>
          <c:order val="738"/>
          <c:tx>
            <c:strRef>
              <c:f>'2022_Data'!$A$740</c:f>
            </c:strRef>
          </c:tx>
          <c:dLbls>
            <c:dLblPos val="ctr"/>
            <c:showLegendKey val="0"/>
            <c:showVal val="0"/>
            <c:showCatName val="0"/>
            <c:showSerName val="1"/>
            <c:showPercent val="0"/>
            <c:showBubbleSize val="0"/>
          </c:dLbls>
          <c:xVal>
            <c:strRef>
              <c:f>'2022_Data'!$F$740</c:f>
            </c:strRef>
          </c:xVal>
          <c:yVal>
            <c:numRef>
              <c:f>'2022_Data'!$E$740</c:f>
              <c:numCache/>
            </c:numRef>
          </c:yVal>
          <c:bubbleSize>
            <c:numRef>
              <c:f>'2022_Data'!$G$740</c:f>
            </c:numRef>
          </c:bubbleSize>
        </c:ser>
        <c:ser>
          <c:idx val="739"/>
          <c:order val="739"/>
          <c:tx>
            <c:strRef>
              <c:f>'2022_Data'!$A$741</c:f>
            </c:strRef>
          </c:tx>
          <c:dLbls>
            <c:dLblPos val="ctr"/>
            <c:showLegendKey val="0"/>
            <c:showVal val="0"/>
            <c:showCatName val="0"/>
            <c:showSerName val="1"/>
            <c:showPercent val="0"/>
            <c:showBubbleSize val="0"/>
          </c:dLbls>
          <c:xVal>
            <c:strRef>
              <c:f>'2022_Data'!$F$741</c:f>
            </c:strRef>
          </c:xVal>
          <c:yVal>
            <c:numRef>
              <c:f>'2022_Data'!$E$741</c:f>
              <c:numCache/>
            </c:numRef>
          </c:yVal>
          <c:bubbleSize>
            <c:numRef>
              <c:f>'2022_Data'!$G$741</c:f>
            </c:numRef>
          </c:bubbleSize>
        </c:ser>
        <c:ser>
          <c:idx val="740"/>
          <c:order val="740"/>
          <c:tx>
            <c:strRef>
              <c:f>'2022_Data'!$A$742</c:f>
            </c:strRef>
          </c:tx>
          <c:dLbls>
            <c:dLblPos val="ctr"/>
            <c:showLegendKey val="0"/>
            <c:showVal val="0"/>
            <c:showCatName val="0"/>
            <c:showSerName val="1"/>
            <c:showPercent val="0"/>
            <c:showBubbleSize val="0"/>
          </c:dLbls>
          <c:xVal>
            <c:strRef>
              <c:f>'2022_Data'!$F$742</c:f>
            </c:strRef>
          </c:xVal>
          <c:yVal>
            <c:numRef>
              <c:f>'2022_Data'!$E$742</c:f>
              <c:numCache/>
            </c:numRef>
          </c:yVal>
          <c:bubbleSize>
            <c:numRef>
              <c:f>'2022_Data'!$G$742</c:f>
            </c:numRef>
          </c:bubbleSize>
        </c:ser>
        <c:ser>
          <c:idx val="741"/>
          <c:order val="741"/>
          <c:tx>
            <c:strRef>
              <c:f>'2022_Data'!$A$743</c:f>
            </c:strRef>
          </c:tx>
          <c:dLbls>
            <c:dLblPos val="ctr"/>
            <c:showLegendKey val="0"/>
            <c:showVal val="0"/>
            <c:showCatName val="0"/>
            <c:showSerName val="1"/>
            <c:showPercent val="0"/>
            <c:showBubbleSize val="0"/>
          </c:dLbls>
          <c:xVal>
            <c:strRef>
              <c:f>'2022_Data'!$F$743</c:f>
            </c:strRef>
          </c:xVal>
          <c:yVal>
            <c:numRef>
              <c:f>'2022_Data'!$E$743</c:f>
              <c:numCache/>
            </c:numRef>
          </c:yVal>
          <c:bubbleSize>
            <c:numRef>
              <c:f>'2022_Data'!$G$743</c:f>
            </c:numRef>
          </c:bubbleSize>
        </c:ser>
        <c:ser>
          <c:idx val="742"/>
          <c:order val="742"/>
          <c:tx>
            <c:strRef>
              <c:f>'2022_Data'!$A$744</c:f>
            </c:strRef>
          </c:tx>
          <c:dLbls>
            <c:dLblPos val="ctr"/>
            <c:showLegendKey val="0"/>
            <c:showVal val="0"/>
            <c:showCatName val="0"/>
            <c:showSerName val="1"/>
            <c:showPercent val="0"/>
            <c:showBubbleSize val="0"/>
          </c:dLbls>
          <c:xVal>
            <c:strRef>
              <c:f>'2022_Data'!$F$744</c:f>
            </c:strRef>
          </c:xVal>
          <c:yVal>
            <c:numRef>
              <c:f>'2022_Data'!$E$744</c:f>
              <c:numCache/>
            </c:numRef>
          </c:yVal>
          <c:bubbleSize>
            <c:numRef>
              <c:f>'2022_Data'!$G$744</c:f>
            </c:numRef>
          </c:bubbleSize>
        </c:ser>
        <c:ser>
          <c:idx val="743"/>
          <c:order val="743"/>
          <c:tx>
            <c:strRef>
              <c:f>'2022_Data'!$A$745</c:f>
            </c:strRef>
          </c:tx>
          <c:dLbls>
            <c:dLblPos val="ctr"/>
            <c:showLegendKey val="0"/>
            <c:showVal val="0"/>
            <c:showCatName val="0"/>
            <c:showSerName val="1"/>
            <c:showPercent val="0"/>
            <c:showBubbleSize val="0"/>
          </c:dLbls>
          <c:xVal>
            <c:strRef>
              <c:f>'2022_Data'!$F$745</c:f>
            </c:strRef>
          </c:xVal>
          <c:yVal>
            <c:numRef>
              <c:f>'2022_Data'!$E$745</c:f>
              <c:numCache/>
            </c:numRef>
          </c:yVal>
          <c:bubbleSize>
            <c:numRef>
              <c:f>'2022_Data'!$G$745</c:f>
            </c:numRef>
          </c:bubbleSize>
        </c:ser>
        <c:ser>
          <c:idx val="744"/>
          <c:order val="744"/>
          <c:tx>
            <c:strRef>
              <c:f>'2022_Data'!$A$746</c:f>
            </c:strRef>
          </c:tx>
          <c:dLbls>
            <c:dLblPos val="ctr"/>
            <c:showLegendKey val="0"/>
            <c:showVal val="0"/>
            <c:showCatName val="0"/>
            <c:showSerName val="1"/>
            <c:showPercent val="0"/>
            <c:showBubbleSize val="0"/>
          </c:dLbls>
          <c:xVal>
            <c:strRef>
              <c:f>'2022_Data'!$F$746</c:f>
            </c:strRef>
          </c:xVal>
          <c:yVal>
            <c:numRef>
              <c:f>'2022_Data'!$E$746</c:f>
              <c:numCache/>
            </c:numRef>
          </c:yVal>
          <c:bubbleSize>
            <c:numRef>
              <c:f>'2022_Data'!$G$746</c:f>
            </c:numRef>
          </c:bubbleSize>
        </c:ser>
        <c:ser>
          <c:idx val="745"/>
          <c:order val="745"/>
          <c:tx>
            <c:strRef>
              <c:f>'2022_Data'!$A$747</c:f>
            </c:strRef>
          </c:tx>
          <c:dLbls>
            <c:dLblPos val="ctr"/>
            <c:showLegendKey val="0"/>
            <c:showVal val="0"/>
            <c:showCatName val="0"/>
            <c:showSerName val="1"/>
            <c:showPercent val="0"/>
            <c:showBubbleSize val="0"/>
          </c:dLbls>
          <c:xVal>
            <c:strRef>
              <c:f>'2022_Data'!$F$747</c:f>
            </c:strRef>
          </c:xVal>
          <c:yVal>
            <c:numRef>
              <c:f>'2022_Data'!$E$747</c:f>
              <c:numCache/>
            </c:numRef>
          </c:yVal>
          <c:bubbleSize>
            <c:numRef>
              <c:f>'2022_Data'!$G$747</c:f>
            </c:numRef>
          </c:bubbleSize>
        </c:ser>
        <c:ser>
          <c:idx val="746"/>
          <c:order val="746"/>
          <c:tx>
            <c:strRef>
              <c:f>'2022_Data'!$A$748</c:f>
            </c:strRef>
          </c:tx>
          <c:dLbls>
            <c:dLblPos val="ctr"/>
            <c:showLegendKey val="0"/>
            <c:showVal val="0"/>
            <c:showCatName val="0"/>
            <c:showSerName val="1"/>
            <c:showPercent val="0"/>
            <c:showBubbleSize val="0"/>
          </c:dLbls>
          <c:xVal>
            <c:strRef>
              <c:f>'2022_Data'!$F$748</c:f>
            </c:strRef>
          </c:xVal>
          <c:yVal>
            <c:numRef>
              <c:f>'2022_Data'!$E$748</c:f>
              <c:numCache/>
            </c:numRef>
          </c:yVal>
          <c:bubbleSize>
            <c:numRef>
              <c:f>'2022_Data'!$G$748</c:f>
            </c:numRef>
          </c:bubbleSize>
        </c:ser>
        <c:ser>
          <c:idx val="747"/>
          <c:order val="747"/>
          <c:tx>
            <c:strRef>
              <c:f>'2022_Data'!$A$749</c:f>
            </c:strRef>
          </c:tx>
          <c:dLbls>
            <c:dLblPos val="ctr"/>
            <c:showLegendKey val="0"/>
            <c:showVal val="0"/>
            <c:showCatName val="0"/>
            <c:showSerName val="1"/>
            <c:showPercent val="0"/>
            <c:showBubbleSize val="0"/>
          </c:dLbls>
          <c:xVal>
            <c:strRef>
              <c:f>'2022_Data'!$F$749</c:f>
            </c:strRef>
          </c:xVal>
          <c:yVal>
            <c:numRef>
              <c:f>'2022_Data'!$E$749</c:f>
              <c:numCache/>
            </c:numRef>
          </c:yVal>
          <c:bubbleSize>
            <c:numRef>
              <c:f>'2022_Data'!$G$749</c:f>
            </c:numRef>
          </c:bubbleSize>
        </c:ser>
        <c:ser>
          <c:idx val="748"/>
          <c:order val="748"/>
          <c:tx>
            <c:strRef>
              <c:f>'2022_Data'!$A$750</c:f>
            </c:strRef>
          </c:tx>
          <c:dLbls>
            <c:dLblPos val="ctr"/>
            <c:showLegendKey val="0"/>
            <c:showVal val="0"/>
            <c:showCatName val="0"/>
            <c:showSerName val="1"/>
            <c:showPercent val="0"/>
            <c:showBubbleSize val="0"/>
          </c:dLbls>
          <c:xVal>
            <c:strRef>
              <c:f>'2022_Data'!$F$750</c:f>
            </c:strRef>
          </c:xVal>
          <c:yVal>
            <c:numRef>
              <c:f>'2022_Data'!$E$750</c:f>
              <c:numCache/>
            </c:numRef>
          </c:yVal>
          <c:bubbleSize>
            <c:numRef>
              <c:f>'2022_Data'!$G$750</c:f>
            </c:numRef>
          </c:bubbleSize>
        </c:ser>
        <c:ser>
          <c:idx val="749"/>
          <c:order val="749"/>
          <c:tx>
            <c:strRef>
              <c:f>'2022_Data'!$A$751</c:f>
            </c:strRef>
          </c:tx>
          <c:dLbls>
            <c:dLblPos val="ctr"/>
            <c:showLegendKey val="0"/>
            <c:showVal val="0"/>
            <c:showCatName val="0"/>
            <c:showSerName val="1"/>
            <c:showPercent val="0"/>
            <c:showBubbleSize val="0"/>
          </c:dLbls>
          <c:xVal>
            <c:strRef>
              <c:f>'2022_Data'!$F$751</c:f>
            </c:strRef>
          </c:xVal>
          <c:yVal>
            <c:numRef>
              <c:f>'2022_Data'!$E$751</c:f>
              <c:numCache/>
            </c:numRef>
          </c:yVal>
          <c:bubbleSize>
            <c:numRef>
              <c:f>'2022_Data'!$G$751</c:f>
            </c:numRef>
          </c:bubbleSize>
        </c:ser>
        <c:ser>
          <c:idx val="750"/>
          <c:order val="750"/>
          <c:tx>
            <c:strRef>
              <c:f>'2022_Data'!$A$752</c:f>
            </c:strRef>
          </c:tx>
          <c:dLbls>
            <c:dLblPos val="ctr"/>
            <c:showLegendKey val="0"/>
            <c:showVal val="0"/>
            <c:showCatName val="0"/>
            <c:showSerName val="1"/>
            <c:showPercent val="0"/>
            <c:showBubbleSize val="0"/>
          </c:dLbls>
          <c:xVal>
            <c:strRef>
              <c:f>'2022_Data'!$F$752</c:f>
            </c:strRef>
          </c:xVal>
          <c:yVal>
            <c:numRef>
              <c:f>'2022_Data'!$E$752</c:f>
              <c:numCache/>
            </c:numRef>
          </c:yVal>
          <c:bubbleSize>
            <c:numRef>
              <c:f>'2022_Data'!$G$752</c:f>
            </c:numRef>
          </c:bubbleSize>
        </c:ser>
        <c:ser>
          <c:idx val="751"/>
          <c:order val="751"/>
          <c:tx>
            <c:strRef>
              <c:f>'2022_Data'!$A$753</c:f>
            </c:strRef>
          </c:tx>
          <c:dLbls>
            <c:dLblPos val="ctr"/>
            <c:showLegendKey val="0"/>
            <c:showVal val="0"/>
            <c:showCatName val="0"/>
            <c:showSerName val="1"/>
            <c:showPercent val="0"/>
            <c:showBubbleSize val="0"/>
          </c:dLbls>
          <c:xVal>
            <c:strRef>
              <c:f>'2022_Data'!$F$753</c:f>
            </c:strRef>
          </c:xVal>
          <c:yVal>
            <c:numRef>
              <c:f>'2022_Data'!$E$753</c:f>
              <c:numCache/>
            </c:numRef>
          </c:yVal>
          <c:bubbleSize>
            <c:numRef>
              <c:f>'2022_Data'!$G$753</c:f>
            </c:numRef>
          </c:bubbleSize>
        </c:ser>
        <c:ser>
          <c:idx val="752"/>
          <c:order val="752"/>
          <c:tx>
            <c:strRef>
              <c:f>'2022_Data'!$A$754</c:f>
            </c:strRef>
          </c:tx>
          <c:dLbls>
            <c:dLblPos val="ctr"/>
            <c:showLegendKey val="0"/>
            <c:showVal val="0"/>
            <c:showCatName val="0"/>
            <c:showSerName val="1"/>
            <c:showPercent val="0"/>
            <c:showBubbleSize val="0"/>
          </c:dLbls>
          <c:xVal>
            <c:strRef>
              <c:f>'2022_Data'!$F$754</c:f>
            </c:strRef>
          </c:xVal>
          <c:yVal>
            <c:numRef>
              <c:f>'2022_Data'!$E$754</c:f>
              <c:numCache/>
            </c:numRef>
          </c:yVal>
          <c:bubbleSize>
            <c:numRef>
              <c:f>'2022_Data'!$G$754</c:f>
            </c:numRef>
          </c:bubbleSize>
        </c:ser>
        <c:ser>
          <c:idx val="753"/>
          <c:order val="753"/>
          <c:tx>
            <c:strRef>
              <c:f>'2022_Data'!$A$755</c:f>
            </c:strRef>
          </c:tx>
          <c:dLbls>
            <c:dLblPos val="ctr"/>
            <c:showLegendKey val="0"/>
            <c:showVal val="0"/>
            <c:showCatName val="0"/>
            <c:showSerName val="1"/>
            <c:showPercent val="0"/>
            <c:showBubbleSize val="0"/>
          </c:dLbls>
          <c:xVal>
            <c:strRef>
              <c:f>'2022_Data'!$F$755</c:f>
            </c:strRef>
          </c:xVal>
          <c:yVal>
            <c:numRef>
              <c:f>'2022_Data'!$E$755</c:f>
              <c:numCache/>
            </c:numRef>
          </c:yVal>
          <c:bubbleSize>
            <c:numRef>
              <c:f>'2022_Data'!$G$755</c:f>
            </c:numRef>
          </c:bubbleSize>
        </c:ser>
        <c:ser>
          <c:idx val="754"/>
          <c:order val="754"/>
          <c:tx>
            <c:strRef>
              <c:f>'2022_Data'!$A$756</c:f>
            </c:strRef>
          </c:tx>
          <c:dLbls>
            <c:dLblPos val="ctr"/>
            <c:showLegendKey val="0"/>
            <c:showVal val="0"/>
            <c:showCatName val="0"/>
            <c:showSerName val="1"/>
            <c:showPercent val="0"/>
            <c:showBubbleSize val="0"/>
          </c:dLbls>
          <c:xVal>
            <c:strRef>
              <c:f>'2022_Data'!$F$756</c:f>
            </c:strRef>
          </c:xVal>
          <c:yVal>
            <c:numRef>
              <c:f>'2022_Data'!$E$756</c:f>
              <c:numCache/>
            </c:numRef>
          </c:yVal>
          <c:bubbleSize>
            <c:numRef>
              <c:f>'2022_Data'!$G$756</c:f>
            </c:numRef>
          </c:bubbleSize>
        </c:ser>
        <c:ser>
          <c:idx val="755"/>
          <c:order val="755"/>
          <c:tx>
            <c:strRef>
              <c:f>'2022_Data'!$A$757</c:f>
            </c:strRef>
          </c:tx>
          <c:dLbls>
            <c:dLblPos val="ctr"/>
            <c:showLegendKey val="0"/>
            <c:showVal val="0"/>
            <c:showCatName val="0"/>
            <c:showSerName val="1"/>
            <c:showPercent val="0"/>
            <c:showBubbleSize val="0"/>
          </c:dLbls>
          <c:xVal>
            <c:strRef>
              <c:f>'2022_Data'!$F$757</c:f>
            </c:strRef>
          </c:xVal>
          <c:yVal>
            <c:numRef>
              <c:f>'2022_Data'!$E$757</c:f>
              <c:numCache/>
            </c:numRef>
          </c:yVal>
          <c:bubbleSize>
            <c:numRef>
              <c:f>'2022_Data'!$G$757</c:f>
            </c:numRef>
          </c:bubbleSize>
        </c:ser>
        <c:ser>
          <c:idx val="756"/>
          <c:order val="756"/>
          <c:tx>
            <c:strRef>
              <c:f>'2022_Data'!$A$758</c:f>
            </c:strRef>
          </c:tx>
          <c:dLbls>
            <c:dLblPos val="ctr"/>
            <c:showLegendKey val="0"/>
            <c:showVal val="0"/>
            <c:showCatName val="0"/>
            <c:showSerName val="1"/>
            <c:showPercent val="0"/>
            <c:showBubbleSize val="0"/>
          </c:dLbls>
          <c:xVal>
            <c:strRef>
              <c:f>'2022_Data'!$F$758</c:f>
            </c:strRef>
          </c:xVal>
          <c:yVal>
            <c:numRef>
              <c:f>'2022_Data'!$E$758</c:f>
              <c:numCache/>
            </c:numRef>
          </c:yVal>
          <c:bubbleSize>
            <c:numRef>
              <c:f>'2022_Data'!$G$758</c:f>
            </c:numRef>
          </c:bubbleSize>
        </c:ser>
        <c:ser>
          <c:idx val="757"/>
          <c:order val="757"/>
          <c:tx>
            <c:strRef>
              <c:f>'2022_Data'!$A$759</c:f>
            </c:strRef>
          </c:tx>
          <c:dLbls>
            <c:dLblPos val="ctr"/>
            <c:showLegendKey val="0"/>
            <c:showVal val="0"/>
            <c:showCatName val="0"/>
            <c:showSerName val="1"/>
            <c:showPercent val="0"/>
            <c:showBubbleSize val="0"/>
          </c:dLbls>
          <c:xVal>
            <c:strRef>
              <c:f>'2022_Data'!$F$759</c:f>
            </c:strRef>
          </c:xVal>
          <c:yVal>
            <c:numRef>
              <c:f>'2022_Data'!$E$759</c:f>
              <c:numCache/>
            </c:numRef>
          </c:yVal>
          <c:bubbleSize>
            <c:numRef>
              <c:f>'2022_Data'!$G$759</c:f>
            </c:numRef>
          </c:bubbleSize>
        </c:ser>
        <c:ser>
          <c:idx val="758"/>
          <c:order val="758"/>
          <c:tx>
            <c:strRef>
              <c:f>'2022_Data'!$A$760</c:f>
            </c:strRef>
          </c:tx>
          <c:dLbls>
            <c:dLblPos val="ctr"/>
            <c:showLegendKey val="0"/>
            <c:showVal val="0"/>
            <c:showCatName val="0"/>
            <c:showSerName val="1"/>
            <c:showPercent val="0"/>
            <c:showBubbleSize val="0"/>
          </c:dLbls>
          <c:xVal>
            <c:strRef>
              <c:f>'2022_Data'!$F$760</c:f>
            </c:strRef>
          </c:xVal>
          <c:yVal>
            <c:numRef>
              <c:f>'2022_Data'!$E$760</c:f>
              <c:numCache/>
            </c:numRef>
          </c:yVal>
          <c:bubbleSize>
            <c:numRef>
              <c:f>'2022_Data'!$G$760</c:f>
            </c:numRef>
          </c:bubbleSize>
        </c:ser>
        <c:ser>
          <c:idx val="759"/>
          <c:order val="759"/>
          <c:tx>
            <c:strRef>
              <c:f>'2022_Data'!$A$761</c:f>
            </c:strRef>
          </c:tx>
          <c:dLbls>
            <c:dLblPos val="ctr"/>
            <c:showLegendKey val="0"/>
            <c:showVal val="0"/>
            <c:showCatName val="0"/>
            <c:showSerName val="1"/>
            <c:showPercent val="0"/>
            <c:showBubbleSize val="0"/>
          </c:dLbls>
          <c:xVal>
            <c:strRef>
              <c:f>'2022_Data'!$F$761</c:f>
            </c:strRef>
          </c:xVal>
          <c:yVal>
            <c:numRef>
              <c:f>'2022_Data'!$E$761</c:f>
              <c:numCache/>
            </c:numRef>
          </c:yVal>
          <c:bubbleSize>
            <c:numRef>
              <c:f>'2022_Data'!$G$761</c:f>
            </c:numRef>
          </c:bubbleSize>
        </c:ser>
        <c:ser>
          <c:idx val="760"/>
          <c:order val="760"/>
          <c:tx>
            <c:strRef>
              <c:f>'2022_Data'!$A$762</c:f>
            </c:strRef>
          </c:tx>
          <c:dLbls>
            <c:dLblPos val="ctr"/>
            <c:showLegendKey val="0"/>
            <c:showVal val="0"/>
            <c:showCatName val="0"/>
            <c:showSerName val="1"/>
            <c:showPercent val="0"/>
            <c:showBubbleSize val="0"/>
          </c:dLbls>
          <c:xVal>
            <c:strRef>
              <c:f>'2022_Data'!$F$762</c:f>
            </c:strRef>
          </c:xVal>
          <c:yVal>
            <c:numRef>
              <c:f>'2022_Data'!$E$762</c:f>
              <c:numCache/>
            </c:numRef>
          </c:yVal>
          <c:bubbleSize>
            <c:numRef>
              <c:f>'2022_Data'!$G$762</c:f>
            </c:numRef>
          </c:bubbleSize>
        </c:ser>
        <c:ser>
          <c:idx val="761"/>
          <c:order val="761"/>
          <c:tx>
            <c:strRef>
              <c:f>'2022_Data'!$A$763</c:f>
            </c:strRef>
          </c:tx>
          <c:dLbls>
            <c:dLblPos val="ctr"/>
            <c:showLegendKey val="0"/>
            <c:showVal val="0"/>
            <c:showCatName val="0"/>
            <c:showSerName val="1"/>
            <c:showPercent val="0"/>
            <c:showBubbleSize val="0"/>
          </c:dLbls>
          <c:xVal>
            <c:strRef>
              <c:f>'2022_Data'!$F$763</c:f>
            </c:strRef>
          </c:xVal>
          <c:yVal>
            <c:numRef>
              <c:f>'2022_Data'!$E$763</c:f>
              <c:numCache/>
            </c:numRef>
          </c:yVal>
          <c:bubbleSize>
            <c:numRef>
              <c:f>'2022_Data'!$G$763</c:f>
            </c:numRef>
          </c:bubbleSize>
        </c:ser>
        <c:ser>
          <c:idx val="762"/>
          <c:order val="762"/>
          <c:tx>
            <c:strRef>
              <c:f>'2022_Data'!$A$764</c:f>
            </c:strRef>
          </c:tx>
          <c:dLbls>
            <c:dLblPos val="ctr"/>
            <c:showLegendKey val="0"/>
            <c:showVal val="0"/>
            <c:showCatName val="0"/>
            <c:showSerName val="1"/>
            <c:showPercent val="0"/>
            <c:showBubbleSize val="0"/>
          </c:dLbls>
          <c:xVal>
            <c:strRef>
              <c:f>'2022_Data'!$F$764</c:f>
            </c:strRef>
          </c:xVal>
          <c:yVal>
            <c:numRef>
              <c:f>'2022_Data'!$E$764</c:f>
              <c:numCache/>
            </c:numRef>
          </c:yVal>
          <c:bubbleSize>
            <c:numRef>
              <c:f>'2022_Data'!$G$764</c:f>
            </c:numRef>
          </c:bubbleSize>
        </c:ser>
        <c:ser>
          <c:idx val="763"/>
          <c:order val="763"/>
          <c:tx>
            <c:strRef>
              <c:f>'2022_Data'!$A$765</c:f>
            </c:strRef>
          </c:tx>
          <c:dLbls>
            <c:dLblPos val="ctr"/>
            <c:showLegendKey val="0"/>
            <c:showVal val="0"/>
            <c:showCatName val="0"/>
            <c:showSerName val="1"/>
            <c:showPercent val="0"/>
            <c:showBubbleSize val="0"/>
          </c:dLbls>
          <c:xVal>
            <c:strRef>
              <c:f>'2022_Data'!$F$765</c:f>
            </c:strRef>
          </c:xVal>
          <c:yVal>
            <c:numRef>
              <c:f>'2022_Data'!$E$765</c:f>
              <c:numCache/>
            </c:numRef>
          </c:yVal>
          <c:bubbleSize>
            <c:numRef>
              <c:f>'2022_Data'!$G$765</c:f>
            </c:numRef>
          </c:bubbleSize>
        </c:ser>
        <c:ser>
          <c:idx val="764"/>
          <c:order val="764"/>
          <c:tx>
            <c:strRef>
              <c:f>'2022_Data'!$A$766</c:f>
            </c:strRef>
          </c:tx>
          <c:dLbls>
            <c:dLblPos val="ctr"/>
            <c:showLegendKey val="0"/>
            <c:showVal val="0"/>
            <c:showCatName val="0"/>
            <c:showSerName val="1"/>
            <c:showPercent val="0"/>
            <c:showBubbleSize val="0"/>
          </c:dLbls>
          <c:xVal>
            <c:strRef>
              <c:f>'2022_Data'!$F$766</c:f>
            </c:strRef>
          </c:xVal>
          <c:yVal>
            <c:numRef>
              <c:f>'2022_Data'!$E$766</c:f>
              <c:numCache/>
            </c:numRef>
          </c:yVal>
          <c:bubbleSize>
            <c:numRef>
              <c:f>'2022_Data'!$G$766</c:f>
            </c:numRef>
          </c:bubbleSize>
        </c:ser>
        <c:ser>
          <c:idx val="765"/>
          <c:order val="765"/>
          <c:tx>
            <c:strRef>
              <c:f>'2022_Data'!$A$767</c:f>
            </c:strRef>
          </c:tx>
          <c:dLbls>
            <c:dLblPos val="ctr"/>
            <c:showLegendKey val="0"/>
            <c:showVal val="0"/>
            <c:showCatName val="0"/>
            <c:showSerName val="1"/>
            <c:showPercent val="0"/>
            <c:showBubbleSize val="0"/>
          </c:dLbls>
          <c:xVal>
            <c:strRef>
              <c:f>'2022_Data'!$F$767</c:f>
            </c:strRef>
          </c:xVal>
          <c:yVal>
            <c:numRef>
              <c:f>'2022_Data'!$E$767</c:f>
              <c:numCache/>
            </c:numRef>
          </c:yVal>
          <c:bubbleSize>
            <c:numRef>
              <c:f>'2022_Data'!$G$767</c:f>
            </c:numRef>
          </c:bubbleSize>
        </c:ser>
        <c:ser>
          <c:idx val="766"/>
          <c:order val="766"/>
          <c:tx>
            <c:strRef>
              <c:f>'2022_Data'!$A$768</c:f>
            </c:strRef>
          </c:tx>
          <c:dLbls>
            <c:dLblPos val="ctr"/>
            <c:showLegendKey val="0"/>
            <c:showVal val="0"/>
            <c:showCatName val="0"/>
            <c:showSerName val="1"/>
            <c:showPercent val="0"/>
            <c:showBubbleSize val="0"/>
          </c:dLbls>
          <c:xVal>
            <c:strRef>
              <c:f>'2022_Data'!$F$768</c:f>
            </c:strRef>
          </c:xVal>
          <c:yVal>
            <c:numRef>
              <c:f>'2022_Data'!$E$768</c:f>
              <c:numCache/>
            </c:numRef>
          </c:yVal>
          <c:bubbleSize>
            <c:numRef>
              <c:f>'2022_Data'!$G$768</c:f>
            </c:numRef>
          </c:bubbleSize>
        </c:ser>
        <c:ser>
          <c:idx val="767"/>
          <c:order val="767"/>
          <c:tx>
            <c:strRef>
              <c:f>'2022_Data'!$A$769</c:f>
            </c:strRef>
          </c:tx>
          <c:dLbls>
            <c:dLblPos val="ctr"/>
            <c:showLegendKey val="0"/>
            <c:showVal val="0"/>
            <c:showCatName val="0"/>
            <c:showSerName val="1"/>
            <c:showPercent val="0"/>
            <c:showBubbleSize val="0"/>
          </c:dLbls>
          <c:xVal>
            <c:strRef>
              <c:f>'2022_Data'!$F$769</c:f>
            </c:strRef>
          </c:xVal>
          <c:yVal>
            <c:numRef>
              <c:f>'2022_Data'!$E$769</c:f>
              <c:numCache/>
            </c:numRef>
          </c:yVal>
          <c:bubbleSize>
            <c:numRef>
              <c:f>'2022_Data'!$G$769</c:f>
            </c:numRef>
          </c:bubbleSize>
        </c:ser>
        <c:ser>
          <c:idx val="768"/>
          <c:order val="768"/>
          <c:tx>
            <c:strRef>
              <c:f>'2022_Data'!$A$770</c:f>
            </c:strRef>
          </c:tx>
          <c:dLbls>
            <c:dLblPos val="ctr"/>
            <c:showLegendKey val="0"/>
            <c:showVal val="0"/>
            <c:showCatName val="0"/>
            <c:showSerName val="1"/>
            <c:showPercent val="0"/>
            <c:showBubbleSize val="0"/>
          </c:dLbls>
          <c:xVal>
            <c:strRef>
              <c:f>'2022_Data'!$F$770</c:f>
            </c:strRef>
          </c:xVal>
          <c:yVal>
            <c:numRef>
              <c:f>'2022_Data'!$E$770</c:f>
              <c:numCache/>
            </c:numRef>
          </c:yVal>
          <c:bubbleSize>
            <c:numRef>
              <c:f>'2022_Data'!$G$770</c:f>
            </c:numRef>
          </c:bubbleSize>
        </c:ser>
        <c:ser>
          <c:idx val="769"/>
          <c:order val="769"/>
          <c:tx>
            <c:strRef>
              <c:f>'2022_Data'!$A$771</c:f>
            </c:strRef>
          </c:tx>
          <c:dLbls>
            <c:dLblPos val="ctr"/>
            <c:showLegendKey val="0"/>
            <c:showVal val="0"/>
            <c:showCatName val="0"/>
            <c:showSerName val="1"/>
            <c:showPercent val="0"/>
            <c:showBubbleSize val="0"/>
          </c:dLbls>
          <c:xVal>
            <c:strRef>
              <c:f>'2022_Data'!$F$771</c:f>
            </c:strRef>
          </c:xVal>
          <c:yVal>
            <c:numRef>
              <c:f>'2022_Data'!$E$771</c:f>
              <c:numCache/>
            </c:numRef>
          </c:yVal>
          <c:bubbleSize>
            <c:numRef>
              <c:f>'2022_Data'!$G$771</c:f>
            </c:numRef>
          </c:bubbleSize>
        </c:ser>
        <c:ser>
          <c:idx val="770"/>
          <c:order val="770"/>
          <c:tx>
            <c:strRef>
              <c:f>'2022_Data'!$A$772</c:f>
            </c:strRef>
          </c:tx>
          <c:dLbls>
            <c:dLblPos val="ctr"/>
            <c:showLegendKey val="0"/>
            <c:showVal val="0"/>
            <c:showCatName val="0"/>
            <c:showSerName val="1"/>
            <c:showPercent val="0"/>
            <c:showBubbleSize val="0"/>
          </c:dLbls>
          <c:xVal>
            <c:strRef>
              <c:f>'2022_Data'!$F$772</c:f>
            </c:strRef>
          </c:xVal>
          <c:yVal>
            <c:numRef>
              <c:f>'2022_Data'!$E$772</c:f>
              <c:numCache/>
            </c:numRef>
          </c:yVal>
          <c:bubbleSize>
            <c:numRef>
              <c:f>'2022_Data'!$G$772</c:f>
            </c:numRef>
          </c:bubbleSize>
        </c:ser>
        <c:ser>
          <c:idx val="771"/>
          <c:order val="771"/>
          <c:tx>
            <c:strRef>
              <c:f>'2022_Data'!$A$773</c:f>
            </c:strRef>
          </c:tx>
          <c:dLbls>
            <c:dLblPos val="ctr"/>
            <c:showLegendKey val="0"/>
            <c:showVal val="0"/>
            <c:showCatName val="0"/>
            <c:showSerName val="1"/>
            <c:showPercent val="0"/>
            <c:showBubbleSize val="0"/>
          </c:dLbls>
          <c:xVal>
            <c:strRef>
              <c:f>'2022_Data'!$F$773</c:f>
            </c:strRef>
          </c:xVal>
          <c:yVal>
            <c:numRef>
              <c:f>'2022_Data'!$E$773</c:f>
              <c:numCache/>
            </c:numRef>
          </c:yVal>
          <c:bubbleSize>
            <c:numRef>
              <c:f>'2022_Data'!$G$773</c:f>
            </c:numRef>
          </c:bubbleSize>
        </c:ser>
        <c:ser>
          <c:idx val="772"/>
          <c:order val="772"/>
          <c:tx>
            <c:strRef>
              <c:f>'2022_Data'!$A$774</c:f>
            </c:strRef>
          </c:tx>
          <c:dLbls>
            <c:dLblPos val="ctr"/>
            <c:showLegendKey val="0"/>
            <c:showVal val="0"/>
            <c:showCatName val="0"/>
            <c:showSerName val="1"/>
            <c:showPercent val="0"/>
            <c:showBubbleSize val="0"/>
          </c:dLbls>
          <c:xVal>
            <c:strRef>
              <c:f>'2022_Data'!$F$774</c:f>
            </c:strRef>
          </c:xVal>
          <c:yVal>
            <c:numRef>
              <c:f>'2022_Data'!$E$774</c:f>
              <c:numCache/>
            </c:numRef>
          </c:yVal>
          <c:bubbleSize>
            <c:numRef>
              <c:f>'2022_Data'!$G$774</c:f>
            </c:numRef>
          </c:bubbleSize>
        </c:ser>
        <c:ser>
          <c:idx val="773"/>
          <c:order val="773"/>
          <c:tx>
            <c:strRef>
              <c:f>'2022_Data'!$A$775</c:f>
            </c:strRef>
          </c:tx>
          <c:dLbls>
            <c:dLblPos val="ctr"/>
            <c:showLegendKey val="0"/>
            <c:showVal val="0"/>
            <c:showCatName val="0"/>
            <c:showSerName val="1"/>
            <c:showPercent val="0"/>
            <c:showBubbleSize val="0"/>
          </c:dLbls>
          <c:xVal>
            <c:strRef>
              <c:f>'2022_Data'!$F$775</c:f>
            </c:strRef>
          </c:xVal>
          <c:yVal>
            <c:numRef>
              <c:f>'2022_Data'!$E$775</c:f>
              <c:numCache/>
            </c:numRef>
          </c:yVal>
          <c:bubbleSize>
            <c:numRef>
              <c:f>'2022_Data'!$G$775</c:f>
            </c:numRef>
          </c:bubbleSize>
        </c:ser>
        <c:ser>
          <c:idx val="774"/>
          <c:order val="774"/>
          <c:tx>
            <c:strRef>
              <c:f>'2022_Data'!$A$776</c:f>
            </c:strRef>
          </c:tx>
          <c:dLbls>
            <c:dLblPos val="ctr"/>
            <c:showLegendKey val="0"/>
            <c:showVal val="0"/>
            <c:showCatName val="0"/>
            <c:showSerName val="1"/>
            <c:showPercent val="0"/>
            <c:showBubbleSize val="0"/>
          </c:dLbls>
          <c:xVal>
            <c:strRef>
              <c:f>'2022_Data'!$F$776</c:f>
            </c:strRef>
          </c:xVal>
          <c:yVal>
            <c:numRef>
              <c:f>'2022_Data'!$E$776</c:f>
              <c:numCache/>
            </c:numRef>
          </c:yVal>
          <c:bubbleSize>
            <c:numRef>
              <c:f>'2022_Data'!$G$776</c:f>
            </c:numRef>
          </c:bubbleSize>
        </c:ser>
        <c:ser>
          <c:idx val="775"/>
          <c:order val="775"/>
          <c:tx>
            <c:strRef>
              <c:f>'2022_Data'!$A$777</c:f>
            </c:strRef>
          </c:tx>
          <c:dLbls>
            <c:dLblPos val="ctr"/>
            <c:showLegendKey val="0"/>
            <c:showVal val="0"/>
            <c:showCatName val="0"/>
            <c:showSerName val="1"/>
            <c:showPercent val="0"/>
            <c:showBubbleSize val="0"/>
          </c:dLbls>
          <c:xVal>
            <c:strRef>
              <c:f>'2022_Data'!$F$777</c:f>
            </c:strRef>
          </c:xVal>
          <c:yVal>
            <c:numRef>
              <c:f>'2022_Data'!$E$777</c:f>
              <c:numCache/>
            </c:numRef>
          </c:yVal>
          <c:bubbleSize>
            <c:numRef>
              <c:f>'2022_Data'!$G$777</c:f>
            </c:numRef>
          </c:bubbleSize>
        </c:ser>
        <c:ser>
          <c:idx val="776"/>
          <c:order val="776"/>
          <c:tx>
            <c:strRef>
              <c:f>'2022_Data'!$A$778</c:f>
            </c:strRef>
          </c:tx>
          <c:dLbls>
            <c:dLblPos val="ctr"/>
            <c:showLegendKey val="0"/>
            <c:showVal val="0"/>
            <c:showCatName val="0"/>
            <c:showSerName val="1"/>
            <c:showPercent val="0"/>
            <c:showBubbleSize val="0"/>
          </c:dLbls>
          <c:xVal>
            <c:strRef>
              <c:f>'2022_Data'!$F$778</c:f>
            </c:strRef>
          </c:xVal>
          <c:yVal>
            <c:numRef>
              <c:f>'2022_Data'!$E$778</c:f>
              <c:numCache/>
            </c:numRef>
          </c:yVal>
          <c:bubbleSize>
            <c:numRef>
              <c:f>'2022_Data'!$G$778</c:f>
            </c:numRef>
          </c:bubbleSize>
        </c:ser>
        <c:ser>
          <c:idx val="777"/>
          <c:order val="777"/>
          <c:tx>
            <c:strRef>
              <c:f>'2022_Data'!$A$779</c:f>
            </c:strRef>
          </c:tx>
          <c:dLbls>
            <c:dLblPos val="ctr"/>
            <c:showLegendKey val="0"/>
            <c:showVal val="0"/>
            <c:showCatName val="0"/>
            <c:showSerName val="1"/>
            <c:showPercent val="0"/>
            <c:showBubbleSize val="0"/>
          </c:dLbls>
          <c:xVal>
            <c:strRef>
              <c:f>'2022_Data'!$F$779</c:f>
            </c:strRef>
          </c:xVal>
          <c:yVal>
            <c:numRef>
              <c:f>'2022_Data'!$E$779</c:f>
              <c:numCache/>
            </c:numRef>
          </c:yVal>
          <c:bubbleSize>
            <c:numRef>
              <c:f>'2022_Data'!$G$779</c:f>
            </c:numRef>
          </c:bubbleSize>
        </c:ser>
        <c:ser>
          <c:idx val="778"/>
          <c:order val="778"/>
          <c:tx>
            <c:strRef>
              <c:f>'2022_Data'!$A$780</c:f>
            </c:strRef>
          </c:tx>
          <c:dLbls>
            <c:dLblPos val="ctr"/>
            <c:showLegendKey val="0"/>
            <c:showVal val="0"/>
            <c:showCatName val="0"/>
            <c:showSerName val="1"/>
            <c:showPercent val="0"/>
            <c:showBubbleSize val="0"/>
          </c:dLbls>
          <c:xVal>
            <c:strRef>
              <c:f>'2022_Data'!$F$780</c:f>
            </c:strRef>
          </c:xVal>
          <c:yVal>
            <c:numRef>
              <c:f>'2022_Data'!$E$780</c:f>
              <c:numCache/>
            </c:numRef>
          </c:yVal>
          <c:bubbleSize>
            <c:numRef>
              <c:f>'2022_Data'!$G$780</c:f>
            </c:numRef>
          </c:bubbleSize>
        </c:ser>
        <c:ser>
          <c:idx val="779"/>
          <c:order val="779"/>
          <c:tx>
            <c:strRef>
              <c:f>'2022_Data'!$A$781</c:f>
            </c:strRef>
          </c:tx>
          <c:dLbls>
            <c:dLblPos val="ctr"/>
            <c:showLegendKey val="0"/>
            <c:showVal val="0"/>
            <c:showCatName val="0"/>
            <c:showSerName val="1"/>
            <c:showPercent val="0"/>
            <c:showBubbleSize val="0"/>
          </c:dLbls>
          <c:xVal>
            <c:strRef>
              <c:f>'2022_Data'!$F$781</c:f>
            </c:strRef>
          </c:xVal>
          <c:yVal>
            <c:numRef>
              <c:f>'2022_Data'!$E$781</c:f>
              <c:numCache/>
            </c:numRef>
          </c:yVal>
          <c:bubbleSize>
            <c:numRef>
              <c:f>'2022_Data'!$G$781</c:f>
            </c:numRef>
          </c:bubbleSize>
        </c:ser>
        <c:ser>
          <c:idx val="780"/>
          <c:order val="780"/>
          <c:tx>
            <c:strRef>
              <c:f>'2022_Data'!$A$782</c:f>
            </c:strRef>
          </c:tx>
          <c:dLbls>
            <c:dLblPos val="ctr"/>
            <c:showLegendKey val="0"/>
            <c:showVal val="0"/>
            <c:showCatName val="0"/>
            <c:showSerName val="1"/>
            <c:showPercent val="0"/>
            <c:showBubbleSize val="0"/>
          </c:dLbls>
          <c:xVal>
            <c:strRef>
              <c:f>'2022_Data'!$F$782</c:f>
            </c:strRef>
          </c:xVal>
          <c:yVal>
            <c:numRef>
              <c:f>'2022_Data'!$E$782</c:f>
              <c:numCache/>
            </c:numRef>
          </c:yVal>
          <c:bubbleSize>
            <c:numRef>
              <c:f>'2022_Data'!$G$782</c:f>
            </c:numRef>
          </c:bubbleSize>
        </c:ser>
        <c:ser>
          <c:idx val="781"/>
          <c:order val="781"/>
          <c:tx>
            <c:strRef>
              <c:f>'2022_Data'!$A$783</c:f>
            </c:strRef>
          </c:tx>
          <c:dLbls>
            <c:dLblPos val="ctr"/>
            <c:showLegendKey val="0"/>
            <c:showVal val="0"/>
            <c:showCatName val="0"/>
            <c:showSerName val="1"/>
            <c:showPercent val="0"/>
            <c:showBubbleSize val="0"/>
          </c:dLbls>
          <c:xVal>
            <c:strRef>
              <c:f>'2022_Data'!$F$783</c:f>
            </c:strRef>
          </c:xVal>
          <c:yVal>
            <c:numRef>
              <c:f>'2022_Data'!$E$783</c:f>
              <c:numCache/>
            </c:numRef>
          </c:yVal>
          <c:bubbleSize>
            <c:numRef>
              <c:f>'2022_Data'!$G$783</c:f>
            </c:numRef>
          </c:bubbleSize>
        </c:ser>
        <c:ser>
          <c:idx val="782"/>
          <c:order val="782"/>
          <c:tx>
            <c:strRef>
              <c:f>'2022_Data'!$A$784</c:f>
            </c:strRef>
          </c:tx>
          <c:dLbls>
            <c:dLblPos val="ctr"/>
            <c:showLegendKey val="0"/>
            <c:showVal val="0"/>
            <c:showCatName val="0"/>
            <c:showSerName val="1"/>
            <c:showPercent val="0"/>
            <c:showBubbleSize val="0"/>
          </c:dLbls>
          <c:xVal>
            <c:strRef>
              <c:f>'2022_Data'!$F$784</c:f>
            </c:strRef>
          </c:xVal>
          <c:yVal>
            <c:numRef>
              <c:f>'2022_Data'!$E$784</c:f>
              <c:numCache/>
            </c:numRef>
          </c:yVal>
          <c:bubbleSize>
            <c:numRef>
              <c:f>'2022_Data'!$G$784</c:f>
            </c:numRef>
          </c:bubbleSize>
        </c:ser>
        <c:ser>
          <c:idx val="783"/>
          <c:order val="783"/>
          <c:tx>
            <c:strRef>
              <c:f>'2022_Data'!$A$785</c:f>
            </c:strRef>
          </c:tx>
          <c:dLbls>
            <c:dLblPos val="ctr"/>
            <c:showLegendKey val="0"/>
            <c:showVal val="0"/>
            <c:showCatName val="0"/>
            <c:showSerName val="1"/>
            <c:showPercent val="0"/>
            <c:showBubbleSize val="0"/>
          </c:dLbls>
          <c:xVal>
            <c:strRef>
              <c:f>'2022_Data'!$F$785</c:f>
            </c:strRef>
          </c:xVal>
          <c:yVal>
            <c:numRef>
              <c:f>'2022_Data'!$E$785</c:f>
              <c:numCache/>
            </c:numRef>
          </c:yVal>
          <c:bubbleSize>
            <c:numRef>
              <c:f>'2022_Data'!$G$785</c:f>
            </c:numRef>
          </c:bubbleSize>
        </c:ser>
        <c:ser>
          <c:idx val="784"/>
          <c:order val="784"/>
          <c:tx>
            <c:strRef>
              <c:f>'2022_Data'!$A$786</c:f>
            </c:strRef>
          </c:tx>
          <c:dLbls>
            <c:dLblPos val="ctr"/>
            <c:showLegendKey val="0"/>
            <c:showVal val="0"/>
            <c:showCatName val="0"/>
            <c:showSerName val="1"/>
            <c:showPercent val="0"/>
            <c:showBubbleSize val="0"/>
          </c:dLbls>
          <c:xVal>
            <c:strRef>
              <c:f>'2022_Data'!$F$786</c:f>
            </c:strRef>
          </c:xVal>
          <c:yVal>
            <c:numRef>
              <c:f>'2022_Data'!$E$786</c:f>
              <c:numCache/>
            </c:numRef>
          </c:yVal>
          <c:bubbleSize>
            <c:numRef>
              <c:f>'2022_Data'!$G$786</c:f>
            </c:numRef>
          </c:bubbleSize>
        </c:ser>
        <c:ser>
          <c:idx val="785"/>
          <c:order val="785"/>
          <c:tx>
            <c:strRef>
              <c:f>'2022_Data'!$A$787</c:f>
            </c:strRef>
          </c:tx>
          <c:dLbls>
            <c:dLblPos val="ctr"/>
            <c:showLegendKey val="0"/>
            <c:showVal val="0"/>
            <c:showCatName val="0"/>
            <c:showSerName val="1"/>
            <c:showPercent val="0"/>
            <c:showBubbleSize val="0"/>
          </c:dLbls>
          <c:xVal>
            <c:strRef>
              <c:f>'2022_Data'!$F$787</c:f>
            </c:strRef>
          </c:xVal>
          <c:yVal>
            <c:numRef>
              <c:f>'2022_Data'!$E$787</c:f>
              <c:numCache/>
            </c:numRef>
          </c:yVal>
          <c:bubbleSize>
            <c:numRef>
              <c:f>'2022_Data'!$G$787</c:f>
            </c:numRef>
          </c:bubbleSize>
        </c:ser>
        <c:ser>
          <c:idx val="786"/>
          <c:order val="786"/>
          <c:tx>
            <c:strRef>
              <c:f>'2022_Data'!$A$788</c:f>
            </c:strRef>
          </c:tx>
          <c:dLbls>
            <c:dLblPos val="ctr"/>
            <c:showLegendKey val="0"/>
            <c:showVal val="0"/>
            <c:showCatName val="0"/>
            <c:showSerName val="1"/>
            <c:showPercent val="0"/>
            <c:showBubbleSize val="0"/>
          </c:dLbls>
          <c:xVal>
            <c:strRef>
              <c:f>'2022_Data'!$F$788</c:f>
            </c:strRef>
          </c:xVal>
          <c:yVal>
            <c:numRef>
              <c:f>'2022_Data'!$E$788</c:f>
              <c:numCache/>
            </c:numRef>
          </c:yVal>
          <c:bubbleSize>
            <c:numRef>
              <c:f>'2022_Data'!$G$788</c:f>
            </c:numRef>
          </c:bubbleSize>
        </c:ser>
        <c:ser>
          <c:idx val="787"/>
          <c:order val="787"/>
          <c:tx>
            <c:strRef>
              <c:f>'2022_Data'!$A$789</c:f>
            </c:strRef>
          </c:tx>
          <c:dLbls>
            <c:dLblPos val="ctr"/>
            <c:showLegendKey val="0"/>
            <c:showVal val="0"/>
            <c:showCatName val="0"/>
            <c:showSerName val="1"/>
            <c:showPercent val="0"/>
            <c:showBubbleSize val="0"/>
          </c:dLbls>
          <c:xVal>
            <c:strRef>
              <c:f>'2022_Data'!$F$789</c:f>
            </c:strRef>
          </c:xVal>
          <c:yVal>
            <c:numRef>
              <c:f>'2022_Data'!$E$789</c:f>
              <c:numCache/>
            </c:numRef>
          </c:yVal>
          <c:bubbleSize>
            <c:numRef>
              <c:f>'2022_Data'!$G$789</c:f>
            </c:numRef>
          </c:bubbleSize>
        </c:ser>
        <c:ser>
          <c:idx val="788"/>
          <c:order val="788"/>
          <c:tx>
            <c:strRef>
              <c:f>'2022_Data'!$A$790</c:f>
            </c:strRef>
          </c:tx>
          <c:dLbls>
            <c:dLblPos val="ctr"/>
            <c:showLegendKey val="0"/>
            <c:showVal val="0"/>
            <c:showCatName val="0"/>
            <c:showSerName val="1"/>
            <c:showPercent val="0"/>
            <c:showBubbleSize val="0"/>
          </c:dLbls>
          <c:xVal>
            <c:strRef>
              <c:f>'2022_Data'!$F$790</c:f>
            </c:strRef>
          </c:xVal>
          <c:yVal>
            <c:numRef>
              <c:f>'2022_Data'!$E$790</c:f>
              <c:numCache/>
            </c:numRef>
          </c:yVal>
          <c:bubbleSize>
            <c:numRef>
              <c:f>'2022_Data'!$G$790</c:f>
            </c:numRef>
          </c:bubbleSize>
        </c:ser>
        <c:ser>
          <c:idx val="789"/>
          <c:order val="789"/>
          <c:tx>
            <c:strRef>
              <c:f>'2022_Data'!$A$791</c:f>
            </c:strRef>
          </c:tx>
          <c:dLbls>
            <c:dLblPos val="ctr"/>
            <c:showLegendKey val="0"/>
            <c:showVal val="0"/>
            <c:showCatName val="0"/>
            <c:showSerName val="1"/>
            <c:showPercent val="0"/>
            <c:showBubbleSize val="0"/>
          </c:dLbls>
          <c:xVal>
            <c:strRef>
              <c:f>'2022_Data'!$F$791</c:f>
            </c:strRef>
          </c:xVal>
          <c:yVal>
            <c:numRef>
              <c:f>'2022_Data'!$E$791</c:f>
              <c:numCache/>
            </c:numRef>
          </c:yVal>
          <c:bubbleSize>
            <c:numRef>
              <c:f>'2022_Data'!$G$791</c:f>
            </c:numRef>
          </c:bubbleSize>
        </c:ser>
        <c:ser>
          <c:idx val="790"/>
          <c:order val="790"/>
          <c:tx>
            <c:strRef>
              <c:f>'2022_Data'!$A$792</c:f>
            </c:strRef>
          </c:tx>
          <c:dLbls>
            <c:dLblPos val="ctr"/>
            <c:showLegendKey val="0"/>
            <c:showVal val="0"/>
            <c:showCatName val="0"/>
            <c:showSerName val="1"/>
            <c:showPercent val="0"/>
            <c:showBubbleSize val="0"/>
          </c:dLbls>
          <c:xVal>
            <c:strRef>
              <c:f>'2022_Data'!$F$792</c:f>
            </c:strRef>
          </c:xVal>
          <c:yVal>
            <c:numRef>
              <c:f>'2022_Data'!$E$792</c:f>
              <c:numCache/>
            </c:numRef>
          </c:yVal>
          <c:bubbleSize>
            <c:numRef>
              <c:f>'2022_Data'!$G$792</c:f>
            </c:numRef>
          </c:bubbleSize>
        </c:ser>
        <c:ser>
          <c:idx val="791"/>
          <c:order val="791"/>
          <c:tx>
            <c:strRef>
              <c:f>'2022_Data'!$A$793</c:f>
            </c:strRef>
          </c:tx>
          <c:dLbls>
            <c:dLblPos val="ctr"/>
            <c:showLegendKey val="0"/>
            <c:showVal val="0"/>
            <c:showCatName val="0"/>
            <c:showSerName val="1"/>
            <c:showPercent val="0"/>
            <c:showBubbleSize val="0"/>
          </c:dLbls>
          <c:xVal>
            <c:strRef>
              <c:f>'2022_Data'!$F$793</c:f>
            </c:strRef>
          </c:xVal>
          <c:yVal>
            <c:numRef>
              <c:f>'2022_Data'!$E$793</c:f>
              <c:numCache/>
            </c:numRef>
          </c:yVal>
          <c:bubbleSize>
            <c:numRef>
              <c:f>'2022_Data'!$G$793</c:f>
            </c:numRef>
          </c:bubbleSize>
        </c:ser>
        <c:ser>
          <c:idx val="792"/>
          <c:order val="792"/>
          <c:tx>
            <c:strRef>
              <c:f>'2022_Data'!$A$794</c:f>
            </c:strRef>
          </c:tx>
          <c:dLbls>
            <c:dLblPos val="ctr"/>
            <c:showLegendKey val="0"/>
            <c:showVal val="0"/>
            <c:showCatName val="0"/>
            <c:showSerName val="1"/>
            <c:showPercent val="0"/>
            <c:showBubbleSize val="0"/>
          </c:dLbls>
          <c:xVal>
            <c:strRef>
              <c:f>'2022_Data'!$F$794</c:f>
            </c:strRef>
          </c:xVal>
          <c:yVal>
            <c:numRef>
              <c:f>'2022_Data'!$E$794</c:f>
              <c:numCache/>
            </c:numRef>
          </c:yVal>
          <c:bubbleSize>
            <c:numRef>
              <c:f>'2022_Data'!$G$794</c:f>
            </c:numRef>
          </c:bubbleSize>
        </c:ser>
        <c:ser>
          <c:idx val="793"/>
          <c:order val="793"/>
          <c:tx>
            <c:strRef>
              <c:f>'2022_Data'!$A$795</c:f>
            </c:strRef>
          </c:tx>
          <c:dLbls>
            <c:dLblPos val="ctr"/>
            <c:showLegendKey val="0"/>
            <c:showVal val="0"/>
            <c:showCatName val="0"/>
            <c:showSerName val="1"/>
            <c:showPercent val="0"/>
            <c:showBubbleSize val="0"/>
          </c:dLbls>
          <c:xVal>
            <c:strRef>
              <c:f>'2022_Data'!$F$795</c:f>
            </c:strRef>
          </c:xVal>
          <c:yVal>
            <c:numRef>
              <c:f>'2022_Data'!$E$795</c:f>
              <c:numCache/>
            </c:numRef>
          </c:yVal>
          <c:bubbleSize>
            <c:numRef>
              <c:f>'2022_Data'!$G$795</c:f>
            </c:numRef>
          </c:bubbleSize>
        </c:ser>
        <c:ser>
          <c:idx val="794"/>
          <c:order val="794"/>
          <c:tx>
            <c:strRef>
              <c:f>'2022_Data'!$A$796</c:f>
            </c:strRef>
          </c:tx>
          <c:dLbls>
            <c:dLblPos val="ctr"/>
            <c:showLegendKey val="0"/>
            <c:showVal val="0"/>
            <c:showCatName val="0"/>
            <c:showSerName val="1"/>
            <c:showPercent val="0"/>
            <c:showBubbleSize val="0"/>
          </c:dLbls>
          <c:xVal>
            <c:strRef>
              <c:f>'2022_Data'!$F$796</c:f>
            </c:strRef>
          </c:xVal>
          <c:yVal>
            <c:numRef>
              <c:f>'2022_Data'!$E$796</c:f>
              <c:numCache/>
            </c:numRef>
          </c:yVal>
          <c:bubbleSize>
            <c:numRef>
              <c:f>'2022_Data'!$G$796</c:f>
            </c:numRef>
          </c:bubbleSize>
        </c:ser>
        <c:ser>
          <c:idx val="795"/>
          <c:order val="795"/>
          <c:tx>
            <c:strRef>
              <c:f>'2022_Data'!$A$797</c:f>
            </c:strRef>
          </c:tx>
          <c:dLbls>
            <c:dLblPos val="ctr"/>
            <c:showLegendKey val="0"/>
            <c:showVal val="0"/>
            <c:showCatName val="0"/>
            <c:showSerName val="1"/>
            <c:showPercent val="0"/>
            <c:showBubbleSize val="0"/>
          </c:dLbls>
          <c:xVal>
            <c:strRef>
              <c:f>'2022_Data'!$F$797</c:f>
            </c:strRef>
          </c:xVal>
          <c:yVal>
            <c:numRef>
              <c:f>'2022_Data'!$E$797</c:f>
              <c:numCache/>
            </c:numRef>
          </c:yVal>
          <c:bubbleSize>
            <c:numRef>
              <c:f>'2022_Data'!$G$797</c:f>
            </c:numRef>
          </c:bubbleSize>
        </c:ser>
        <c:ser>
          <c:idx val="796"/>
          <c:order val="796"/>
          <c:tx>
            <c:strRef>
              <c:f>'2022_Data'!$A$798</c:f>
            </c:strRef>
          </c:tx>
          <c:dLbls>
            <c:dLblPos val="ctr"/>
            <c:showLegendKey val="0"/>
            <c:showVal val="0"/>
            <c:showCatName val="0"/>
            <c:showSerName val="1"/>
            <c:showPercent val="0"/>
            <c:showBubbleSize val="0"/>
          </c:dLbls>
          <c:xVal>
            <c:strRef>
              <c:f>'2022_Data'!$F$798</c:f>
            </c:strRef>
          </c:xVal>
          <c:yVal>
            <c:numRef>
              <c:f>'2022_Data'!$E$798</c:f>
              <c:numCache/>
            </c:numRef>
          </c:yVal>
          <c:bubbleSize>
            <c:numRef>
              <c:f>'2022_Data'!$G$798</c:f>
            </c:numRef>
          </c:bubbleSize>
        </c:ser>
        <c:ser>
          <c:idx val="797"/>
          <c:order val="797"/>
          <c:tx>
            <c:strRef>
              <c:f>'2022_Data'!$A$799</c:f>
            </c:strRef>
          </c:tx>
          <c:dLbls>
            <c:dLblPos val="ctr"/>
            <c:showLegendKey val="0"/>
            <c:showVal val="0"/>
            <c:showCatName val="0"/>
            <c:showSerName val="1"/>
            <c:showPercent val="0"/>
            <c:showBubbleSize val="0"/>
          </c:dLbls>
          <c:xVal>
            <c:strRef>
              <c:f>'2022_Data'!$F$799</c:f>
            </c:strRef>
          </c:xVal>
          <c:yVal>
            <c:numRef>
              <c:f>'2022_Data'!$E$799</c:f>
              <c:numCache/>
            </c:numRef>
          </c:yVal>
          <c:bubbleSize>
            <c:numRef>
              <c:f>'2022_Data'!$G$799</c:f>
            </c:numRef>
          </c:bubbleSize>
        </c:ser>
        <c:ser>
          <c:idx val="798"/>
          <c:order val="798"/>
          <c:tx>
            <c:strRef>
              <c:f>'2022_Data'!$A$800</c:f>
            </c:strRef>
          </c:tx>
          <c:dLbls>
            <c:dLblPos val="ctr"/>
            <c:showLegendKey val="0"/>
            <c:showVal val="0"/>
            <c:showCatName val="0"/>
            <c:showSerName val="1"/>
            <c:showPercent val="0"/>
            <c:showBubbleSize val="0"/>
          </c:dLbls>
          <c:xVal>
            <c:strRef>
              <c:f>'2022_Data'!$F$800</c:f>
            </c:strRef>
          </c:xVal>
          <c:yVal>
            <c:numRef>
              <c:f>'2022_Data'!$E$800</c:f>
              <c:numCache/>
            </c:numRef>
          </c:yVal>
          <c:bubbleSize>
            <c:numRef>
              <c:f>'2022_Data'!$G$800</c:f>
            </c:numRef>
          </c:bubbleSize>
        </c:ser>
        <c:ser>
          <c:idx val="799"/>
          <c:order val="799"/>
          <c:tx>
            <c:strRef>
              <c:f>'2022_Data'!$A$801</c:f>
            </c:strRef>
          </c:tx>
          <c:dLbls>
            <c:dLblPos val="ctr"/>
            <c:showLegendKey val="0"/>
            <c:showVal val="0"/>
            <c:showCatName val="0"/>
            <c:showSerName val="1"/>
            <c:showPercent val="0"/>
            <c:showBubbleSize val="0"/>
          </c:dLbls>
          <c:xVal>
            <c:strRef>
              <c:f>'2022_Data'!$F$801</c:f>
            </c:strRef>
          </c:xVal>
          <c:yVal>
            <c:numRef>
              <c:f>'2022_Data'!$E$801</c:f>
              <c:numCache/>
            </c:numRef>
          </c:yVal>
          <c:bubbleSize>
            <c:numRef>
              <c:f>'2022_Data'!$G$801</c:f>
            </c:numRef>
          </c:bubbleSize>
        </c:ser>
        <c:ser>
          <c:idx val="800"/>
          <c:order val="800"/>
          <c:tx>
            <c:strRef>
              <c:f>'2022_Data'!$A$802</c:f>
            </c:strRef>
          </c:tx>
          <c:dLbls>
            <c:dLblPos val="ctr"/>
            <c:showLegendKey val="0"/>
            <c:showVal val="0"/>
            <c:showCatName val="0"/>
            <c:showSerName val="1"/>
            <c:showPercent val="0"/>
            <c:showBubbleSize val="0"/>
          </c:dLbls>
          <c:xVal>
            <c:strRef>
              <c:f>'2022_Data'!$F$802</c:f>
            </c:strRef>
          </c:xVal>
          <c:yVal>
            <c:numRef>
              <c:f>'2022_Data'!$E$802</c:f>
              <c:numCache/>
            </c:numRef>
          </c:yVal>
          <c:bubbleSize>
            <c:numRef>
              <c:f>'2022_Data'!$G$802</c:f>
            </c:numRef>
          </c:bubbleSize>
        </c:ser>
        <c:ser>
          <c:idx val="801"/>
          <c:order val="801"/>
          <c:tx>
            <c:strRef>
              <c:f>'2022_Data'!$A$803</c:f>
            </c:strRef>
          </c:tx>
          <c:dLbls>
            <c:dLblPos val="ctr"/>
            <c:showLegendKey val="0"/>
            <c:showVal val="0"/>
            <c:showCatName val="0"/>
            <c:showSerName val="1"/>
            <c:showPercent val="0"/>
            <c:showBubbleSize val="0"/>
          </c:dLbls>
          <c:xVal>
            <c:strRef>
              <c:f>'2022_Data'!$F$803</c:f>
            </c:strRef>
          </c:xVal>
          <c:yVal>
            <c:numRef>
              <c:f>'2022_Data'!$E$803</c:f>
              <c:numCache/>
            </c:numRef>
          </c:yVal>
          <c:bubbleSize>
            <c:numRef>
              <c:f>'2022_Data'!$G$803</c:f>
            </c:numRef>
          </c:bubbleSize>
        </c:ser>
        <c:ser>
          <c:idx val="802"/>
          <c:order val="802"/>
          <c:tx>
            <c:strRef>
              <c:f>'2022_Data'!$A$804</c:f>
            </c:strRef>
          </c:tx>
          <c:dLbls>
            <c:dLblPos val="ctr"/>
            <c:showLegendKey val="0"/>
            <c:showVal val="0"/>
            <c:showCatName val="0"/>
            <c:showSerName val="1"/>
            <c:showPercent val="0"/>
            <c:showBubbleSize val="0"/>
          </c:dLbls>
          <c:xVal>
            <c:strRef>
              <c:f>'2022_Data'!$F$804</c:f>
            </c:strRef>
          </c:xVal>
          <c:yVal>
            <c:numRef>
              <c:f>'2022_Data'!$E$804</c:f>
              <c:numCache/>
            </c:numRef>
          </c:yVal>
          <c:bubbleSize>
            <c:numRef>
              <c:f>'2022_Data'!$G$804</c:f>
            </c:numRef>
          </c:bubbleSize>
        </c:ser>
        <c:ser>
          <c:idx val="803"/>
          <c:order val="803"/>
          <c:tx>
            <c:strRef>
              <c:f>'2022_Data'!$A$805</c:f>
            </c:strRef>
          </c:tx>
          <c:dLbls>
            <c:dLblPos val="ctr"/>
            <c:showLegendKey val="0"/>
            <c:showVal val="0"/>
            <c:showCatName val="0"/>
            <c:showSerName val="1"/>
            <c:showPercent val="0"/>
            <c:showBubbleSize val="0"/>
          </c:dLbls>
          <c:xVal>
            <c:strRef>
              <c:f>'2022_Data'!$F$805</c:f>
            </c:strRef>
          </c:xVal>
          <c:yVal>
            <c:numRef>
              <c:f>'2022_Data'!$E$805</c:f>
              <c:numCache/>
            </c:numRef>
          </c:yVal>
          <c:bubbleSize>
            <c:numRef>
              <c:f>'2022_Data'!$G$805</c:f>
            </c:numRef>
          </c:bubbleSize>
        </c:ser>
        <c:ser>
          <c:idx val="804"/>
          <c:order val="804"/>
          <c:tx>
            <c:strRef>
              <c:f>'2022_Data'!$A$806</c:f>
            </c:strRef>
          </c:tx>
          <c:dLbls>
            <c:dLblPos val="ctr"/>
            <c:showLegendKey val="0"/>
            <c:showVal val="0"/>
            <c:showCatName val="0"/>
            <c:showSerName val="1"/>
            <c:showPercent val="0"/>
            <c:showBubbleSize val="0"/>
          </c:dLbls>
          <c:xVal>
            <c:strRef>
              <c:f>'2022_Data'!$F$806</c:f>
            </c:strRef>
          </c:xVal>
          <c:yVal>
            <c:numRef>
              <c:f>'2022_Data'!$E$806</c:f>
              <c:numCache/>
            </c:numRef>
          </c:yVal>
          <c:bubbleSize>
            <c:numRef>
              <c:f>'2022_Data'!$G$806</c:f>
            </c:numRef>
          </c:bubbleSize>
        </c:ser>
        <c:ser>
          <c:idx val="805"/>
          <c:order val="805"/>
          <c:tx>
            <c:strRef>
              <c:f>'2022_Data'!$A$807</c:f>
            </c:strRef>
          </c:tx>
          <c:dLbls>
            <c:dLblPos val="ctr"/>
            <c:showLegendKey val="0"/>
            <c:showVal val="0"/>
            <c:showCatName val="0"/>
            <c:showSerName val="1"/>
            <c:showPercent val="0"/>
            <c:showBubbleSize val="0"/>
          </c:dLbls>
          <c:xVal>
            <c:strRef>
              <c:f>'2022_Data'!$F$807</c:f>
            </c:strRef>
          </c:xVal>
          <c:yVal>
            <c:numRef>
              <c:f>'2022_Data'!$E$807</c:f>
              <c:numCache/>
            </c:numRef>
          </c:yVal>
          <c:bubbleSize>
            <c:numRef>
              <c:f>'2022_Data'!$G$807</c:f>
            </c:numRef>
          </c:bubbleSize>
        </c:ser>
        <c:ser>
          <c:idx val="806"/>
          <c:order val="806"/>
          <c:tx>
            <c:strRef>
              <c:f>'2022_Data'!$A$808</c:f>
            </c:strRef>
          </c:tx>
          <c:dLbls>
            <c:dLblPos val="ctr"/>
            <c:showLegendKey val="0"/>
            <c:showVal val="0"/>
            <c:showCatName val="0"/>
            <c:showSerName val="1"/>
            <c:showPercent val="0"/>
            <c:showBubbleSize val="0"/>
          </c:dLbls>
          <c:xVal>
            <c:strRef>
              <c:f>'2022_Data'!$F$808</c:f>
            </c:strRef>
          </c:xVal>
          <c:yVal>
            <c:numRef>
              <c:f>'2022_Data'!$E$808</c:f>
              <c:numCache/>
            </c:numRef>
          </c:yVal>
          <c:bubbleSize>
            <c:numRef>
              <c:f>'2022_Data'!$G$808</c:f>
            </c:numRef>
          </c:bubbleSize>
        </c:ser>
        <c:ser>
          <c:idx val="807"/>
          <c:order val="807"/>
          <c:tx>
            <c:strRef>
              <c:f>'2022_Data'!$A$809</c:f>
            </c:strRef>
          </c:tx>
          <c:dLbls>
            <c:dLblPos val="ctr"/>
            <c:showLegendKey val="0"/>
            <c:showVal val="0"/>
            <c:showCatName val="0"/>
            <c:showSerName val="1"/>
            <c:showPercent val="0"/>
            <c:showBubbleSize val="0"/>
          </c:dLbls>
          <c:xVal>
            <c:strRef>
              <c:f>'2022_Data'!$F$809</c:f>
            </c:strRef>
          </c:xVal>
          <c:yVal>
            <c:numRef>
              <c:f>'2022_Data'!$E$809</c:f>
              <c:numCache/>
            </c:numRef>
          </c:yVal>
          <c:bubbleSize>
            <c:numRef>
              <c:f>'2022_Data'!$G$809</c:f>
            </c:numRef>
          </c:bubbleSize>
        </c:ser>
        <c:ser>
          <c:idx val="808"/>
          <c:order val="808"/>
          <c:tx>
            <c:strRef>
              <c:f>'2022_Data'!$A$810</c:f>
            </c:strRef>
          </c:tx>
          <c:dLbls>
            <c:dLblPos val="ctr"/>
            <c:showLegendKey val="0"/>
            <c:showVal val="0"/>
            <c:showCatName val="0"/>
            <c:showSerName val="1"/>
            <c:showPercent val="0"/>
            <c:showBubbleSize val="0"/>
          </c:dLbls>
          <c:xVal>
            <c:strRef>
              <c:f>'2022_Data'!$F$810</c:f>
            </c:strRef>
          </c:xVal>
          <c:yVal>
            <c:numRef>
              <c:f>'2022_Data'!$E$810</c:f>
              <c:numCache/>
            </c:numRef>
          </c:yVal>
          <c:bubbleSize>
            <c:numRef>
              <c:f>'2022_Data'!$G$810</c:f>
            </c:numRef>
          </c:bubbleSize>
        </c:ser>
        <c:ser>
          <c:idx val="809"/>
          <c:order val="809"/>
          <c:tx>
            <c:strRef>
              <c:f>'2022_Data'!$A$811</c:f>
            </c:strRef>
          </c:tx>
          <c:dLbls>
            <c:dLblPos val="ctr"/>
            <c:showLegendKey val="0"/>
            <c:showVal val="0"/>
            <c:showCatName val="0"/>
            <c:showSerName val="1"/>
            <c:showPercent val="0"/>
            <c:showBubbleSize val="0"/>
          </c:dLbls>
          <c:xVal>
            <c:strRef>
              <c:f>'2022_Data'!$F$811</c:f>
            </c:strRef>
          </c:xVal>
          <c:yVal>
            <c:numRef>
              <c:f>'2022_Data'!$E$811</c:f>
              <c:numCache/>
            </c:numRef>
          </c:yVal>
          <c:bubbleSize>
            <c:numRef>
              <c:f>'2022_Data'!$G$811</c:f>
            </c:numRef>
          </c:bubbleSize>
        </c:ser>
        <c:ser>
          <c:idx val="810"/>
          <c:order val="810"/>
          <c:tx>
            <c:strRef>
              <c:f>'2022_Data'!$A$812</c:f>
            </c:strRef>
          </c:tx>
          <c:dLbls>
            <c:dLblPos val="ctr"/>
            <c:showLegendKey val="0"/>
            <c:showVal val="0"/>
            <c:showCatName val="0"/>
            <c:showSerName val="1"/>
            <c:showPercent val="0"/>
            <c:showBubbleSize val="0"/>
          </c:dLbls>
          <c:xVal>
            <c:strRef>
              <c:f>'2022_Data'!$F$812</c:f>
            </c:strRef>
          </c:xVal>
          <c:yVal>
            <c:numRef>
              <c:f>'2022_Data'!$E$812</c:f>
              <c:numCache/>
            </c:numRef>
          </c:yVal>
          <c:bubbleSize>
            <c:numRef>
              <c:f>'2022_Data'!$G$812</c:f>
            </c:numRef>
          </c:bubbleSize>
        </c:ser>
        <c:ser>
          <c:idx val="811"/>
          <c:order val="811"/>
          <c:tx>
            <c:strRef>
              <c:f>'2022_Data'!$A$813</c:f>
            </c:strRef>
          </c:tx>
          <c:dLbls>
            <c:dLblPos val="ctr"/>
            <c:showLegendKey val="0"/>
            <c:showVal val="0"/>
            <c:showCatName val="0"/>
            <c:showSerName val="1"/>
            <c:showPercent val="0"/>
            <c:showBubbleSize val="0"/>
          </c:dLbls>
          <c:xVal>
            <c:strRef>
              <c:f>'2022_Data'!$F$813</c:f>
            </c:strRef>
          </c:xVal>
          <c:yVal>
            <c:numRef>
              <c:f>'2022_Data'!$E$813</c:f>
              <c:numCache/>
            </c:numRef>
          </c:yVal>
          <c:bubbleSize>
            <c:numRef>
              <c:f>'2022_Data'!$G$813</c:f>
            </c:numRef>
          </c:bubbleSize>
        </c:ser>
        <c:ser>
          <c:idx val="812"/>
          <c:order val="812"/>
          <c:tx>
            <c:strRef>
              <c:f>'2022_Data'!$A$814</c:f>
            </c:strRef>
          </c:tx>
          <c:dLbls>
            <c:dLblPos val="ctr"/>
            <c:showLegendKey val="0"/>
            <c:showVal val="0"/>
            <c:showCatName val="0"/>
            <c:showSerName val="1"/>
            <c:showPercent val="0"/>
            <c:showBubbleSize val="0"/>
          </c:dLbls>
          <c:xVal>
            <c:strRef>
              <c:f>'2022_Data'!$F$814</c:f>
            </c:strRef>
          </c:xVal>
          <c:yVal>
            <c:numRef>
              <c:f>'2022_Data'!$E$814</c:f>
              <c:numCache/>
            </c:numRef>
          </c:yVal>
          <c:bubbleSize>
            <c:numRef>
              <c:f>'2022_Data'!$G$814</c:f>
            </c:numRef>
          </c:bubbleSize>
        </c:ser>
        <c:ser>
          <c:idx val="813"/>
          <c:order val="813"/>
          <c:tx>
            <c:strRef>
              <c:f>'2022_Data'!$A$815</c:f>
            </c:strRef>
          </c:tx>
          <c:dLbls>
            <c:dLblPos val="ctr"/>
            <c:showLegendKey val="0"/>
            <c:showVal val="0"/>
            <c:showCatName val="0"/>
            <c:showSerName val="1"/>
            <c:showPercent val="0"/>
            <c:showBubbleSize val="0"/>
          </c:dLbls>
          <c:xVal>
            <c:strRef>
              <c:f>'2022_Data'!$F$815</c:f>
            </c:strRef>
          </c:xVal>
          <c:yVal>
            <c:numRef>
              <c:f>'2022_Data'!$E$815</c:f>
              <c:numCache/>
            </c:numRef>
          </c:yVal>
          <c:bubbleSize>
            <c:numRef>
              <c:f>'2022_Data'!$G$815</c:f>
            </c:numRef>
          </c:bubbleSize>
        </c:ser>
        <c:ser>
          <c:idx val="814"/>
          <c:order val="814"/>
          <c:tx>
            <c:strRef>
              <c:f>'2022_Data'!$A$816</c:f>
            </c:strRef>
          </c:tx>
          <c:dLbls>
            <c:dLblPos val="ctr"/>
            <c:showLegendKey val="0"/>
            <c:showVal val="0"/>
            <c:showCatName val="0"/>
            <c:showSerName val="1"/>
            <c:showPercent val="0"/>
            <c:showBubbleSize val="0"/>
          </c:dLbls>
          <c:xVal>
            <c:strRef>
              <c:f>'2022_Data'!$F$816</c:f>
            </c:strRef>
          </c:xVal>
          <c:yVal>
            <c:numRef>
              <c:f>'2022_Data'!$E$816</c:f>
              <c:numCache/>
            </c:numRef>
          </c:yVal>
          <c:bubbleSize>
            <c:numRef>
              <c:f>'2022_Data'!$G$816</c:f>
            </c:numRef>
          </c:bubbleSize>
        </c:ser>
        <c:ser>
          <c:idx val="815"/>
          <c:order val="815"/>
          <c:tx>
            <c:strRef>
              <c:f>'2022_Data'!$A$817</c:f>
            </c:strRef>
          </c:tx>
          <c:dLbls>
            <c:dLblPos val="ctr"/>
            <c:showLegendKey val="0"/>
            <c:showVal val="0"/>
            <c:showCatName val="0"/>
            <c:showSerName val="1"/>
            <c:showPercent val="0"/>
            <c:showBubbleSize val="0"/>
          </c:dLbls>
          <c:xVal>
            <c:strRef>
              <c:f>'2022_Data'!$F$817</c:f>
            </c:strRef>
          </c:xVal>
          <c:yVal>
            <c:numRef>
              <c:f>'2022_Data'!$E$817</c:f>
              <c:numCache/>
            </c:numRef>
          </c:yVal>
          <c:bubbleSize>
            <c:numRef>
              <c:f>'2022_Data'!$G$817</c:f>
            </c:numRef>
          </c:bubbleSize>
        </c:ser>
        <c:ser>
          <c:idx val="816"/>
          <c:order val="816"/>
          <c:tx>
            <c:strRef>
              <c:f>'2022_Data'!$A$818</c:f>
            </c:strRef>
          </c:tx>
          <c:dLbls>
            <c:dLblPos val="ctr"/>
            <c:showLegendKey val="0"/>
            <c:showVal val="0"/>
            <c:showCatName val="0"/>
            <c:showSerName val="1"/>
            <c:showPercent val="0"/>
            <c:showBubbleSize val="0"/>
          </c:dLbls>
          <c:xVal>
            <c:strRef>
              <c:f>'2022_Data'!$F$818</c:f>
            </c:strRef>
          </c:xVal>
          <c:yVal>
            <c:numRef>
              <c:f>'2022_Data'!$E$818</c:f>
              <c:numCache/>
            </c:numRef>
          </c:yVal>
          <c:bubbleSize>
            <c:numRef>
              <c:f>'2022_Data'!$G$818</c:f>
            </c:numRef>
          </c:bubbleSize>
        </c:ser>
        <c:ser>
          <c:idx val="817"/>
          <c:order val="817"/>
          <c:tx>
            <c:strRef>
              <c:f>'2022_Data'!$A$819</c:f>
            </c:strRef>
          </c:tx>
          <c:dLbls>
            <c:dLblPos val="ctr"/>
            <c:showLegendKey val="0"/>
            <c:showVal val="0"/>
            <c:showCatName val="0"/>
            <c:showSerName val="1"/>
            <c:showPercent val="0"/>
            <c:showBubbleSize val="0"/>
          </c:dLbls>
          <c:xVal>
            <c:strRef>
              <c:f>'2022_Data'!$F$819</c:f>
            </c:strRef>
          </c:xVal>
          <c:yVal>
            <c:numRef>
              <c:f>'2022_Data'!$E$819</c:f>
              <c:numCache/>
            </c:numRef>
          </c:yVal>
          <c:bubbleSize>
            <c:numRef>
              <c:f>'2022_Data'!$G$819</c:f>
            </c:numRef>
          </c:bubbleSize>
        </c:ser>
        <c:ser>
          <c:idx val="818"/>
          <c:order val="818"/>
          <c:tx>
            <c:strRef>
              <c:f>'2022_Data'!$A$820</c:f>
            </c:strRef>
          </c:tx>
          <c:dLbls>
            <c:dLblPos val="ctr"/>
            <c:showLegendKey val="0"/>
            <c:showVal val="0"/>
            <c:showCatName val="0"/>
            <c:showSerName val="1"/>
            <c:showPercent val="0"/>
            <c:showBubbleSize val="0"/>
          </c:dLbls>
          <c:xVal>
            <c:strRef>
              <c:f>'2022_Data'!$F$820</c:f>
            </c:strRef>
          </c:xVal>
          <c:yVal>
            <c:numRef>
              <c:f>'2022_Data'!$E$820</c:f>
              <c:numCache/>
            </c:numRef>
          </c:yVal>
          <c:bubbleSize>
            <c:numRef>
              <c:f>'2022_Data'!$G$820</c:f>
            </c:numRef>
          </c:bubbleSize>
        </c:ser>
        <c:ser>
          <c:idx val="819"/>
          <c:order val="819"/>
          <c:tx>
            <c:strRef>
              <c:f>'2022_Data'!$A$821</c:f>
            </c:strRef>
          </c:tx>
          <c:dLbls>
            <c:dLblPos val="ctr"/>
            <c:showLegendKey val="0"/>
            <c:showVal val="0"/>
            <c:showCatName val="0"/>
            <c:showSerName val="1"/>
            <c:showPercent val="0"/>
            <c:showBubbleSize val="0"/>
          </c:dLbls>
          <c:xVal>
            <c:strRef>
              <c:f>'2022_Data'!$F$821</c:f>
            </c:strRef>
          </c:xVal>
          <c:yVal>
            <c:numRef>
              <c:f>'2022_Data'!$E$821</c:f>
              <c:numCache/>
            </c:numRef>
          </c:yVal>
          <c:bubbleSize>
            <c:numRef>
              <c:f>'2022_Data'!$G$821</c:f>
            </c:numRef>
          </c:bubbleSize>
        </c:ser>
        <c:ser>
          <c:idx val="820"/>
          <c:order val="820"/>
          <c:tx>
            <c:strRef>
              <c:f>'2022_Data'!$A$822</c:f>
            </c:strRef>
          </c:tx>
          <c:dLbls>
            <c:dLblPos val="ctr"/>
            <c:showLegendKey val="0"/>
            <c:showVal val="0"/>
            <c:showCatName val="0"/>
            <c:showSerName val="1"/>
            <c:showPercent val="0"/>
            <c:showBubbleSize val="0"/>
          </c:dLbls>
          <c:xVal>
            <c:strRef>
              <c:f>'2022_Data'!$F$822</c:f>
            </c:strRef>
          </c:xVal>
          <c:yVal>
            <c:numRef>
              <c:f>'2022_Data'!$E$822</c:f>
              <c:numCache/>
            </c:numRef>
          </c:yVal>
          <c:bubbleSize>
            <c:numRef>
              <c:f>'2022_Data'!$G$822</c:f>
            </c:numRef>
          </c:bubbleSize>
        </c:ser>
        <c:ser>
          <c:idx val="821"/>
          <c:order val="821"/>
          <c:tx>
            <c:strRef>
              <c:f>'2022_Data'!$A$823</c:f>
            </c:strRef>
          </c:tx>
          <c:dLbls>
            <c:dLblPos val="ctr"/>
            <c:showLegendKey val="0"/>
            <c:showVal val="0"/>
            <c:showCatName val="0"/>
            <c:showSerName val="1"/>
            <c:showPercent val="0"/>
            <c:showBubbleSize val="0"/>
          </c:dLbls>
          <c:xVal>
            <c:strRef>
              <c:f>'2022_Data'!$F$823</c:f>
            </c:strRef>
          </c:xVal>
          <c:yVal>
            <c:numRef>
              <c:f>'2022_Data'!$E$823</c:f>
              <c:numCache/>
            </c:numRef>
          </c:yVal>
          <c:bubbleSize>
            <c:numRef>
              <c:f>'2022_Data'!$G$823</c:f>
            </c:numRef>
          </c:bubbleSize>
        </c:ser>
        <c:ser>
          <c:idx val="822"/>
          <c:order val="822"/>
          <c:tx>
            <c:strRef>
              <c:f>'2022_Data'!$A$824</c:f>
            </c:strRef>
          </c:tx>
          <c:dLbls>
            <c:dLblPos val="ctr"/>
            <c:showLegendKey val="0"/>
            <c:showVal val="0"/>
            <c:showCatName val="0"/>
            <c:showSerName val="1"/>
            <c:showPercent val="0"/>
            <c:showBubbleSize val="0"/>
          </c:dLbls>
          <c:xVal>
            <c:strRef>
              <c:f>'2022_Data'!$F$824</c:f>
            </c:strRef>
          </c:xVal>
          <c:yVal>
            <c:numRef>
              <c:f>'2022_Data'!$E$824</c:f>
              <c:numCache/>
            </c:numRef>
          </c:yVal>
          <c:bubbleSize>
            <c:numRef>
              <c:f>'2022_Data'!$G$824</c:f>
            </c:numRef>
          </c:bubbleSize>
        </c:ser>
        <c:ser>
          <c:idx val="823"/>
          <c:order val="823"/>
          <c:tx>
            <c:strRef>
              <c:f>'2022_Data'!$A$825</c:f>
            </c:strRef>
          </c:tx>
          <c:dLbls>
            <c:dLblPos val="ctr"/>
            <c:showLegendKey val="0"/>
            <c:showVal val="0"/>
            <c:showCatName val="0"/>
            <c:showSerName val="1"/>
            <c:showPercent val="0"/>
            <c:showBubbleSize val="0"/>
          </c:dLbls>
          <c:xVal>
            <c:strRef>
              <c:f>'2022_Data'!$F$825</c:f>
            </c:strRef>
          </c:xVal>
          <c:yVal>
            <c:numRef>
              <c:f>'2022_Data'!$E$825</c:f>
              <c:numCache/>
            </c:numRef>
          </c:yVal>
          <c:bubbleSize>
            <c:numRef>
              <c:f>'2022_Data'!$G$825</c:f>
            </c:numRef>
          </c:bubbleSize>
        </c:ser>
        <c:ser>
          <c:idx val="824"/>
          <c:order val="824"/>
          <c:tx>
            <c:strRef>
              <c:f>'2022_Data'!$A$826</c:f>
            </c:strRef>
          </c:tx>
          <c:dLbls>
            <c:dLblPos val="ctr"/>
            <c:showLegendKey val="0"/>
            <c:showVal val="0"/>
            <c:showCatName val="0"/>
            <c:showSerName val="1"/>
            <c:showPercent val="0"/>
            <c:showBubbleSize val="0"/>
          </c:dLbls>
          <c:xVal>
            <c:strRef>
              <c:f>'2022_Data'!$F$826</c:f>
            </c:strRef>
          </c:xVal>
          <c:yVal>
            <c:numRef>
              <c:f>'2022_Data'!$E$826</c:f>
              <c:numCache/>
            </c:numRef>
          </c:yVal>
          <c:bubbleSize>
            <c:numRef>
              <c:f>'2022_Data'!$G$826</c:f>
            </c:numRef>
          </c:bubbleSize>
        </c:ser>
        <c:ser>
          <c:idx val="825"/>
          <c:order val="825"/>
          <c:tx>
            <c:strRef>
              <c:f>'2022_Data'!$A$827</c:f>
            </c:strRef>
          </c:tx>
          <c:dLbls>
            <c:dLblPos val="ctr"/>
            <c:showLegendKey val="0"/>
            <c:showVal val="0"/>
            <c:showCatName val="0"/>
            <c:showSerName val="1"/>
            <c:showPercent val="0"/>
            <c:showBubbleSize val="0"/>
          </c:dLbls>
          <c:xVal>
            <c:strRef>
              <c:f>'2022_Data'!$F$827</c:f>
            </c:strRef>
          </c:xVal>
          <c:yVal>
            <c:numRef>
              <c:f>'2022_Data'!$E$827</c:f>
              <c:numCache/>
            </c:numRef>
          </c:yVal>
          <c:bubbleSize>
            <c:numRef>
              <c:f>'2022_Data'!$G$827</c:f>
            </c:numRef>
          </c:bubbleSize>
        </c:ser>
        <c:ser>
          <c:idx val="826"/>
          <c:order val="826"/>
          <c:tx>
            <c:strRef>
              <c:f>'2022_Data'!$A$828</c:f>
            </c:strRef>
          </c:tx>
          <c:dLbls>
            <c:dLblPos val="ctr"/>
            <c:showLegendKey val="0"/>
            <c:showVal val="0"/>
            <c:showCatName val="0"/>
            <c:showSerName val="1"/>
            <c:showPercent val="0"/>
            <c:showBubbleSize val="0"/>
          </c:dLbls>
          <c:xVal>
            <c:strRef>
              <c:f>'2022_Data'!$F$828</c:f>
            </c:strRef>
          </c:xVal>
          <c:yVal>
            <c:numRef>
              <c:f>'2022_Data'!$E$828</c:f>
              <c:numCache/>
            </c:numRef>
          </c:yVal>
          <c:bubbleSize>
            <c:numRef>
              <c:f>'2022_Data'!$G$828</c:f>
            </c:numRef>
          </c:bubbleSize>
        </c:ser>
        <c:ser>
          <c:idx val="827"/>
          <c:order val="827"/>
          <c:tx>
            <c:strRef>
              <c:f>'2022_Data'!$A$829</c:f>
            </c:strRef>
          </c:tx>
          <c:dLbls>
            <c:dLblPos val="ctr"/>
            <c:showLegendKey val="0"/>
            <c:showVal val="0"/>
            <c:showCatName val="0"/>
            <c:showSerName val="1"/>
            <c:showPercent val="0"/>
            <c:showBubbleSize val="0"/>
          </c:dLbls>
          <c:xVal>
            <c:strRef>
              <c:f>'2022_Data'!$F$829</c:f>
            </c:strRef>
          </c:xVal>
          <c:yVal>
            <c:numRef>
              <c:f>'2022_Data'!$E$829</c:f>
              <c:numCache/>
            </c:numRef>
          </c:yVal>
          <c:bubbleSize>
            <c:numRef>
              <c:f>'2022_Data'!$G$829</c:f>
            </c:numRef>
          </c:bubbleSize>
        </c:ser>
        <c:ser>
          <c:idx val="828"/>
          <c:order val="828"/>
          <c:tx>
            <c:strRef>
              <c:f>'2022_Data'!$A$830</c:f>
            </c:strRef>
          </c:tx>
          <c:dLbls>
            <c:dLblPos val="ctr"/>
            <c:showLegendKey val="0"/>
            <c:showVal val="0"/>
            <c:showCatName val="0"/>
            <c:showSerName val="1"/>
            <c:showPercent val="0"/>
            <c:showBubbleSize val="0"/>
          </c:dLbls>
          <c:xVal>
            <c:strRef>
              <c:f>'2022_Data'!$F$830</c:f>
            </c:strRef>
          </c:xVal>
          <c:yVal>
            <c:numRef>
              <c:f>'2022_Data'!$E$830</c:f>
              <c:numCache/>
            </c:numRef>
          </c:yVal>
          <c:bubbleSize>
            <c:numRef>
              <c:f>'2022_Data'!$G$830</c:f>
            </c:numRef>
          </c:bubbleSize>
        </c:ser>
        <c:ser>
          <c:idx val="829"/>
          <c:order val="829"/>
          <c:tx>
            <c:strRef>
              <c:f>'2022_Data'!$A$831</c:f>
            </c:strRef>
          </c:tx>
          <c:dLbls>
            <c:dLblPos val="ctr"/>
            <c:showLegendKey val="0"/>
            <c:showVal val="0"/>
            <c:showCatName val="0"/>
            <c:showSerName val="1"/>
            <c:showPercent val="0"/>
            <c:showBubbleSize val="0"/>
          </c:dLbls>
          <c:xVal>
            <c:strRef>
              <c:f>'2022_Data'!$F$831</c:f>
            </c:strRef>
          </c:xVal>
          <c:yVal>
            <c:numRef>
              <c:f>'2022_Data'!$E$831</c:f>
              <c:numCache/>
            </c:numRef>
          </c:yVal>
          <c:bubbleSize>
            <c:numRef>
              <c:f>'2022_Data'!$G$831</c:f>
            </c:numRef>
          </c:bubbleSize>
        </c:ser>
        <c:ser>
          <c:idx val="830"/>
          <c:order val="830"/>
          <c:tx>
            <c:strRef>
              <c:f>'2022_Data'!$A$832</c:f>
            </c:strRef>
          </c:tx>
          <c:dLbls>
            <c:dLblPos val="ctr"/>
            <c:showLegendKey val="0"/>
            <c:showVal val="0"/>
            <c:showCatName val="0"/>
            <c:showSerName val="1"/>
            <c:showPercent val="0"/>
            <c:showBubbleSize val="0"/>
          </c:dLbls>
          <c:xVal>
            <c:strRef>
              <c:f>'2022_Data'!$F$832</c:f>
            </c:strRef>
          </c:xVal>
          <c:yVal>
            <c:numRef>
              <c:f>'2022_Data'!$E$832</c:f>
              <c:numCache/>
            </c:numRef>
          </c:yVal>
          <c:bubbleSize>
            <c:numRef>
              <c:f>'2022_Data'!$G$832</c:f>
            </c:numRef>
          </c:bubbleSize>
        </c:ser>
        <c:ser>
          <c:idx val="831"/>
          <c:order val="831"/>
          <c:tx>
            <c:strRef>
              <c:f>'2022_Data'!$A$833</c:f>
            </c:strRef>
          </c:tx>
          <c:dLbls>
            <c:dLblPos val="ctr"/>
            <c:showLegendKey val="0"/>
            <c:showVal val="0"/>
            <c:showCatName val="0"/>
            <c:showSerName val="1"/>
            <c:showPercent val="0"/>
            <c:showBubbleSize val="0"/>
          </c:dLbls>
          <c:xVal>
            <c:strRef>
              <c:f>'2022_Data'!$F$833</c:f>
            </c:strRef>
          </c:xVal>
          <c:yVal>
            <c:numRef>
              <c:f>'2022_Data'!$E$833</c:f>
              <c:numCache/>
            </c:numRef>
          </c:yVal>
          <c:bubbleSize>
            <c:numRef>
              <c:f>'2022_Data'!$G$833</c:f>
            </c:numRef>
          </c:bubbleSize>
        </c:ser>
        <c:ser>
          <c:idx val="832"/>
          <c:order val="832"/>
          <c:tx>
            <c:strRef>
              <c:f>'2022_Data'!$A$834</c:f>
            </c:strRef>
          </c:tx>
          <c:dLbls>
            <c:dLblPos val="ctr"/>
            <c:showLegendKey val="0"/>
            <c:showVal val="0"/>
            <c:showCatName val="0"/>
            <c:showSerName val="1"/>
            <c:showPercent val="0"/>
            <c:showBubbleSize val="0"/>
          </c:dLbls>
          <c:xVal>
            <c:strRef>
              <c:f>'2022_Data'!$F$834</c:f>
            </c:strRef>
          </c:xVal>
          <c:yVal>
            <c:numRef>
              <c:f>'2022_Data'!$E$834</c:f>
              <c:numCache/>
            </c:numRef>
          </c:yVal>
          <c:bubbleSize>
            <c:numRef>
              <c:f>'2022_Data'!$G$834</c:f>
            </c:numRef>
          </c:bubbleSize>
        </c:ser>
        <c:ser>
          <c:idx val="833"/>
          <c:order val="833"/>
          <c:tx>
            <c:strRef>
              <c:f>'2022_Data'!$A$835</c:f>
            </c:strRef>
          </c:tx>
          <c:dLbls>
            <c:dLblPos val="ctr"/>
            <c:showLegendKey val="0"/>
            <c:showVal val="0"/>
            <c:showCatName val="0"/>
            <c:showSerName val="1"/>
            <c:showPercent val="0"/>
            <c:showBubbleSize val="0"/>
          </c:dLbls>
          <c:xVal>
            <c:strRef>
              <c:f>'2022_Data'!$F$835</c:f>
            </c:strRef>
          </c:xVal>
          <c:yVal>
            <c:numRef>
              <c:f>'2022_Data'!$E$835</c:f>
              <c:numCache/>
            </c:numRef>
          </c:yVal>
          <c:bubbleSize>
            <c:numRef>
              <c:f>'2022_Data'!$G$835</c:f>
            </c:numRef>
          </c:bubbleSize>
        </c:ser>
        <c:ser>
          <c:idx val="834"/>
          <c:order val="834"/>
          <c:tx>
            <c:strRef>
              <c:f>'2022_Data'!$A$836</c:f>
            </c:strRef>
          </c:tx>
          <c:dLbls>
            <c:dLblPos val="ctr"/>
            <c:showLegendKey val="0"/>
            <c:showVal val="0"/>
            <c:showCatName val="0"/>
            <c:showSerName val="1"/>
            <c:showPercent val="0"/>
            <c:showBubbleSize val="0"/>
          </c:dLbls>
          <c:xVal>
            <c:strRef>
              <c:f>'2022_Data'!$F$836</c:f>
            </c:strRef>
          </c:xVal>
          <c:yVal>
            <c:numRef>
              <c:f>'2022_Data'!$E$836</c:f>
              <c:numCache/>
            </c:numRef>
          </c:yVal>
          <c:bubbleSize>
            <c:numRef>
              <c:f>'2022_Data'!$G$836</c:f>
            </c:numRef>
          </c:bubbleSize>
        </c:ser>
        <c:ser>
          <c:idx val="835"/>
          <c:order val="835"/>
          <c:tx>
            <c:strRef>
              <c:f>'2022_Data'!$A$837</c:f>
            </c:strRef>
          </c:tx>
          <c:dLbls>
            <c:dLblPos val="ctr"/>
            <c:showLegendKey val="0"/>
            <c:showVal val="0"/>
            <c:showCatName val="0"/>
            <c:showSerName val="1"/>
            <c:showPercent val="0"/>
            <c:showBubbleSize val="0"/>
          </c:dLbls>
          <c:xVal>
            <c:strRef>
              <c:f>'2022_Data'!$F$837</c:f>
            </c:strRef>
          </c:xVal>
          <c:yVal>
            <c:numRef>
              <c:f>'2022_Data'!$E$837</c:f>
              <c:numCache/>
            </c:numRef>
          </c:yVal>
          <c:bubbleSize>
            <c:numRef>
              <c:f>'2022_Data'!$G$837</c:f>
            </c:numRef>
          </c:bubbleSize>
        </c:ser>
        <c:ser>
          <c:idx val="836"/>
          <c:order val="836"/>
          <c:tx>
            <c:strRef>
              <c:f>'2022_Data'!$A$838</c:f>
            </c:strRef>
          </c:tx>
          <c:dLbls>
            <c:dLblPos val="ctr"/>
            <c:showLegendKey val="0"/>
            <c:showVal val="0"/>
            <c:showCatName val="0"/>
            <c:showSerName val="1"/>
            <c:showPercent val="0"/>
            <c:showBubbleSize val="0"/>
          </c:dLbls>
          <c:xVal>
            <c:strRef>
              <c:f>'2022_Data'!$F$838</c:f>
            </c:strRef>
          </c:xVal>
          <c:yVal>
            <c:numRef>
              <c:f>'2022_Data'!$E$838</c:f>
              <c:numCache/>
            </c:numRef>
          </c:yVal>
          <c:bubbleSize>
            <c:numRef>
              <c:f>'2022_Data'!$G$838</c:f>
            </c:numRef>
          </c:bubbleSize>
        </c:ser>
        <c:ser>
          <c:idx val="837"/>
          <c:order val="837"/>
          <c:tx>
            <c:strRef>
              <c:f>'2022_Data'!$A$839</c:f>
            </c:strRef>
          </c:tx>
          <c:dLbls>
            <c:dLblPos val="ctr"/>
            <c:showLegendKey val="0"/>
            <c:showVal val="0"/>
            <c:showCatName val="0"/>
            <c:showSerName val="1"/>
            <c:showPercent val="0"/>
            <c:showBubbleSize val="0"/>
          </c:dLbls>
          <c:xVal>
            <c:strRef>
              <c:f>'2022_Data'!$F$839</c:f>
            </c:strRef>
          </c:xVal>
          <c:yVal>
            <c:numRef>
              <c:f>'2022_Data'!$E$839</c:f>
              <c:numCache/>
            </c:numRef>
          </c:yVal>
          <c:bubbleSize>
            <c:numRef>
              <c:f>'2022_Data'!$G$839</c:f>
            </c:numRef>
          </c:bubbleSize>
        </c:ser>
        <c:ser>
          <c:idx val="838"/>
          <c:order val="838"/>
          <c:tx>
            <c:strRef>
              <c:f>'2022_Data'!$A$840</c:f>
            </c:strRef>
          </c:tx>
          <c:dLbls>
            <c:dLblPos val="ctr"/>
            <c:showLegendKey val="0"/>
            <c:showVal val="0"/>
            <c:showCatName val="0"/>
            <c:showSerName val="1"/>
            <c:showPercent val="0"/>
            <c:showBubbleSize val="0"/>
          </c:dLbls>
          <c:xVal>
            <c:strRef>
              <c:f>'2022_Data'!$F$840</c:f>
            </c:strRef>
          </c:xVal>
          <c:yVal>
            <c:numRef>
              <c:f>'2022_Data'!$E$840</c:f>
              <c:numCache/>
            </c:numRef>
          </c:yVal>
          <c:bubbleSize>
            <c:numRef>
              <c:f>'2022_Data'!$G$840</c:f>
            </c:numRef>
          </c:bubbleSize>
        </c:ser>
        <c:ser>
          <c:idx val="839"/>
          <c:order val="839"/>
          <c:tx>
            <c:strRef>
              <c:f>'2022_Data'!$A$841</c:f>
            </c:strRef>
          </c:tx>
          <c:dLbls>
            <c:dLblPos val="ctr"/>
            <c:showLegendKey val="0"/>
            <c:showVal val="0"/>
            <c:showCatName val="0"/>
            <c:showSerName val="1"/>
            <c:showPercent val="0"/>
            <c:showBubbleSize val="0"/>
          </c:dLbls>
          <c:xVal>
            <c:strRef>
              <c:f>'2022_Data'!$F$841</c:f>
            </c:strRef>
          </c:xVal>
          <c:yVal>
            <c:numRef>
              <c:f>'2022_Data'!$E$841</c:f>
              <c:numCache/>
            </c:numRef>
          </c:yVal>
          <c:bubbleSize>
            <c:numRef>
              <c:f>'2022_Data'!$G$841</c:f>
            </c:numRef>
          </c:bubbleSize>
        </c:ser>
        <c:ser>
          <c:idx val="840"/>
          <c:order val="840"/>
          <c:tx>
            <c:strRef>
              <c:f>'2022_Data'!$A$842</c:f>
            </c:strRef>
          </c:tx>
          <c:dLbls>
            <c:dLblPos val="ctr"/>
            <c:showLegendKey val="0"/>
            <c:showVal val="0"/>
            <c:showCatName val="0"/>
            <c:showSerName val="1"/>
            <c:showPercent val="0"/>
            <c:showBubbleSize val="0"/>
          </c:dLbls>
          <c:xVal>
            <c:strRef>
              <c:f>'2022_Data'!$F$842</c:f>
            </c:strRef>
          </c:xVal>
          <c:yVal>
            <c:numRef>
              <c:f>'2022_Data'!$E$842</c:f>
              <c:numCache/>
            </c:numRef>
          </c:yVal>
          <c:bubbleSize>
            <c:numRef>
              <c:f>'2022_Data'!$G$842</c:f>
            </c:numRef>
          </c:bubbleSize>
        </c:ser>
        <c:ser>
          <c:idx val="841"/>
          <c:order val="841"/>
          <c:tx>
            <c:strRef>
              <c:f>'2022_Data'!$A$843</c:f>
            </c:strRef>
          </c:tx>
          <c:dLbls>
            <c:dLblPos val="ctr"/>
            <c:showLegendKey val="0"/>
            <c:showVal val="0"/>
            <c:showCatName val="0"/>
            <c:showSerName val="1"/>
            <c:showPercent val="0"/>
            <c:showBubbleSize val="0"/>
          </c:dLbls>
          <c:xVal>
            <c:strRef>
              <c:f>'2022_Data'!$F$843</c:f>
            </c:strRef>
          </c:xVal>
          <c:yVal>
            <c:numRef>
              <c:f>'2022_Data'!$E$843</c:f>
              <c:numCache/>
            </c:numRef>
          </c:yVal>
          <c:bubbleSize>
            <c:numRef>
              <c:f>'2022_Data'!$G$843</c:f>
            </c:numRef>
          </c:bubbleSize>
        </c:ser>
        <c:ser>
          <c:idx val="842"/>
          <c:order val="842"/>
          <c:tx>
            <c:strRef>
              <c:f>'2022_Data'!$A$844</c:f>
            </c:strRef>
          </c:tx>
          <c:dLbls>
            <c:dLblPos val="ctr"/>
            <c:showLegendKey val="0"/>
            <c:showVal val="0"/>
            <c:showCatName val="0"/>
            <c:showSerName val="1"/>
            <c:showPercent val="0"/>
            <c:showBubbleSize val="0"/>
          </c:dLbls>
          <c:xVal>
            <c:strRef>
              <c:f>'2022_Data'!$F$844</c:f>
            </c:strRef>
          </c:xVal>
          <c:yVal>
            <c:numRef>
              <c:f>'2022_Data'!$E$844</c:f>
              <c:numCache/>
            </c:numRef>
          </c:yVal>
          <c:bubbleSize>
            <c:numRef>
              <c:f>'2022_Data'!$G$844</c:f>
            </c:numRef>
          </c:bubbleSize>
        </c:ser>
        <c:ser>
          <c:idx val="843"/>
          <c:order val="843"/>
          <c:tx>
            <c:strRef>
              <c:f>'2022_Data'!$A$845</c:f>
            </c:strRef>
          </c:tx>
          <c:dLbls>
            <c:dLblPos val="ctr"/>
            <c:showLegendKey val="0"/>
            <c:showVal val="0"/>
            <c:showCatName val="0"/>
            <c:showSerName val="1"/>
            <c:showPercent val="0"/>
            <c:showBubbleSize val="0"/>
          </c:dLbls>
          <c:xVal>
            <c:strRef>
              <c:f>'2022_Data'!$F$845</c:f>
            </c:strRef>
          </c:xVal>
          <c:yVal>
            <c:numRef>
              <c:f>'2022_Data'!$E$845</c:f>
              <c:numCache/>
            </c:numRef>
          </c:yVal>
          <c:bubbleSize>
            <c:numRef>
              <c:f>'2022_Data'!$G$845</c:f>
            </c:numRef>
          </c:bubbleSize>
        </c:ser>
        <c:ser>
          <c:idx val="844"/>
          <c:order val="844"/>
          <c:tx>
            <c:strRef>
              <c:f>'2022_Data'!$A$846</c:f>
            </c:strRef>
          </c:tx>
          <c:dLbls>
            <c:dLblPos val="ctr"/>
            <c:showLegendKey val="0"/>
            <c:showVal val="0"/>
            <c:showCatName val="0"/>
            <c:showSerName val="1"/>
            <c:showPercent val="0"/>
            <c:showBubbleSize val="0"/>
          </c:dLbls>
          <c:xVal>
            <c:strRef>
              <c:f>'2022_Data'!$F$846</c:f>
            </c:strRef>
          </c:xVal>
          <c:yVal>
            <c:numRef>
              <c:f>'2022_Data'!$E$846</c:f>
              <c:numCache/>
            </c:numRef>
          </c:yVal>
          <c:bubbleSize>
            <c:numRef>
              <c:f>'2022_Data'!$G$846</c:f>
            </c:numRef>
          </c:bubbleSize>
        </c:ser>
        <c:ser>
          <c:idx val="845"/>
          <c:order val="845"/>
          <c:tx>
            <c:strRef>
              <c:f>'2022_Data'!$A$847</c:f>
            </c:strRef>
          </c:tx>
          <c:dLbls>
            <c:dLblPos val="ctr"/>
            <c:showLegendKey val="0"/>
            <c:showVal val="0"/>
            <c:showCatName val="0"/>
            <c:showSerName val="1"/>
            <c:showPercent val="0"/>
            <c:showBubbleSize val="0"/>
          </c:dLbls>
          <c:xVal>
            <c:strRef>
              <c:f>'2022_Data'!$F$847</c:f>
            </c:strRef>
          </c:xVal>
          <c:yVal>
            <c:numRef>
              <c:f>'2022_Data'!$E$847</c:f>
              <c:numCache/>
            </c:numRef>
          </c:yVal>
          <c:bubbleSize>
            <c:numRef>
              <c:f>'2022_Data'!$G$847</c:f>
            </c:numRef>
          </c:bubbleSize>
        </c:ser>
        <c:ser>
          <c:idx val="846"/>
          <c:order val="846"/>
          <c:tx>
            <c:strRef>
              <c:f>'2022_Data'!$A$848</c:f>
            </c:strRef>
          </c:tx>
          <c:dLbls>
            <c:dLblPos val="ctr"/>
            <c:showLegendKey val="0"/>
            <c:showVal val="0"/>
            <c:showCatName val="0"/>
            <c:showSerName val="1"/>
            <c:showPercent val="0"/>
            <c:showBubbleSize val="0"/>
          </c:dLbls>
          <c:xVal>
            <c:strRef>
              <c:f>'2022_Data'!$F$848</c:f>
            </c:strRef>
          </c:xVal>
          <c:yVal>
            <c:numRef>
              <c:f>'2022_Data'!$E$848</c:f>
              <c:numCache/>
            </c:numRef>
          </c:yVal>
          <c:bubbleSize>
            <c:numRef>
              <c:f>'2022_Data'!$G$848</c:f>
            </c:numRef>
          </c:bubbleSize>
        </c:ser>
        <c:ser>
          <c:idx val="847"/>
          <c:order val="847"/>
          <c:tx>
            <c:strRef>
              <c:f>'2022_Data'!$A$849</c:f>
            </c:strRef>
          </c:tx>
          <c:dLbls>
            <c:dLblPos val="ctr"/>
            <c:showLegendKey val="0"/>
            <c:showVal val="0"/>
            <c:showCatName val="0"/>
            <c:showSerName val="1"/>
            <c:showPercent val="0"/>
            <c:showBubbleSize val="0"/>
          </c:dLbls>
          <c:xVal>
            <c:strRef>
              <c:f>'2022_Data'!$F$849</c:f>
            </c:strRef>
          </c:xVal>
          <c:yVal>
            <c:numRef>
              <c:f>'2022_Data'!$E$849</c:f>
              <c:numCache/>
            </c:numRef>
          </c:yVal>
          <c:bubbleSize>
            <c:numRef>
              <c:f>'2022_Data'!$G$849</c:f>
            </c:numRef>
          </c:bubbleSize>
        </c:ser>
        <c:ser>
          <c:idx val="848"/>
          <c:order val="848"/>
          <c:tx>
            <c:strRef>
              <c:f>'2022_Data'!$A$850</c:f>
            </c:strRef>
          </c:tx>
          <c:dLbls>
            <c:dLblPos val="ctr"/>
            <c:showLegendKey val="0"/>
            <c:showVal val="0"/>
            <c:showCatName val="0"/>
            <c:showSerName val="1"/>
            <c:showPercent val="0"/>
            <c:showBubbleSize val="0"/>
          </c:dLbls>
          <c:xVal>
            <c:strRef>
              <c:f>'2022_Data'!$F$850</c:f>
            </c:strRef>
          </c:xVal>
          <c:yVal>
            <c:numRef>
              <c:f>'2022_Data'!$E$850</c:f>
              <c:numCache/>
            </c:numRef>
          </c:yVal>
          <c:bubbleSize>
            <c:numRef>
              <c:f>'2022_Data'!$G$850</c:f>
            </c:numRef>
          </c:bubbleSize>
        </c:ser>
        <c:ser>
          <c:idx val="849"/>
          <c:order val="849"/>
          <c:tx>
            <c:strRef>
              <c:f>'2022_Data'!$A$851</c:f>
            </c:strRef>
          </c:tx>
          <c:dLbls>
            <c:dLblPos val="ctr"/>
            <c:showLegendKey val="0"/>
            <c:showVal val="0"/>
            <c:showCatName val="0"/>
            <c:showSerName val="1"/>
            <c:showPercent val="0"/>
            <c:showBubbleSize val="0"/>
          </c:dLbls>
          <c:xVal>
            <c:strRef>
              <c:f>'2022_Data'!$F$851</c:f>
            </c:strRef>
          </c:xVal>
          <c:yVal>
            <c:numRef>
              <c:f>'2022_Data'!$E$851</c:f>
              <c:numCache/>
            </c:numRef>
          </c:yVal>
          <c:bubbleSize>
            <c:numRef>
              <c:f>'2022_Data'!$G$851</c:f>
            </c:numRef>
          </c:bubbleSize>
        </c:ser>
        <c:ser>
          <c:idx val="850"/>
          <c:order val="850"/>
          <c:tx>
            <c:strRef>
              <c:f>'2022_Data'!$A$852</c:f>
            </c:strRef>
          </c:tx>
          <c:dLbls>
            <c:dLblPos val="ctr"/>
            <c:showLegendKey val="0"/>
            <c:showVal val="0"/>
            <c:showCatName val="0"/>
            <c:showSerName val="1"/>
            <c:showPercent val="0"/>
            <c:showBubbleSize val="0"/>
          </c:dLbls>
          <c:xVal>
            <c:strRef>
              <c:f>'2022_Data'!$F$852</c:f>
            </c:strRef>
          </c:xVal>
          <c:yVal>
            <c:numRef>
              <c:f>'2022_Data'!$E$852</c:f>
              <c:numCache/>
            </c:numRef>
          </c:yVal>
          <c:bubbleSize>
            <c:numRef>
              <c:f>'2022_Data'!$G$852</c:f>
            </c:numRef>
          </c:bubbleSize>
        </c:ser>
        <c:ser>
          <c:idx val="851"/>
          <c:order val="851"/>
          <c:tx>
            <c:strRef>
              <c:f>'2022_Data'!$A$853</c:f>
            </c:strRef>
          </c:tx>
          <c:dLbls>
            <c:dLblPos val="ctr"/>
            <c:showLegendKey val="0"/>
            <c:showVal val="0"/>
            <c:showCatName val="0"/>
            <c:showSerName val="1"/>
            <c:showPercent val="0"/>
            <c:showBubbleSize val="0"/>
          </c:dLbls>
          <c:xVal>
            <c:strRef>
              <c:f>'2022_Data'!$F$853</c:f>
            </c:strRef>
          </c:xVal>
          <c:yVal>
            <c:numRef>
              <c:f>'2022_Data'!$E$853</c:f>
              <c:numCache/>
            </c:numRef>
          </c:yVal>
          <c:bubbleSize>
            <c:numRef>
              <c:f>'2022_Data'!$G$853</c:f>
            </c:numRef>
          </c:bubbleSize>
        </c:ser>
        <c:ser>
          <c:idx val="852"/>
          <c:order val="852"/>
          <c:tx>
            <c:strRef>
              <c:f>'2022_Data'!$A$854</c:f>
            </c:strRef>
          </c:tx>
          <c:dLbls>
            <c:dLblPos val="ctr"/>
            <c:showLegendKey val="0"/>
            <c:showVal val="0"/>
            <c:showCatName val="0"/>
            <c:showSerName val="1"/>
            <c:showPercent val="0"/>
            <c:showBubbleSize val="0"/>
          </c:dLbls>
          <c:xVal>
            <c:strRef>
              <c:f>'2022_Data'!$F$854</c:f>
            </c:strRef>
          </c:xVal>
          <c:yVal>
            <c:numRef>
              <c:f>'2022_Data'!$E$854</c:f>
              <c:numCache/>
            </c:numRef>
          </c:yVal>
          <c:bubbleSize>
            <c:numRef>
              <c:f>'2022_Data'!$G$854</c:f>
            </c:numRef>
          </c:bubbleSize>
        </c:ser>
        <c:ser>
          <c:idx val="853"/>
          <c:order val="853"/>
          <c:tx>
            <c:strRef>
              <c:f>'2022_Data'!$A$855</c:f>
            </c:strRef>
          </c:tx>
          <c:dLbls>
            <c:dLblPos val="ctr"/>
            <c:showLegendKey val="0"/>
            <c:showVal val="0"/>
            <c:showCatName val="0"/>
            <c:showSerName val="1"/>
            <c:showPercent val="0"/>
            <c:showBubbleSize val="0"/>
          </c:dLbls>
          <c:xVal>
            <c:strRef>
              <c:f>'2022_Data'!$F$855</c:f>
            </c:strRef>
          </c:xVal>
          <c:yVal>
            <c:numRef>
              <c:f>'2022_Data'!$E$855</c:f>
              <c:numCache/>
            </c:numRef>
          </c:yVal>
          <c:bubbleSize>
            <c:numRef>
              <c:f>'2022_Data'!$G$855</c:f>
            </c:numRef>
          </c:bubbleSize>
        </c:ser>
        <c:ser>
          <c:idx val="854"/>
          <c:order val="854"/>
          <c:tx>
            <c:strRef>
              <c:f>'2022_Data'!$A$856</c:f>
            </c:strRef>
          </c:tx>
          <c:dLbls>
            <c:dLblPos val="ctr"/>
            <c:showLegendKey val="0"/>
            <c:showVal val="0"/>
            <c:showCatName val="0"/>
            <c:showSerName val="1"/>
            <c:showPercent val="0"/>
            <c:showBubbleSize val="0"/>
          </c:dLbls>
          <c:xVal>
            <c:strRef>
              <c:f>'2022_Data'!$F$856</c:f>
            </c:strRef>
          </c:xVal>
          <c:yVal>
            <c:numRef>
              <c:f>'2022_Data'!$E$856</c:f>
              <c:numCache/>
            </c:numRef>
          </c:yVal>
          <c:bubbleSize>
            <c:numRef>
              <c:f>'2022_Data'!$G$856</c:f>
            </c:numRef>
          </c:bubbleSize>
        </c:ser>
        <c:ser>
          <c:idx val="855"/>
          <c:order val="855"/>
          <c:tx>
            <c:strRef>
              <c:f>'2022_Data'!$A$857</c:f>
            </c:strRef>
          </c:tx>
          <c:dLbls>
            <c:dLblPos val="ctr"/>
            <c:showLegendKey val="0"/>
            <c:showVal val="0"/>
            <c:showCatName val="0"/>
            <c:showSerName val="1"/>
            <c:showPercent val="0"/>
            <c:showBubbleSize val="0"/>
          </c:dLbls>
          <c:xVal>
            <c:strRef>
              <c:f>'2022_Data'!$F$857</c:f>
            </c:strRef>
          </c:xVal>
          <c:yVal>
            <c:numRef>
              <c:f>'2022_Data'!$E$857</c:f>
              <c:numCache/>
            </c:numRef>
          </c:yVal>
          <c:bubbleSize>
            <c:numRef>
              <c:f>'2022_Data'!$G$857</c:f>
            </c:numRef>
          </c:bubbleSize>
        </c:ser>
        <c:ser>
          <c:idx val="856"/>
          <c:order val="856"/>
          <c:tx>
            <c:strRef>
              <c:f>'2022_Data'!$A$858</c:f>
            </c:strRef>
          </c:tx>
          <c:dLbls>
            <c:dLblPos val="ctr"/>
            <c:showLegendKey val="0"/>
            <c:showVal val="0"/>
            <c:showCatName val="0"/>
            <c:showSerName val="1"/>
            <c:showPercent val="0"/>
            <c:showBubbleSize val="0"/>
          </c:dLbls>
          <c:xVal>
            <c:strRef>
              <c:f>'2022_Data'!$F$858</c:f>
            </c:strRef>
          </c:xVal>
          <c:yVal>
            <c:numRef>
              <c:f>'2022_Data'!$E$858</c:f>
              <c:numCache/>
            </c:numRef>
          </c:yVal>
          <c:bubbleSize>
            <c:numRef>
              <c:f>'2022_Data'!$G$858</c:f>
            </c:numRef>
          </c:bubbleSize>
        </c:ser>
        <c:ser>
          <c:idx val="857"/>
          <c:order val="857"/>
          <c:tx>
            <c:strRef>
              <c:f>'2022_Data'!$A$859</c:f>
            </c:strRef>
          </c:tx>
          <c:dLbls>
            <c:dLblPos val="ctr"/>
            <c:showLegendKey val="0"/>
            <c:showVal val="0"/>
            <c:showCatName val="0"/>
            <c:showSerName val="1"/>
            <c:showPercent val="0"/>
            <c:showBubbleSize val="0"/>
          </c:dLbls>
          <c:xVal>
            <c:strRef>
              <c:f>'2022_Data'!$F$859</c:f>
            </c:strRef>
          </c:xVal>
          <c:yVal>
            <c:numRef>
              <c:f>'2022_Data'!$E$859</c:f>
              <c:numCache/>
            </c:numRef>
          </c:yVal>
          <c:bubbleSize>
            <c:numRef>
              <c:f>'2022_Data'!$G$859</c:f>
            </c:numRef>
          </c:bubbleSize>
        </c:ser>
        <c:ser>
          <c:idx val="858"/>
          <c:order val="858"/>
          <c:tx>
            <c:strRef>
              <c:f>'2022_Data'!$A$860</c:f>
            </c:strRef>
          </c:tx>
          <c:dLbls>
            <c:dLblPos val="ctr"/>
            <c:showLegendKey val="0"/>
            <c:showVal val="0"/>
            <c:showCatName val="0"/>
            <c:showSerName val="1"/>
            <c:showPercent val="0"/>
            <c:showBubbleSize val="0"/>
          </c:dLbls>
          <c:xVal>
            <c:strRef>
              <c:f>'2022_Data'!$F$860</c:f>
            </c:strRef>
          </c:xVal>
          <c:yVal>
            <c:numRef>
              <c:f>'2022_Data'!$E$860</c:f>
              <c:numCache/>
            </c:numRef>
          </c:yVal>
          <c:bubbleSize>
            <c:numRef>
              <c:f>'2022_Data'!$G$860</c:f>
            </c:numRef>
          </c:bubbleSize>
        </c:ser>
        <c:ser>
          <c:idx val="859"/>
          <c:order val="859"/>
          <c:tx>
            <c:strRef>
              <c:f>'2022_Data'!$A$861</c:f>
            </c:strRef>
          </c:tx>
          <c:dLbls>
            <c:dLblPos val="ctr"/>
            <c:showLegendKey val="0"/>
            <c:showVal val="0"/>
            <c:showCatName val="0"/>
            <c:showSerName val="1"/>
            <c:showPercent val="0"/>
            <c:showBubbleSize val="0"/>
          </c:dLbls>
          <c:xVal>
            <c:strRef>
              <c:f>'2022_Data'!$F$861</c:f>
            </c:strRef>
          </c:xVal>
          <c:yVal>
            <c:numRef>
              <c:f>'2022_Data'!$E$861</c:f>
              <c:numCache/>
            </c:numRef>
          </c:yVal>
          <c:bubbleSize>
            <c:numRef>
              <c:f>'2022_Data'!$G$861</c:f>
            </c:numRef>
          </c:bubbleSize>
        </c:ser>
        <c:ser>
          <c:idx val="860"/>
          <c:order val="860"/>
          <c:tx>
            <c:strRef>
              <c:f>'2022_Data'!$A$862</c:f>
            </c:strRef>
          </c:tx>
          <c:dLbls>
            <c:dLblPos val="ctr"/>
            <c:showLegendKey val="0"/>
            <c:showVal val="0"/>
            <c:showCatName val="0"/>
            <c:showSerName val="1"/>
            <c:showPercent val="0"/>
            <c:showBubbleSize val="0"/>
          </c:dLbls>
          <c:xVal>
            <c:strRef>
              <c:f>'2022_Data'!$F$862</c:f>
            </c:strRef>
          </c:xVal>
          <c:yVal>
            <c:numRef>
              <c:f>'2022_Data'!$E$862</c:f>
              <c:numCache/>
            </c:numRef>
          </c:yVal>
          <c:bubbleSize>
            <c:numRef>
              <c:f>'2022_Data'!$G$862</c:f>
            </c:numRef>
          </c:bubbleSize>
        </c:ser>
        <c:ser>
          <c:idx val="861"/>
          <c:order val="861"/>
          <c:tx>
            <c:strRef>
              <c:f>'2022_Data'!$A$863</c:f>
            </c:strRef>
          </c:tx>
          <c:dLbls>
            <c:dLblPos val="ctr"/>
            <c:showLegendKey val="0"/>
            <c:showVal val="0"/>
            <c:showCatName val="0"/>
            <c:showSerName val="1"/>
            <c:showPercent val="0"/>
            <c:showBubbleSize val="0"/>
          </c:dLbls>
          <c:xVal>
            <c:strRef>
              <c:f>'2022_Data'!$F$863</c:f>
            </c:strRef>
          </c:xVal>
          <c:yVal>
            <c:numRef>
              <c:f>'2022_Data'!$E$863</c:f>
              <c:numCache/>
            </c:numRef>
          </c:yVal>
          <c:bubbleSize>
            <c:numRef>
              <c:f>'2022_Data'!$G$863</c:f>
            </c:numRef>
          </c:bubbleSize>
        </c:ser>
        <c:ser>
          <c:idx val="862"/>
          <c:order val="862"/>
          <c:tx>
            <c:strRef>
              <c:f>'2022_Data'!$A$864</c:f>
            </c:strRef>
          </c:tx>
          <c:dLbls>
            <c:dLblPos val="ctr"/>
            <c:showLegendKey val="0"/>
            <c:showVal val="0"/>
            <c:showCatName val="0"/>
            <c:showSerName val="1"/>
            <c:showPercent val="0"/>
            <c:showBubbleSize val="0"/>
          </c:dLbls>
          <c:xVal>
            <c:strRef>
              <c:f>'2022_Data'!$F$864</c:f>
            </c:strRef>
          </c:xVal>
          <c:yVal>
            <c:numRef>
              <c:f>'2022_Data'!$E$864</c:f>
              <c:numCache/>
            </c:numRef>
          </c:yVal>
          <c:bubbleSize>
            <c:numRef>
              <c:f>'2022_Data'!$G$864</c:f>
            </c:numRef>
          </c:bubbleSize>
        </c:ser>
        <c:ser>
          <c:idx val="863"/>
          <c:order val="863"/>
          <c:tx>
            <c:strRef>
              <c:f>'2022_Data'!$A$865</c:f>
            </c:strRef>
          </c:tx>
          <c:dLbls>
            <c:dLblPos val="ctr"/>
            <c:showLegendKey val="0"/>
            <c:showVal val="0"/>
            <c:showCatName val="0"/>
            <c:showSerName val="1"/>
            <c:showPercent val="0"/>
            <c:showBubbleSize val="0"/>
          </c:dLbls>
          <c:xVal>
            <c:strRef>
              <c:f>'2022_Data'!$F$865</c:f>
            </c:strRef>
          </c:xVal>
          <c:yVal>
            <c:numRef>
              <c:f>'2022_Data'!$E$865</c:f>
              <c:numCache/>
            </c:numRef>
          </c:yVal>
          <c:bubbleSize>
            <c:numRef>
              <c:f>'2022_Data'!$G$865</c:f>
            </c:numRef>
          </c:bubbleSize>
        </c:ser>
        <c:ser>
          <c:idx val="864"/>
          <c:order val="864"/>
          <c:tx>
            <c:strRef>
              <c:f>'2022_Data'!$A$866</c:f>
            </c:strRef>
          </c:tx>
          <c:dLbls>
            <c:dLblPos val="ctr"/>
            <c:showLegendKey val="0"/>
            <c:showVal val="0"/>
            <c:showCatName val="0"/>
            <c:showSerName val="1"/>
            <c:showPercent val="0"/>
            <c:showBubbleSize val="0"/>
          </c:dLbls>
          <c:xVal>
            <c:strRef>
              <c:f>'2022_Data'!$F$866</c:f>
            </c:strRef>
          </c:xVal>
          <c:yVal>
            <c:numRef>
              <c:f>'2022_Data'!$E$866</c:f>
              <c:numCache/>
            </c:numRef>
          </c:yVal>
          <c:bubbleSize>
            <c:numRef>
              <c:f>'2022_Data'!$G$866</c:f>
            </c:numRef>
          </c:bubbleSize>
        </c:ser>
        <c:ser>
          <c:idx val="865"/>
          <c:order val="865"/>
          <c:tx>
            <c:strRef>
              <c:f>'2022_Data'!$A$867</c:f>
            </c:strRef>
          </c:tx>
          <c:dLbls>
            <c:dLblPos val="ctr"/>
            <c:showLegendKey val="0"/>
            <c:showVal val="0"/>
            <c:showCatName val="0"/>
            <c:showSerName val="1"/>
            <c:showPercent val="0"/>
            <c:showBubbleSize val="0"/>
          </c:dLbls>
          <c:xVal>
            <c:strRef>
              <c:f>'2022_Data'!$F$867</c:f>
            </c:strRef>
          </c:xVal>
          <c:yVal>
            <c:numRef>
              <c:f>'2022_Data'!$E$867</c:f>
              <c:numCache/>
            </c:numRef>
          </c:yVal>
          <c:bubbleSize>
            <c:numRef>
              <c:f>'2022_Data'!$G$867</c:f>
            </c:numRef>
          </c:bubbleSize>
        </c:ser>
        <c:ser>
          <c:idx val="866"/>
          <c:order val="866"/>
          <c:tx>
            <c:strRef>
              <c:f>'2022_Data'!$A$868</c:f>
            </c:strRef>
          </c:tx>
          <c:dLbls>
            <c:dLblPos val="ctr"/>
            <c:showLegendKey val="0"/>
            <c:showVal val="0"/>
            <c:showCatName val="0"/>
            <c:showSerName val="1"/>
            <c:showPercent val="0"/>
            <c:showBubbleSize val="0"/>
          </c:dLbls>
          <c:xVal>
            <c:strRef>
              <c:f>'2022_Data'!$F$868</c:f>
            </c:strRef>
          </c:xVal>
          <c:yVal>
            <c:numRef>
              <c:f>'2022_Data'!$E$868</c:f>
              <c:numCache/>
            </c:numRef>
          </c:yVal>
          <c:bubbleSize>
            <c:numRef>
              <c:f>'2022_Data'!$G$868</c:f>
            </c:numRef>
          </c:bubbleSize>
        </c:ser>
        <c:ser>
          <c:idx val="867"/>
          <c:order val="867"/>
          <c:tx>
            <c:strRef>
              <c:f>'2022_Data'!$A$869</c:f>
            </c:strRef>
          </c:tx>
          <c:dLbls>
            <c:dLblPos val="ctr"/>
            <c:showLegendKey val="0"/>
            <c:showVal val="0"/>
            <c:showCatName val="0"/>
            <c:showSerName val="1"/>
            <c:showPercent val="0"/>
            <c:showBubbleSize val="0"/>
          </c:dLbls>
          <c:xVal>
            <c:strRef>
              <c:f>'2022_Data'!$F$869</c:f>
            </c:strRef>
          </c:xVal>
          <c:yVal>
            <c:numRef>
              <c:f>'2022_Data'!$E$869</c:f>
              <c:numCache/>
            </c:numRef>
          </c:yVal>
          <c:bubbleSize>
            <c:numRef>
              <c:f>'2022_Data'!$G$869</c:f>
            </c:numRef>
          </c:bubbleSize>
        </c:ser>
        <c:ser>
          <c:idx val="868"/>
          <c:order val="868"/>
          <c:tx>
            <c:strRef>
              <c:f>'2022_Data'!$A$870</c:f>
            </c:strRef>
          </c:tx>
          <c:dLbls>
            <c:dLblPos val="ctr"/>
            <c:showLegendKey val="0"/>
            <c:showVal val="0"/>
            <c:showCatName val="0"/>
            <c:showSerName val="1"/>
            <c:showPercent val="0"/>
            <c:showBubbleSize val="0"/>
          </c:dLbls>
          <c:xVal>
            <c:strRef>
              <c:f>'2022_Data'!$F$870</c:f>
            </c:strRef>
          </c:xVal>
          <c:yVal>
            <c:numRef>
              <c:f>'2022_Data'!$E$870</c:f>
              <c:numCache/>
            </c:numRef>
          </c:yVal>
          <c:bubbleSize>
            <c:numRef>
              <c:f>'2022_Data'!$G$870</c:f>
            </c:numRef>
          </c:bubbleSize>
        </c:ser>
        <c:ser>
          <c:idx val="869"/>
          <c:order val="869"/>
          <c:tx>
            <c:strRef>
              <c:f>'2022_Data'!$A$871</c:f>
            </c:strRef>
          </c:tx>
          <c:dLbls>
            <c:dLblPos val="ctr"/>
            <c:showLegendKey val="0"/>
            <c:showVal val="0"/>
            <c:showCatName val="0"/>
            <c:showSerName val="1"/>
            <c:showPercent val="0"/>
            <c:showBubbleSize val="0"/>
          </c:dLbls>
          <c:xVal>
            <c:strRef>
              <c:f>'2022_Data'!$F$871</c:f>
            </c:strRef>
          </c:xVal>
          <c:yVal>
            <c:numRef>
              <c:f>'2022_Data'!$E$871</c:f>
              <c:numCache/>
            </c:numRef>
          </c:yVal>
          <c:bubbleSize>
            <c:numRef>
              <c:f>'2022_Data'!$G$871</c:f>
            </c:numRef>
          </c:bubbleSize>
        </c:ser>
        <c:ser>
          <c:idx val="870"/>
          <c:order val="870"/>
          <c:tx>
            <c:strRef>
              <c:f>'2022_Data'!$A$872</c:f>
            </c:strRef>
          </c:tx>
          <c:dLbls>
            <c:dLblPos val="ctr"/>
            <c:showLegendKey val="0"/>
            <c:showVal val="0"/>
            <c:showCatName val="0"/>
            <c:showSerName val="1"/>
            <c:showPercent val="0"/>
            <c:showBubbleSize val="0"/>
          </c:dLbls>
          <c:xVal>
            <c:strRef>
              <c:f>'2022_Data'!$F$872</c:f>
            </c:strRef>
          </c:xVal>
          <c:yVal>
            <c:numRef>
              <c:f>'2022_Data'!$E$872</c:f>
              <c:numCache/>
            </c:numRef>
          </c:yVal>
          <c:bubbleSize>
            <c:numRef>
              <c:f>'2022_Data'!$G$872</c:f>
            </c:numRef>
          </c:bubbleSize>
        </c:ser>
        <c:ser>
          <c:idx val="871"/>
          <c:order val="871"/>
          <c:tx>
            <c:strRef>
              <c:f>'2022_Data'!$A$873</c:f>
            </c:strRef>
          </c:tx>
          <c:dLbls>
            <c:dLblPos val="ctr"/>
            <c:showLegendKey val="0"/>
            <c:showVal val="0"/>
            <c:showCatName val="0"/>
            <c:showSerName val="1"/>
            <c:showPercent val="0"/>
            <c:showBubbleSize val="0"/>
          </c:dLbls>
          <c:xVal>
            <c:strRef>
              <c:f>'2022_Data'!$F$873</c:f>
            </c:strRef>
          </c:xVal>
          <c:yVal>
            <c:numRef>
              <c:f>'2022_Data'!$E$873</c:f>
              <c:numCache/>
            </c:numRef>
          </c:yVal>
          <c:bubbleSize>
            <c:numRef>
              <c:f>'2022_Data'!$G$873</c:f>
            </c:numRef>
          </c:bubbleSize>
        </c:ser>
        <c:ser>
          <c:idx val="872"/>
          <c:order val="872"/>
          <c:tx>
            <c:strRef>
              <c:f>'2022_Data'!$A$874</c:f>
            </c:strRef>
          </c:tx>
          <c:dLbls>
            <c:dLblPos val="ctr"/>
            <c:showLegendKey val="0"/>
            <c:showVal val="0"/>
            <c:showCatName val="0"/>
            <c:showSerName val="1"/>
            <c:showPercent val="0"/>
            <c:showBubbleSize val="0"/>
          </c:dLbls>
          <c:xVal>
            <c:strRef>
              <c:f>'2022_Data'!$F$874</c:f>
            </c:strRef>
          </c:xVal>
          <c:yVal>
            <c:numRef>
              <c:f>'2022_Data'!$E$874</c:f>
              <c:numCache/>
            </c:numRef>
          </c:yVal>
          <c:bubbleSize>
            <c:numRef>
              <c:f>'2022_Data'!$G$874</c:f>
            </c:numRef>
          </c:bubbleSize>
        </c:ser>
        <c:ser>
          <c:idx val="873"/>
          <c:order val="873"/>
          <c:tx>
            <c:strRef>
              <c:f>'2022_Data'!$A$875</c:f>
            </c:strRef>
          </c:tx>
          <c:dLbls>
            <c:dLblPos val="ctr"/>
            <c:showLegendKey val="0"/>
            <c:showVal val="0"/>
            <c:showCatName val="0"/>
            <c:showSerName val="1"/>
            <c:showPercent val="0"/>
            <c:showBubbleSize val="0"/>
          </c:dLbls>
          <c:xVal>
            <c:strRef>
              <c:f>'2022_Data'!$F$875</c:f>
            </c:strRef>
          </c:xVal>
          <c:yVal>
            <c:numRef>
              <c:f>'2022_Data'!$E$875</c:f>
              <c:numCache/>
            </c:numRef>
          </c:yVal>
          <c:bubbleSize>
            <c:numRef>
              <c:f>'2022_Data'!$G$875</c:f>
            </c:numRef>
          </c:bubbleSize>
        </c:ser>
        <c:ser>
          <c:idx val="874"/>
          <c:order val="874"/>
          <c:tx>
            <c:strRef>
              <c:f>'2022_Data'!$A$876</c:f>
            </c:strRef>
          </c:tx>
          <c:dLbls>
            <c:dLblPos val="ctr"/>
            <c:showLegendKey val="0"/>
            <c:showVal val="0"/>
            <c:showCatName val="0"/>
            <c:showSerName val="1"/>
            <c:showPercent val="0"/>
            <c:showBubbleSize val="0"/>
          </c:dLbls>
          <c:xVal>
            <c:strRef>
              <c:f>'2022_Data'!$F$876</c:f>
            </c:strRef>
          </c:xVal>
          <c:yVal>
            <c:numRef>
              <c:f>'2022_Data'!$E$876</c:f>
              <c:numCache/>
            </c:numRef>
          </c:yVal>
          <c:bubbleSize>
            <c:numRef>
              <c:f>'2022_Data'!$G$876</c:f>
            </c:numRef>
          </c:bubbleSize>
        </c:ser>
        <c:ser>
          <c:idx val="875"/>
          <c:order val="875"/>
          <c:tx>
            <c:strRef>
              <c:f>'2022_Data'!$A$877</c:f>
            </c:strRef>
          </c:tx>
          <c:dLbls>
            <c:dLblPos val="ctr"/>
            <c:showLegendKey val="0"/>
            <c:showVal val="0"/>
            <c:showCatName val="0"/>
            <c:showSerName val="1"/>
            <c:showPercent val="0"/>
            <c:showBubbleSize val="0"/>
          </c:dLbls>
          <c:xVal>
            <c:strRef>
              <c:f>'2022_Data'!$F$877</c:f>
            </c:strRef>
          </c:xVal>
          <c:yVal>
            <c:numRef>
              <c:f>'2022_Data'!$E$877</c:f>
              <c:numCache/>
            </c:numRef>
          </c:yVal>
          <c:bubbleSize>
            <c:numRef>
              <c:f>'2022_Data'!$G$877</c:f>
            </c:numRef>
          </c:bubbleSize>
        </c:ser>
        <c:ser>
          <c:idx val="876"/>
          <c:order val="876"/>
          <c:tx>
            <c:strRef>
              <c:f>'2022_Data'!$A$878</c:f>
            </c:strRef>
          </c:tx>
          <c:dLbls>
            <c:dLblPos val="ctr"/>
            <c:showLegendKey val="0"/>
            <c:showVal val="0"/>
            <c:showCatName val="0"/>
            <c:showSerName val="1"/>
            <c:showPercent val="0"/>
            <c:showBubbleSize val="0"/>
          </c:dLbls>
          <c:xVal>
            <c:strRef>
              <c:f>'2022_Data'!$F$878</c:f>
            </c:strRef>
          </c:xVal>
          <c:yVal>
            <c:numRef>
              <c:f>'2022_Data'!$E$878</c:f>
              <c:numCache/>
            </c:numRef>
          </c:yVal>
          <c:bubbleSize>
            <c:numRef>
              <c:f>'2022_Data'!$G$878</c:f>
            </c:numRef>
          </c:bubbleSize>
        </c:ser>
        <c:ser>
          <c:idx val="877"/>
          <c:order val="877"/>
          <c:tx>
            <c:strRef>
              <c:f>'2022_Data'!$A$879</c:f>
            </c:strRef>
          </c:tx>
          <c:dLbls>
            <c:dLblPos val="ctr"/>
            <c:showLegendKey val="0"/>
            <c:showVal val="0"/>
            <c:showCatName val="0"/>
            <c:showSerName val="1"/>
            <c:showPercent val="0"/>
            <c:showBubbleSize val="0"/>
          </c:dLbls>
          <c:xVal>
            <c:strRef>
              <c:f>'2022_Data'!$F$879</c:f>
            </c:strRef>
          </c:xVal>
          <c:yVal>
            <c:numRef>
              <c:f>'2022_Data'!$E$879</c:f>
              <c:numCache/>
            </c:numRef>
          </c:yVal>
          <c:bubbleSize>
            <c:numRef>
              <c:f>'2022_Data'!$G$879</c:f>
            </c:numRef>
          </c:bubbleSize>
        </c:ser>
        <c:ser>
          <c:idx val="878"/>
          <c:order val="878"/>
          <c:tx>
            <c:strRef>
              <c:f>'2022_Data'!$A$880</c:f>
            </c:strRef>
          </c:tx>
          <c:dLbls>
            <c:dLblPos val="ctr"/>
            <c:showLegendKey val="0"/>
            <c:showVal val="0"/>
            <c:showCatName val="0"/>
            <c:showSerName val="1"/>
            <c:showPercent val="0"/>
            <c:showBubbleSize val="0"/>
          </c:dLbls>
          <c:xVal>
            <c:strRef>
              <c:f>'2022_Data'!$F$880</c:f>
            </c:strRef>
          </c:xVal>
          <c:yVal>
            <c:numRef>
              <c:f>'2022_Data'!$E$880</c:f>
              <c:numCache/>
            </c:numRef>
          </c:yVal>
          <c:bubbleSize>
            <c:numRef>
              <c:f>'2022_Data'!$G$880</c:f>
            </c:numRef>
          </c:bubbleSize>
        </c:ser>
        <c:ser>
          <c:idx val="879"/>
          <c:order val="879"/>
          <c:tx>
            <c:strRef>
              <c:f>'2022_Data'!$A$881</c:f>
            </c:strRef>
          </c:tx>
          <c:dLbls>
            <c:dLblPos val="ctr"/>
            <c:showLegendKey val="0"/>
            <c:showVal val="0"/>
            <c:showCatName val="0"/>
            <c:showSerName val="1"/>
            <c:showPercent val="0"/>
            <c:showBubbleSize val="0"/>
          </c:dLbls>
          <c:xVal>
            <c:strRef>
              <c:f>'2022_Data'!$F$881</c:f>
            </c:strRef>
          </c:xVal>
          <c:yVal>
            <c:numRef>
              <c:f>'2022_Data'!$E$881</c:f>
              <c:numCache/>
            </c:numRef>
          </c:yVal>
          <c:bubbleSize>
            <c:numRef>
              <c:f>'2022_Data'!$G$881</c:f>
            </c:numRef>
          </c:bubbleSize>
        </c:ser>
        <c:ser>
          <c:idx val="880"/>
          <c:order val="880"/>
          <c:tx>
            <c:strRef>
              <c:f>'2022_Data'!$A$882</c:f>
            </c:strRef>
          </c:tx>
          <c:dLbls>
            <c:dLblPos val="ctr"/>
            <c:showLegendKey val="0"/>
            <c:showVal val="0"/>
            <c:showCatName val="0"/>
            <c:showSerName val="1"/>
            <c:showPercent val="0"/>
            <c:showBubbleSize val="0"/>
          </c:dLbls>
          <c:xVal>
            <c:strRef>
              <c:f>'2022_Data'!$F$882</c:f>
            </c:strRef>
          </c:xVal>
          <c:yVal>
            <c:numRef>
              <c:f>'2022_Data'!$E$882</c:f>
              <c:numCache/>
            </c:numRef>
          </c:yVal>
          <c:bubbleSize>
            <c:numRef>
              <c:f>'2022_Data'!$G$882</c:f>
            </c:numRef>
          </c:bubbleSize>
        </c:ser>
        <c:ser>
          <c:idx val="881"/>
          <c:order val="881"/>
          <c:tx>
            <c:strRef>
              <c:f>'2022_Data'!$A$883</c:f>
            </c:strRef>
          </c:tx>
          <c:dLbls>
            <c:dLblPos val="ctr"/>
            <c:showLegendKey val="0"/>
            <c:showVal val="0"/>
            <c:showCatName val="0"/>
            <c:showSerName val="1"/>
            <c:showPercent val="0"/>
            <c:showBubbleSize val="0"/>
          </c:dLbls>
          <c:xVal>
            <c:strRef>
              <c:f>'2022_Data'!$F$883</c:f>
            </c:strRef>
          </c:xVal>
          <c:yVal>
            <c:numRef>
              <c:f>'2022_Data'!$E$883</c:f>
              <c:numCache/>
            </c:numRef>
          </c:yVal>
          <c:bubbleSize>
            <c:numRef>
              <c:f>'2022_Data'!$G$883</c:f>
            </c:numRef>
          </c:bubbleSize>
        </c:ser>
        <c:ser>
          <c:idx val="882"/>
          <c:order val="882"/>
          <c:tx>
            <c:strRef>
              <c:f>'2022_Data'!$A$884</c:f>
            </c:strRef>
          </c:tx>
          <c:dLbls>
            <c:dLblPos val="ctr"/>
            <c:showLegendKey val="0"/>
            <c:showVal val="0"/>
            <c:showCatName val="0"/>
            <c:showSerName val="1"/>
            <c:showPercent val="0"/>
            <c:showBubbleSize val="0"/>
          </c:dLbls>
          <c:xVal>
            <c:strRef>
              <c:f>'2022_Data'!$F$884</c:f>
            </c:strRef>
          </c:xVal>
          <c:yVal>
            <c:numRef>
              <c:f>'2022_Data'!$E$884</c:f>
              <c:numCache/>
            </c:numRef>
          </c:yVal>
          <c:bubbleSize>
            <c:numRef>
              <c:f>'2022_Data'!$G$884</c:f>
            </c:numRef>
          </c:bubbleSize>
        </c:ser>
        <c:ser>
          <c:idx val="883"/>
          <c:order val="883"/>
          <c:tx>
            <c:strRef>
              <c:f>'2022_Data'!$A$885</c:f>
            </c:strRef>
          </c:tx>
          <c:dLbls>
            <c:dLblPos val="ctr"/>
            <c:showLegendKey val="0"/>
            <c:showVal val="0"/>
            <c:showCatName val="0"/>
            <c:showSerName val="1"/>
            <c:showPercent val="0"/>
            <c:showBubbleSize val="0"/>
          </c:dLbls>
          <c:xVal>
            <c:strRef>
              <c:f>'2022_Data'!$F$885</c:f>
            </c:strRef>
          </c:xVal>
          <c:yVal>
            <c:numRef>
              <c:f>'2022_Data'!$E$885</c:f>
              <c:numCache/>
            </c:numRef>
          </c:yVal>
          <c:bubbleSize>
            <c:numRef>
              <c:f>'2022_Data'!$G$885</c:f>
            </c:numRef>
          </c:bubbleSize>
        </c:ser>
        <c:ser>
          <c:idx val="884"/>
          <c:order val="884"/>
          <c:tx>
            <c:strRef>
              <c:f>'2022_Data'!$A$886</c:f>
            </c:strRef>
          </c:tx>
          <c:dLbls>
            <c:dLblPos val="ctr"/>
            <c:showLegendKey val="0"/>
            <c:showVal val="0"/>
            <c:showCatName val="0"/>
            <c:showSerName val="1"/>
            <c:showPercent val="0"/>
            <c:showBubbleSize val="0"/>
          </c:dLbls>
          <c:xVal>
            <c:strRef>
              <c:f>'2022_Data'!$F$886</c:f>
            </c:strRef>
          </c:xVal>
          <c:yVal>
            <c:numRef>
              <c:f>'2022_Data'!$E$886</c:f>
              <c:numCache/>
            </c:numRef>
          </c:yVal>
          <c:bubbleSize>
            <c:numRef>
              <c:f>'2022_Data'!$G$886</c:f>
            </c:numRef>
          </c:bubbleSize>
        </c:ser>
        <c:ser>
          <c:idx val="885"/>
          <c:order val="885"/>
          <c:tx>
            <c:strRef>
              <c:f>'2022_Data'!$A$887</c:f>
            </c:strRef>
          </c:tx>
          <c:dLbls>
            <c:dLblPos val="ctr"/>
            <c:showLegendKey val="0"/>
            <c:showVal val="0"/>
            <c:showCatName val="0"/>
            <c:showSerName val="1"/>
            <c:showPercent val="0"/>
            <c:showBubbleSize val="0"/>
          </c:dLbls>
          <c:xVal>
            <c:strRef>
              <c:f>'2022_Data'!$F$887</c:f>
            </c:strRef>
          </c:xVal>
          <c:yVal>
            <c:numRef>
              <c:f>'2022_Data'!$E$887</c:f>
              <c:numCache/>
            </c:numRef>
          </c:yVal>
          <c:bubbleSize>
            <c:numRef>
              <c:f>'2022_Data'!$G$887</c:f>
            </c:numRef>
          </c:bubbleSize>
        </c:ser>
        <c:ser>
          <c:idx val="886"/>
          <c:order val="886"/>
          <c:tx>
            <c:strRef>
              <c:f>'2022_Data'!$A$888</c:f>
            </c:strRef>
          </c:tx>
          <c:dLbls>
            <c:dLblPos val="ctr"/>
            <c:showLegendKey val="0"/>
            <c:showVal val="0"/>
            <c:showCatName val="0"/>
            <c:showSerName val="1"/>
            <c:showPercent val="0"/>
            <c:showBubbleSize val="0"/>
          </c:dLbls>
          <c:xVal>
            <c:strRef>
              <c:f>'2022_Data'!$F$888</c:f>
            </c:strRef>
          </c:xVal>
          <c:yVal>
            <c:numRef>
              <c:f>'2022_Data'!$E$888</c:f>
              <c:numCache/>
            </c:numRef>
          </c:yVal>
          <c:bubbleSize>
            <c:numRef>
              <c:f>'2022_Data'!$G$888</c:f>
            </c:numRef>
          </c:bubbleSize>
        </c:ser>
        <c:ser>
          <c:idx val="887"/>
          <c:order val="887"/>
          <c:tx>
            <c:strRef>
              <c:f>'2022_Data'!$A$889</c:f>
            </c:strRef>
          </c:tx>
          <c:dLbls>
            <c:dLblPos val="ctr"/>
            <c:showLegendKey val="0"/>
            <c:showVal val="0"/>
            <c:showCatName val="0"/>
            <c:showSerName val="1"/>
            <c:showPercent val="0"/>
            <c:showBubbleSize val="0"/>
          </c:dLbls>
          <c:xVal>
            <c:strRef>
              <c:f>'2022_Data'!$F$889</c:f>
            </c:strRef>
          </c:xVal>
          <c:yVal>
            <c:numRef>
              <c:f>'2022_Data'!$E$889</c:f>
              <c:numCache/>
            </c:numRef>
          </c:yVal>
          <c:bubbleSize>
            <c:numRef>
              <c:f>'2022_Data'!$G$889</c:f>
            </c:numRef>
          </c:bubbleSize>
        </c:ser>
        <c:ser>
          <c:idx val="888"/>
          <c:order val="888"/>
          <c:tx>
            <c:strRef>
              <c:f>'2022_Data'!$A$890</c:f>
            </c:strRef>
          </c:tx>
          <c:dLbls>
            <c:dLblPos val="ctr"/>
            <c:showLegendKey val="0"/>
            <c:showVal val="0"/>
            <c:showCatName val="0"/>
            <c:showSerName val="1"/>
            <c:showPercent val="0"/>
            <c:showBubbleSize val="0"/>
          </c:dLbls>
          <c:xVal>
            <c:strRef>
              <c:f>'2022_Data'!$F$890</c:f>
            </c:strRef>
          </c:xVal>
          <c:yVal>
            <c:numRef>
              <c:f>'2022_Data'!$E$890</c:f>
              <c:numCache/>
            </c:numRef>
          </c:yVal>
          <c:bubbleSize>
            <c:numRef>
              <c:f>'2022_Data'!$G$890</c:f>
            </c:numRef>
          </c:bubbleSize>
        </c:ser>
        <c:ser>
          <c:idx val="889"/>
          <c:order val="889"/>
          <c:tx>
            <c:strRef>
              <c:f>'2022_Data'!$A$891</c:f>
            </c:strRef>
          </c:tx>
          <c:dLbls>
            <c:dLblPos val="ctr"/>
            <c:showLegendKey val="0"/>
            <c:showVal val="0"/>
            <c:showCatName val="0"/>
            <c:showSerName val="1"/>
            <c:showPercent val="0"/>
            <c:showBubbleSize val="0"/>
          </c:dLbls>
          <c:xVal>
            <c:strRef>
              <c:f>'2022_Data'!$F$891</c:f>
            </c:strRef>
          </c:xVal>
          <c:yVal>
            <c:numRef>
              <c:f>'2022_Data'!$E$891</c:f>
              <c:numCache/>
            </c:numRef>
          </c:yVal>
          <c:bubbleSize>
            <c:numRef>
              <c:f>'2022_Data'!$G$891</c:f>
            </c:numRef>
          </c:bubbleSize>
        </c:ser>
        <c:ser>
          <c:idx val="890"/>
          <c:order val="890"/>
          <c:tx>
            <c:strRef>
              <c:f>'2022_Data'!$A$892</c:f>
            </c:strRef>
          </c:tx>
          <c:dLbls>
            <c:dLblPos val="ctr"/>
            <c:showLegendKey val="0"/>
            <c:showVal val="0"/>
            <c:showCatName val="0"/>
            <c:showSerName val="1"/>
            <c:showPercent val="0"/>
            <c:showBubbleSize val="0"/>
          </c:dLbls>
          <c:xVal>
            <c:strRef>
              <c:f>'2022_Data'!$F$892</c:f>
            </c:strRef>
          </c:xVal>
          <c:yVal>
            <c:numRef>
              <c:f>'2022_Data'!$E$892</c:f>
              <c:numCache/>
            </c:numRef>
          </c:yVal>
          <c:bubbleSize>
            <c:numRef>
              <c:f>'2022_Data'!$G$892</c:f>
            </c:numRef>
          </c:bubbleSize>
        </c:ser>
        <c:ser>
          <c:idx val="891"/>
          <c:order val="891"/>
          <c:tx>
            <c:strRef>
              <c:f>'2022_Data'!$A$893</c:f>
            </c:strRef>
          </c:tx>
          <c:dLbls>
            <c:dLblPos val="ctr"/>
            <c:showLegendKey val="0"/>
            <c:showVal val="0"/>
            <c:showCatName val="0"/>
            <c:showSerName val="1"/>
            <c:showPercent val="0"/>
            <c:showBubbleSize val="0"/>
          </c:dLbls>
          <c:xVal>
            <c:strRef>
              <c:f>'2022_Data'!$F$893</c:f>
            </c:strRef>
          </c:xVal>
          <c:yVal>
            <c:numRef>
              <c:f>'2022_Data'!$E$893</c:f>
              <c:numCache/>
            </c:numRef>
          </c:yVal>
          <c:bubbleSize>
            <c:numRef>
              <c:f>'2022_Data'!$G$893</c:f>
            </c:numRef>
          </c:bubbleSize>
        </c:ser>
        <c:ser>
          <c:idx val="892"/>
          <c:order val="892"/>
          <c:tx>
            <c:strRef>
              <c:f>'2022_Data'!$A$894</c:f>
            </c:strRef>
          </c:tx>
          <c:dLbls>
            <c:dLblPos val="ctr"/>
            <c:showLegendKey val="0"/>
            <c:showVal val="0"/>
            <c:showCatName val="0"/>
            <c:showSerName val="1"/>
            <c:showPercent val="0"/>
            <c:showBubbleSize val="0"/>
          </c:dLbls>
          <c:xVal>
            <c:strRef>
              <c:f>'2022_Data'!$F$894</c:f>
            </c:strRef>
          </c:xVal>
          <c:yVal>
            <c:numRef>
              <c:f>'2022_Data'!$E$894</c:f>
              <c:numCache/>
            </c:numRef>
          </c:yVal>
          <c:bubbleSize>
            <c:numRef>
              <c:f>'2022_Data'!$G$894</c:f>
            </c:numRef>
          </c:bubbleSize>
        </c:ser>
        <c:ser>
          <c:idx val="893"/>
          <c:order val="893"/>
          <c:tx>
            <c:strRef>
              <c:f>'2022_Data'!$A$895</c:f>
            </c:strRef>
          </c:tx>
          <c:dLbls>
            <c:dLblPos val="ctr"/>
            <c:showLegendKey val="0"/>
            <c:showVal val="0"/>
            <c:showCatName val="0"/>
            <c:showSerName val="1"/>
            <c:showPercent val="0"/>
            <c:showBubbleSize val="0"/>
          </c:dLbls>
          <c:xVal>
            <c:strRef>
              <c:f>'2022_Data'!$F$895</c:f>
            </c:strRef>
          </c:xVal>
          <c:yVal>
            <c:numRef>
              <c:f>'2022_Data'!$E$895</c:f>
              <c:numCache/>
            </c:numRef>
          </c:yVal>
          <c:bubbleSize>
            <c:numRef>
              <c:f>'2022_Data'!$G$895</c:f>
            </c:numRef>
          </c:bubbleSize>
        </c:ser>
        <c:ser>
          <c:idx val="894"/>
          <c:order val="894"/>
          <c:tx>
            <c:strRef>
              <c:f>'2022_Data'!$A$896</c:f>
            </c:strRef>
          </c:tx>
          <c:dLbls>
            <c:dLblPos val="ctr"/>
            <c:showLegendKey val="0"/>
            <c:showVal val="0"/>
            <c:showCatName val="0"/>
            <c:showSerName val="1"/>
            <c:showPercent val="0"/>
            <c:showBubbleSize val="0"/>
          </c:dLbls>
          <c:xVal>
            <c:strRef>
              <c:f>'2022_Data'!$F$896</c:f>
            </c:strRef>
          </c:xVal>
          <c:yVal>
            <c:numRef>
              <c:f>'2022_Data'!$E$896</c:f>
              <c:numCache/>
            </c:numRef>
          </c:yVal>
          <c:bubbleSize>
            <c:numRef>
              <c:f>'2022_Data'!$G$896</c:f>
            </c:numRef>
          </c:bubbleSize>
        </c:ser>
        <c:ser>
          <c:idx val="895"/>
          <c:order val="895"/>
          <c:tx>
            <c:strRef>
              <c:f>'2022_Data'!$A$897</c:f>
            </c:strRef>
          </c:tx>
          <c:dLbls>
            <c:dLblPos val="ctr"/>
            <c:showLegendKey val="0"/>
            <c:showVal val="0"/>
            <c:showCatName val="0"/>
            <c:showSerName val="1"/>
            <c:showPercent val="0"/>
            <c:showBubbleSize val="0"/>
          </c:dLbls>
          <c:xVal>
            <c:strRef>
              <c:f>'2022_Data'!$F$897</c:f>
            </c:strRef>
          </c:xVal>
          <c:yVal>
            <c:numRef>
              <c:f>'2022_Data'!$E$897</c:f>
              <c:numCache/>
            </c:numRef>
          </c:yVal>
          <c:bubbleSize>
            <c:numRef>
              <c:f>'2022_Data'!$G$897</c:f>
            </c:numRef>
          </c:bubbleSize>
        </c:ser>
        <c:ser>
          <c:idx val="896"/>
          <c:order val="896"/>
          <c:tx>
            <c:strRef>
              <c:f>'2022_Data'!$A$898</c:f>
            </c:strRef>
          </c:tx>
          <c:dLbls>
            <c:dLblPos val="ctr"/>
            <c:showLegendKey val="0"/>
            <c:showVal val="0"/>
            <c:showCatName val="0"/>
            <c:showSerName val="1"/>
            <c:showPercent val="0"/>
            <c:showBubbleSize val="0"/>
          </c:dLbls>
          <c:xVal>
            <c:strRef>
              <c:f>'2022_Data'!$F$898</c:f>
            </c:strRef>
          </c:xVal>
          <c:yVal>
            <c:numRef>
              <c:f>'2022_Data'!$E$898</c:f>
              <c:numCache/>
            </c:numRef>
          </c:yVal>
          <c:bubbleSize>
            <c:numRef>
              <c:f>'2022_Data'!$G$898</c:f>
            </c:numRef>
          </c:bubbleSize>
        </c:ser>
        <c:ser>
          <c:idx val="897"/>
          <c:order val="897"/>
          <c:tx>
            <c:strRef>
              <c:f>'2022_Data'!$A$899</c:f>
            </c:strRef>
          </c:tx>
          <c:dLbls>
            <c:dLblPos val="ctr"/>
            <c:showLegendKey val="0"/>
            <c:showVal val="0"/>
            <c:showCatName val="0"/>
            <c:showSerName val="1"/>
            <c:showPercent val="0"/>
            <c:showBubbleSize val="0"/>
          </c:dLbls>
          <c:xVal>
            <c:strRef>
              <c:f>'2022_Data'!$F$899</c:f>
            </c:strRef>
          </c:xVal>
          <c:yVal>
            <c:numRef>
              <c:f>'2022_Data'!$E$899</c:f>
              <c:numCache/>
            </c:numRef>
          </c:yVal>
          <c:bubbleSize>
            <c:numRef>
              <c:f>'2022_Data'!$G$899</c:f>
            </c:numRef>
          </c:bubbleSize>
        </c:ser>
        <c:ser>
          <c:idx val="898"/>
          <c:order val="898"/>
          <c:tx>
            <c:strRef>
              <c:f>'2022_Data'!$A$900</c:f>
            </c:strRef>
          </c:tx>
          <c:dLbls>
            <c:dLblPos val="ctr"/>
            <c:showLegendKey val="0"/>
            <c:showVal val="0"/>
            <c:showCatName val="0"/>
            <c:showSerName val="1"/>
            <c:showPercent val="0"/>
            <c:showBubbleSize val="0"/>
          </c:dLbls>
          <c:xVal>
            <c:strRef>
              <c:f>'2022_Data'!$F$900</c:f>
            </c:strRef>
          </c:xVal>
          <c:yVal>
            <c:numRef>
              <c:f>'2022_Data'!$E$900</c:f>
              <c:numCache/>
            </c:numRef>
          </c:yVal>
          <c:bubbleSize>
            <c:numRef>
              <c:f>'2022_Data'!$G$900</c:f>
            </c:numRef>
          </c:bubbleSize>
        </c:ser>
        <c:ser>
          <c:idx val="899"/>
          <c:order val="899"/>
          <c:tx>
            <c:strRef>
              <c:f>'2022_Data'!$A$901</c:f>
            </c:strRef>
          </c:tx>
          <c:dLbls>
            <c:dLblPos val="ctr"/>
            <c:showLegendKey val="0"/>
            <c:showVal val="0"/>
            <c:showCatName val="0"/>
            <c:showSerName val="1"/>
            <c:showPercent val="0"/>
            <c:showBubbleSize val="0"/>
          </c:dLbls>
          <c:xVal>
            <c:strRef>
              <c:f>'2022_Data'!$F$901</c:f>
            </c:strRef>
          </c:xVal>
          <c:yVal>
            <c:numRef>
              <c:f>'2022_Data'!$E$901</c:f>
              <c:numCache/>
            </c:numRef>
          </c:yVal>
          <c:bubbleSize>
            <c:numRef>
              <c:f>'2022_Data'!$G$901</c:f>
            </c:numRef>
          </c:bubbleSize>
        </c:ser>
        <c:ser>
          <c:idx val="900"/>
          <c:order val="900"/>
          <c:tx>
            <c:strRef>
              <c:f>'2022_Data'!$A$902</c:f>
            </c:strRef>
          </c:tx>
          <c:dLbls>
            <c:dLblPos val="ctr"/>
            <c:showLegendKey val="0"/>
            <c:showVal val="0"/>
            <c:showCatName val="0"/>
            <c:showSerName val="1"/>
            <c:showPercent val="0"/>
            <c:showBubbleSize val="0"/>
          </c:dLbls>
          <c:xVal>
            <c:strRef>
              <c:f>'2022_Data'!$F$902</c:f>
            </c:strRef>
          </c:xVal>
          <c:yVal>
            <c:numRef>
              <c:f>'2022_Data'!$E$902</c:f>
              <c:numCache/>
            </c:numRef>
          </c:yVal>
          <c:bubbleSize>
            <c:numRef>
              <c:f>'2022_Data'!$G$902</c:f>
            </c:numRef>
          </c:bubbleSize>
        </c:ser>
        <c:ser>
          <c:idx val="901"/>
          <c:order val="901"/>
          <c:tx>
            <c:strRef>
              <c:f>'2022_Data'!$A$903</c:f>
            </c:strRef>
          </c:tx>
          <c:dLbls>
            <c:dLblPos val="ctr"/>
            <c:showLegendKey val="0"/>
            <c:showVal val="0"/>
            <c:showCatName val="0"/>
            <c:showSerName val="1"/>
            <c:showPercent val="0"/>
            <c:showBubbleSize val="0"/>
          </c:dLbls>
          <c:xVal>
            <c:strRef>
              <c:f>'2022_Data'!$F$903</c:f>
            </c:strRef>
          </c:xVal>
          <c:yVal>
            <c:numRef>
              <c:f>'2022_Data'!$E$903</c:f>
              <c:numCache/>
            </c:numRef>
          </c:yVal>
          <c:bubbleSize>
            <c:numRef>
              <c:f>'2022_Data'!$G$903</c:f>
            </c:numRef>
          </c:bubbleSize>
        </c:ser>
        <c:ser>
          <c:idx val="902"/>
          <c:order val="902"/>
          <c:tx>
            <c:strRef>
              <c:f>'2022_Data'!$A$904</c:f>
            </c:strRef>
          </c:tx>
          <c:dLbls>
            <c:dLblPos val="ctr"/>
            <c:showLegendKey val="0"/>
            <c:showVal val="0"/>
            <c:showCatName val="0"/>
            <c:showSerName val="1"/>
            <c:showPercent val="0"/>
            <c:showBubbleSize val="0"/>
          </c:dLbls>
          <c:xVal>
            <c:strRef>
              <c:f>'2022_Data'!$F$904</c:f>
            </c:strRef>
          </c:xVal>
          <c:yVal>
            <c:numRef>
              <c:f>'2022_Data'!$E$904</c:f>
              <c:numCache/>
            </c:numRef>
          </c:yVal>
          <c:bubbleSize>
            <c:numRef>
              <c:f>'2022_Data'!$G$904</c:f>
            </c:numRef>
          </c:bubbleSize>
        </c:ser>
        <c:ser>
          <c:idx val="903"/>
          <c:order val="903"/>
          <c:tx>
            <c:strRef>
              <c:f>'2022_Data'!$A$905</c:f>
            </c:strRef>
          </c:tx>
          <c:dLbls>
            <c:dLblPos val="ctr"/>
            <c:showLegendKey val="0"/>
            <c:showVal val="0"/>
            <c:showCatName val="0"/>
            <c:showSerName val="1"/>
            <c:showPercent val="0"/>
            <c:showBubbleSize val="0"/>
          </c:dLbls>
          <c:xVal>
            <c:strRef>
              <c:f>'2022_Data'!$F$905</c:f>
            </c:strRef>
          </c:xVal>
          <c:yVal>
            <c:numRef>
              <c:f>'2022_Data'!$E$905</c:f>
              <c:numCache/>
            </c:numRef>
          </c:yVal>
          <c:bubbleSize>
            <c:numRef>
              <c:f>'2022_Data'!$G$905</c:f>
            </c:numRef>
          </c:bubbleSize>
        </c:ser>
        <c:ser>
          <c:idx val="904"/>
          <c:order val="904"/>
          <c:tx>
            <c:strRef>
              <c:f>'2022_Data'!$A$906</c:f>
            </c:strRef>
          </c:tx>
          <c:dLbls>
            <c:dLblPos val="ctr"/>
            <c:showLegendKey val="0"/>
            <c:showVal val="0"/>
            <c:showCatName val="0"/>
            <c:showSerName val="1"/>
            <c:showPercent val="0"/>
            <c:showBubbleSize val="0"/>
          </c:dLbls>
          <c:xVal>
            <c:strRef>
              <c:f>'2022_Data'!$F$906</c:f>
            </c:strRef>
          </c:xVal>
          <c:yVal>
            <c:numRef>
              <c:f>'2022_Data'!$E$906</c:f>
              <c:numCache/>
            </c:numRef>
          </c:yVal>
          <c:bubbleSize>
            <c:numRef>
              <c:f>'2022_Data'!$G$906</c:f>
            </c:numRef>
          </c:bubbleSize>
        </c:ser>
        <c:ser>
          <c:idx val="905"/>
          <c:order val="905"/>
          <c:tx>
            <c:strRef>
              <c:f>'2022_Data'!$A$907</c:f>
            </c:strRef>
          </c:tx>
          <c:dLbls>
            <c:dLblPos val="ctr"/>
            <c:showLegendKey val="0"/>
            <c:showVal val="0"/>
            <c:showCatName val="0"/>
            <c:showSerName val="1"/>
            <c:showPercent val="0"/>
            <c:showBubbleSize val="0"/>
          </c:dLbls>
          <c:xVal>
            <c:strRef>
              <c:f>'2022_Data'!$F$907</c:f>
            </c:strRef>
          </c:xVal>
          <c:yVal>
            <c:numRef>
              <c:f>'2022_Data'!$E$907</c:f>
              <c:numCache/>
            </c:numRef>
          </c:yVal>
          <c:bubbleSize>
            <c:numRef>
              <c:f>'2022_Data'!$G$907</c:f>
            </c:numRef>
          </c:bubbleSize>
        </c:ser>
        <c:ser>
          <c:idx val="906"/>
          <c:order val="906"/>
          <c:tx>
            <c:strRef>
              <c:f>'2022_Data'!$A$908</c:f>
            </c:strRef>
          </c:tx>
          <c:dLbls>
            <c:dLblPos val="ctr"/>
            <c:showLegendKey val="0"/>
            <c:showVal val="0"/>
            <c:showCatName val="0"/>
            <c:showSerName val="1"/>
            <c:showPercent val="0"/>
            <c:showBubbleSize val="0"/>
          </c:dLbls>
          <c:xVal>
            <c:strRef>
              <c:f>'2022_Data'!$F$908</c:f>
            </c:strRef>
          </c:xVal>
          <c:yVal>
            <c:numRef>
              <c:f>'2022_Data'!$E$908</c:f>
              <c:numCache/>
            </c:numRef>
          </c:yVal>
          <c:bubbleSize>
            <c:numRef>
              <c:f>'2022_Data'!$G$908</c:f>
            </c:numRef>
          </c:bubbleSize>
        </c:ser>
        <c:ser>
          <c:idx val="907"/>
          <c:order val="907"/>
          <c:tx>
            <c:strRef>
              <c:f>'2022_Data'!$A$909</c:f>
            </c:strRef>
          </c:tx>
          <c:dLbls>
            <c:dLblPos val="ctr"/>
            <c:showLegendKey val="0"/>
            <c:showVal val="0"/>
            <c:showCatName val="0"/>
            <c:showSerName val="1"/>
            <c:showPercent val="0"/>
            <c:showBubbleSize val="0"/>
          </c:dLbls>
          <c:xVal>
            <c:strRef>
              <c:f>'2022_Data'!$F$909</c:f>
            </c:strRef>
          </c:xVal>
          <c:yVal>
            <c:numRef>
              <c:f>'2022_Data'!$E$909</c:f>
              <c:numCache/>
            </c:numRef>
          </c:yVal>
          <c:bubbleSize>
            <c:numRef>
              <c:f>'2022_Data'!$G$909</c:f>
            </c:numRef>
          </c:bubbleSize>
        </c:ser>
        <c:ser>
          <c:idx val="908"/>
          <c:order val="908"/>
          <c:tx>
            <c:strRef>
              <c:f>'2022_Data'!$A$910</c:f>
            </c:strRef>
          </c:tx>
          <c:dLbls>
            <c:dLblPos val="ctr"/>
            <c:showLegendKey val="0"/>
            <c:showVal val="0"/>
            <c:showCatName val="0"/>
            <c:showSerName val="1"/>
            <c:showPercent val="0"/>
            <c:showBubbleSize val="0"/>
          </c:dLbls>
          <c:xVal>
            <c:strRef>
              <c:f>'2022_Data'!$F$910</c:f>
            </c:strRef>
          </c:xVal>
          <c:yVal>
            <c:numRef>
              <c:f>'2022_Data'!$E$910</c:f>
              <c:numCache/>
            </c:numRef>
          </c:yVal>
          <c:bubbleSize>
            <c:numRef>
              <c:f>'2022_Data'!$G$910</c:f>
            </c:numRef>
          </c:bubbleSize>
        </c:ser>
        <c:ser>
          <c:idx val="909"/>
          <c:order val="909"/>
          <c:tx>
            <c:strRef>
              <c:f>'2022_Data'!$A$911</c:f>
            </c:strRef>
          </c:tx>
          <c:dLbls>
            <c:dLblPos val="ctr"/>
            <c:showLegendKey val="0"/>
            <c:showVal val="0"/>
            <c:showCatName val="0"/>
            <c:showSerName val="1"/>
            <c:showPercent val="0"/>
            <c:showBubbleSize val="0"/>
          </c:dLbls>
          <c:xVal>
            <c:strRef>
              <c:f>'2022_Data'!$F$911</c:f>
            </c:strRef>
          </c:xVal>
          <c:yVal>
            <c:numRef>
              <c:f>'2022_Data'!$E$911</c:f>
              <c:numCache/>
            </c:numRef>
          </c:yVal>
          <c:bubbleSize>
            <c:numRef>
              <c:f>'2022_Data'!$G$911</c:f>
            </c:numRef>
          </c:bubbleSize>
        </c:ser>
        <c:ser>
          <c:idx val="910"/>
          <c:order val="910"/>
          <c:tx>
            <c:strRef>
              <c:f>'2022_Data'!$A$912</c:f>
            </c:strRef>
          </c:tx>
          <c:dLbls>
            <c:dLblPos val="ctr"/>
            <c:showLegendKey val="0"/>
            <c:showVal val="0"/>
            <c:showCatName val="0"/>
            <c:showSerName val="1"/>
            <c:showPercent val="0"/>
            <c:showBubbleSize val="0"/>
          </c:dLbls>
          <c:xVal>
            <c:strRef>
              <c:f>'2022_Data'!$F$912</c:f>
            </c:strRef>
          </c:xVal>
          <c:yVal>
            <c:numRef>
              <c:f>'2022_Data'!$E$912</c:f>
              <c:numCache/>
            </c:numRef>
          </c:yVal>
          <c:bubbleSize>
            <c:numRef>
              <c:f>'2022_Data'!$G$912</c:f>
            </c:numRef>
          </c:bubbleSize>
        </c:ser>
        <c:ser>
          <c:idx val="911"/>
          <c:order val="911"/>
          <c:tx>
            <c:strRef>
              <c:f>'2022_Data'!$A$913</c:f>
            </c:strRef>
          </c:tx>
          <c:dLbls>
            <c:dLblPos val="ctr"/>
            <c:showLegendKey val="0"/>
            <c:showVal val="0"/>
            <c:showCatName val="0"/>
            <c:showSerName val="1"/>
            <c:showPercent val="0"/>
            <c:showBubbleSize val="0"/>
          </c:dLbls>
          <c:xVal>
            <c:strRef>
              <c:f>'2022_Data'!$F$913</c:f>
            </c:strRef>
          </c:xVal>
          <c:yVal>
            <c:numRef>
              <c:f>'2022_Data'!$E$913</c:f>
              <c:numCache/>
            </c:numRef>
          </c:yVal>
          <c:bubbleSize>
            <c:numRef>
              <c:f>'2022_Data'!$G$913</c:f>
            </c:numRef>
          </c:bubbleSize>
        </c:ser>
        <c:ser>
          <c:idx val="912"/>
          <c:order val="912"/>
          <c:tx>
            <c:strRef>
              <c:f>'2022_Data'!$A$914</c:f>
            </c:strRef>
          </c:tx>
          <c:dLbls>
            <c:dLblPos val="ctr"/>
            <c:showLegendKey val="0"/>
            <c:showVal val="0"/>
            <c:showCatName val="0"/>
            <c:showSerName val="1"/>
            <c:showPercent val="0"/>
            <c:showBubbleSize val="0"/>
          </c:dLbls>
          <c:xVal>
            <c:strRef>
              <c:f>'2022_Data'!$F$914</c:f>
            </c:strRef>
          </c:xVal>
          <c:yVal>
            <c:numRef>
              <c:f>'2022_Data'!$E$914</c:f>
              <c:numCache/>
            </c:numRef>
          </c:yVal>
          <c:bubbleSize>
            <c:numRef>
              <c:f>'2022_Data'!$G$914</c:f>
            </c:numRef>
          </c:bubbleSize>
        </c:ser>
        <c:ser>
          <c:idx val="913"/>
          <c:order val="913"/>
          <c:tx>
            <c:strRef>
              <c:f>'2022_Data'!$A$915</c:f>
            </c:strRef>
          </c:tx>
          <c:dLbls>
            <c:dLblPos val="ctr"/>
            <c:showLegendKey val="0"/>
            <c:showVal val="0"/>
            <c:showCatName val="0"/>
            <c:showSerName val="1"/>
            <c:showPercent val="0"/>
            <c:showBubbleSize val="0"/>
          </c:dLbls>
          <c:xVal>
            <c:strRef>
              <c:f>'2022_Data'!$F$915</c:f>
            </c:strRef>
          </c:xVal>
          <c:yVal>
            <c:numRef>
              <c:f>'2022_Data'!$E$915</c:f>
              <c:numCache/>
            </c:numRef>
          </c:yVal>
          <c:bubbleSize>
            <c:numRef>
              <c:f>'2022_Data'!$G$915</c:f>
            </c:numRef>
          </c:bubbleSize>
        </c:ser>
        <c:ser>
          <c:idx val="914"/>
          <c:order val="914"/>
          <c:tx>
            <c:strRef>
              <c:f>'2022_Data'!$A$916</c:f>
            </c:strRef>
          </c:tx>
          <c:dLbls>
            <c:dLblPos val="ctr"/>
            <c:showLegendKey val="0"/>
            <c:showVal val="0"/>
            <c:showCatName val="0"/>
            <c:showSerName val="1"/>
            <c:showPercent val="0"/>
            <c:showBubbleSize val="0"/>
          </c:dLbls>
          <c:xVal>
            <c:strRef>
              <c:f>'2022_Data'!$F$916</c:f>
            </c:strRef>
          </c:xVal>
          <c:yVal>
            <c:numRef>
              <c:f>'2022_Data'!$E$916</c:f>
              <c:numCache/>
            </c:numRef>
          </c:yVal>
          <c:bubbleSize>
            <c:numRef>
              <c:f>'2022_Data'!$G$916</c:f>
            </c:numRef>
          </c:bubbleSize>
        </c:ser>
        <c:ser>
          <c:idx val="915"/>
          <c:order val="915"/>
          <c:tx>
            <c:strRef>
              <c:f>'2022_Data'!$A$917</c:f>
            </c:strRef>
          </c:tx>
          <c:dLbls>
            <c:dLblPos val="ctr"/>
            <c:showLegendKey val="0"/>
            <c:showVal val="0"/>
            <c:showCatName val="0"/>
            <c:showSerName val="1"/>
            <c:showPercent val="0"/>
            <c:showBubbleSize val="0"/>
          </c:dLbls>
          <c:xVal>
            <c:strRef>
              <c:f>'2022_Data'!$F$917</c:f>
            </c:strRef>
          </c:xVal>
          <c:yVal>
            <c:numRef>
              <c:f>'2022_Data'!$E$917</c:f>
              <c:numCache/>
            </c:numRef>
          </c:yVal>
          <c:bubbleSize>
            <c:numRef>
              <c:f>'2022_Data'!$G$917</c:f>
            </c:numRef>
          </c:bubbleSize>
        </c:ser>
        <c:ser>
          <c:idx val="916"/>
          <c:order val="916"/>
          <c:tx>
            <c:strRef>
              <c:f>'2022_Data'!$A$918</c:f>
            </c:strRef>
          </c:tx>
          <c:dLbls>
            <c:dLblPos val="ctr"/>
            <c:showLegendKey val="0"/>
            <c:showVal val="0"/>
            <c:showCatName val="0"/>
            <c:showSerName val="1"/>
            <c:showPercent val="0"/>
            <c:showBubbleSize val="0"/>
          </c:dLbls>
          <c:xVal>
            <c:strRef>
              <c:f>'2022_Data'!$F$918</c:f>
            </c:strRef>
          </c:xVal>
          <c:yVal>
            <c:numRef>
              <c:f>'2022_Data'!$E$918</c:f>
              <c:numCache/>
            </c:numRef>
          </c:yVal>
          <c:bubbleSize>
            <c:numRef>
              <c:f>'2022_Data'!$G$918</c:f>
            </c:numRef>
          </c:bubbleSize>
        </c:ser>
        <c:ser>
          <c:idx val="917"/>
          <c:order val="917"/>
          <c:tx>
            <c:strRef>
              <c:f>'2022_Data'!$A$919</c:f>
            </c:strRef>
          </c:tx>
          <c:dLbls>
            <c:dLblPos val="ctr"/>
            <c:showLegendKey val="0"/>
            <c:showVal val="0"/>
            <c:showCatName val="0"/>
            <c:showSerName val="1"/>
            <c:showPercent val="0"/>
            <c:showBubbleSize val="0"/>
          </c:dLbls>
          <c:xVal>
            <c:strRef>
              <c:f>'2022_Data'!$F$919</c:f>
            </c:strRef>
          </c:xVal>
          <c:yVal>
            <c:numRef>
              <c:f>'2022_Data'!$E$919</c:f>
              <c:numCache/>
            </c:numRef>
          </c:yVal>
          <c:bubbleSize>
            <c:numRef>
              <c:f>'2022_Data'!$G$919</c:f>
            </c:numRef>
          </c:bubbleSize>
        </c:ser>
        <c:ser>
          <c:idx val="918"/>
          <c:order val="918"/>
          <c:tx>
            <c:strRef>
              <c:f>'2022_Data'!$A$920</c:f>
            </c:strRef>
          </c:tx>
          <c:dLbls>
            <c:dLblPos val="ctr"/>
            <c:showLegendKey val="0"/>
            <c:showVal val="0"/>
            <c:showCatName val="0"/>
            <c:showSerName val="1"/>
            <c:showPercent val="0"/>
            <c:showBubbleSize val="0"/>
          </c:dLbls>
          <c:xVal>
            <c:strRef>
              <c:f>'2022_Data'!$F$920</c:f>
            </c:strRef>
          </c:xVal>
          <c:yVal>
            <c:numRef>
              <c:f>'2022_Data'!$E$920</c:f>
              <c:numCache/>
            </c:numRef>
          </c:yVal>
          <c:bubbleSize>
            <c:numRef>
              <c:f>'2022_Data'!$G$920</c:f>
            </c:numRef>
          </c:bubbleSize>
        </c:ser>
        <c:ser>
          <c:idx val="919"/>
          <c:order val="919"/>
          <c:tx>
            <c:strRef>
              <c:f>'2022_Data'!$A$921</c:f>
            </c:strRef>
          </c:tx>
          <c:dLbls>
            <c:dLblPos val="ctr"/>
            <c:showLegendKey val="0"/>
            <c:showVal val="0"/>
            <c:showCatName val="0"/>
            <c:showSerName val="1"/>
            <c:showPercent val="0"/>
            <c:showBubbleSize val="0"/>
          </c:dLbls>
          <c:xVal>
            <c:strRef>
              <c:f>'2022_Data'!$F$921</c:f>
            </c:strRef>
          </c:xVal>
          <c:yVal>
            <c:numRef>
              <c:f>'2022_Data'!$E$921</c:f>
              <c:numCache/>
            </c:numRef>
          </c:yVal>
          <c:bubbleSize>
            <c:numRef>
              <c:f>'2022_Data'!$G$921</c:f>
            </c:numRef>
          </c:bubbleSize>
        </c:ser>
        <c:ser>
          <c:idx val="920"/>
          <c:order val="920"/>
          <c:tx>
            <c:strRef>
              <c:f>'2022_Data'!$A$922</c:f>
            </c:strRef>
          </c:tx>
          <c:dLbls>
            <c:dLblPos val="ctr"/>
            <c:showLegendKey val="0"/>
            <c:showVal val="0"/>
            <c:showCatName val="0"/>
            <c:showSerName val="1"/>
            <c:showPercent val="0"/>
            <c:showBubbleSize val="0"/>
          </c:dLbls>
          <c:xVal>
            <c:strRef>
              <c:f>'2022_Data'!$F$922</c:f>
            </c:strRef>
          </c:xVal>
          <c:yVal>
            <c:numRef>
              <c:f>'2022_Data'!$E$922</c:f>
              <c:numCache/>
            </c:numRef>
          </c:yVal>
          <c:bubbleSize>
            <c:numRef>
              <c:f>'2022_Data'!$G$922</c:f>
            </c:numRef>
          </c:bubbleSize>
        </c:ser>
        <c:ser>
          <c:idx val="921"/>
          <c:order val="921"/>
          <c:tx>
            <c:strRef>
              <c:f>'2022_Data'!$A$923</c:f>
            </c:strRef>
          </c:tx>
          <c:dLbls>
            <c:dLblPos val="ctr"/>
            <c:showLegendKey val="0"/>
            <c:showVal val="0"/>
            <c:showCatName val="0"/>
            <c:showSerName val="1"/>
            <c:showPercent val="0"/>
            <c:showBubbleSize val="0"/>
          </c:dLbls>
          <c:xVal>
            <c:strRef>
              <c:f>'2022_Data'!$F$923</c:f>
            </c:strRef>
          </c:xVal>
          <c:yVal>
            <c:numRef>
              <c:f>'2022_Data'!$E$923</c:f>
              <c:numCache/>
            </c:numRef>
          </c:yVal>
          <c:bubbleSize>
            <c:numRef>
              <c:f>'2022_Data'!$G$923</c:f>
            </c:numRef>
          </c:bubbleSize>
        </c:ser>
        <c:ser>
          <c:idx val="922"/>
          <c:order val="922"/>
          <c:tx>
            <c:strRef>
              <c:f>'2022_Data'!$A$924</c:f>
            </c:strRef>
          </c:tx>
          <c:dLbls>
            <c:dLblPos val="ctr"/>
            <c:showLegendKey val="0"/>
            <c:showVal val="0"/>
            <c:showCatName val="0"/>
            <c:showSerName val="1"/>
            <c:showPercent val="0"/>
            <c:showBubbleSize val="0"/>
          </c:dLbls>
          <c:xVal>
            <c:strRef>
              <c:f>'2022_Data'!$F$924</c:f>
            </c:strRef>
          </c:xVal>
          <c:yVal>
            <c:numRef>
              <c:f>'2022_Data'!$E$924</c:f>
              <c:numCache/>
            </c:numRef>
          </c:yVal>
          <c:bubbleSize>
            <c:numRef>
              <c:f>'2022_Data'!$G$924</c:f>
            </c:numRef>
          </c:bubbleSize>
        </c:ser>
        <c:ser>
          <c:idx val="923"/>
          <c:order val="923"/>
          <c:tx>
            <c:strRef>
              <c:f>'2022_Data'!$A$925</c:f>
            </c:strRef>
          </c:tx>
          <c:dLbls>
            <c:dLblPos val="ctr"/>
            <c:showLegendKey val="0"/>
            <c:showVal val="0"/>
            <c:showCatName val="0"/>
            <c:showSerName val="1"/>
            <c:showPercent val="0"/>
            <c:showBubbleSize val="0"/>
          </c:dLbls>
          <c:xVal>
            <c:strRef>
              <c:f>'2022_Data'!$F$925</c:f>
            </c:strRef>
          </c:xVal>
          <c:yVal>
            <c:numRef>
              <c:f>'2022_Data'!$E$925</c:f>
              <c:numCache/>
            </c:numRef>
          </c:yVal>
          <c:bubbleSize>
            <c:numRef>
              <c:f>'2022_Data'!$G$925</c:f>
            </c:numRef>
          </c:bubbleSize>
        </c:ser>
        <c:ser>
          <c:idx val="924"/>
          <c:order val="924"/>
          <c:tx>
            <c:strRef>
              <c:f>'2022_Data'!$A$926</c:f>
            </c:strRef>
          </c:tx>
          <c:dLbls>
            <c:dLblPos val="ctr"/>
            <c:showLegendKey val="0"/>
            <c:showVal val="0"/>
            <c:showCatName val="0"/>
            <c:showSerName val="1"/>
            <c:showPercent val="0"/>
            <c:showBubbleSize val="0"/>
          </c:dLbls>
          <c:xVal>
            <c:strRef>
              <c:f>'2022_Data'!$F$926</c:f>
            </c:strRef>
          </c:xVal>
          <c:yVal>
            <c:numRef>
              <c:f>'2022_Data'!$E$926</c:f>
              <c:numCache/>
            </c:numRef>
          </c:yVal>
          <c:bubbleSize>
            <c:numRef>
              <c:f>'2022_Data'!$G$926</c:f>
            </c:numRef>
          </c:bubbleSize>
        </c:ser>
        <c:ser>
          <c:idx val="925"/>
          <c:order val="925"/>
          <c:tx>
            <c:strRef>
              <c:f>'2022_Data'!$A$927</c:f>
            </c:strRef>
          </c:tx>
          <c:dLbls>
            <c:dLblPos val="ctr"/>
            <c:showLegendKey val="0"/>
            <c:showVal val="0"/>
            <c:showCatName val="0"/>
            <c:showSerName val="1"/>
            <c:showPercent val="0"/>
            <c:showBubbleSize val="0"/>
          </c:dLbls>
          <c:xVal>
            <c:strRef>
              <c:f>'2022_Data'!$F$927</c:f>
            </c:strRef>
          </c:xVal>
          <c:yVal>
            <c:numRef>
              <c:f>'2022_Data'!$E$927</c:f>
              <c:numCache/>
            </c:numRef>
          </c:yVal>
          <c:bubbleSize>
            <c:numRef>
              <c:f>'2022_Data'!$G$927</c:f>
            </c:numRef>
          </c:bubbleSize>
        </c:ser>
        <c:ser>
          <c:idx val="926"/>
          <c:order val="926"/>
          <c:tx>
            <c:strRef>
              <c:f>'2022_Data'!$A$928</c:f>
            </c:strRef>
          </c:tx>
          <c:dLbls>
            <c:dLblPos val="ctr"/>
            <c:showLegendKey val="0"/>
            <c:showVal val="0"/>
            <c:showCatName val="0"/>
            <c:showSerName val="1"/>
            <c:showPercent val="0"/>
            <c:showBubbleSize val="0"/>
          </c:dLbls>
          <c:xVal>
            <c:strRef>
              <c:f>'2022_Data'!$F$928</c:f>
            </c:strRef>
          </c:xVal>
          <c:yVal>
            <c:numRef>
              <c:f>'2022_Data'!$E$928</c:f>
              <c:numCache/>
            </c:numRef>
          </c:yVal>
          <c:bubbleSize>
            <c:numRef>
              <c:f>'2022_Data'!$G$928</c:f>
            </c:numRef>
          </c:bubbleSize>
        </c:ser>
        <c:ser>
          <c:idx val="927"/>
          <c:order val="927"/>
          <c:tx>
            <c:strRef>
              <c:f>'2022_Data'!$A$929</c:f>
            </c:strRef>
          </c:tx>
          <c:dLbls>
            <c:dLblPos val="ctr"/>
            <c:showLegendKey val="0"/>
            <c:showVal val="0"/>
            <c:showCatName val="0"/>
            <c:showSerName val="1"/>
            <c:showPercent val="0"/>
            <c:showBubbleSize val="0"/>
          </c:dLbls>
          <c:xVal>
            <c:strRef>
              <c:f>'2022_Data'!$F$929</c:f>
            </c:strRef>
          </c:xVal>
          <c:yVal>
            <c:numRef>
              <c:f>'2022_Data'!$E$929</c:f>
              <c:numCache/>
            </c:numRef>
          </c:yVal>
          <c:bubbleSize>
            <c:numRef>
              <c:f>'2022_Data'!$G$929</c:f>
            </c:numRef>
          </c:bubbleSize>
        </c:ser>
        <c:ser>
          <c:idx val="928"/>
          <c:order val="928"/>
          <c:tx>
            <c:strRef>
              <c:f>'2022_Data'!$A$930</c:f>
            </c:strRef>
          </c:tx>
          <c:dLbls>
            <c:dLblPos val="ctr"/>
            <c:showLegendKey val="0"/>
            <c:showVal val="0"/>
            <c:showCatName val="0"/>
            <c:showSerName val="1"/>
            <c:showPercent val="0"/>
            <c:showBubbleSize val="0"/>
          </c:dLbls>
          <c:xVal>
            <c:strRef>
              <c:f>'2022_Data'!$F$930</c:f>
            </c:strRef>
          </c:xVal>
          <c:yVal>
            <c:numRef>
              <c:f>'2022_Data'!$E$930</c:f>
              <c:numCache/>
            </c:numRef>
          </c:yVal>
          <c:bubbleSize>
            <c:numRef>
              <c:f>'2022_Data'!$G$930</c:f>
            </c:numRef>
          </c:bubbleSize>
        </c:ser>
        <c:ser>
          <c:idx val="929"/>
          <c:order val="929"/>
          <c:tx>
            <c:strRef>
              <c:f>'2022_Data'!$A$931</c:f>
            </c:strRef>
          </c:tx>
          <c:dLbls>
            <c:dLblPos val="ctr"/>
            <c:showLegendKey val="0"/>
            <c:showVal val="0"/>
            <c:showCatName val="0"/>
            <c:showSerName val="1"/>
            <c:showPercent val="0"/>
            <c:showBubbleSize val="0"/>
          </c:dLbls>
          <c:xVal>
            <c:strRef>
              <c:f>'2022_Data'!$F$931</c:f>
            </c:strRef>
          </c:xVal>
          <c:yVal>
            <c:numRef>
              <c:f>'2022_Data'!$E$931</c:f>
              <c:numCache/>
            </c:numRef>
          </c:yVal>
          <c:bubbleSize>
            <c:numRef>
              <c:f>'2022_Data'!$G$931</c:f>
            </c:numRef>
          </c:bubbleSize>
        </c:ser>
        <c:ser>
          <c:idx val="930"/>
          <c:order val="930"/>
          <c:tx>
            <c:strRef>
              <c:f>'2022_Data'!$A$932</c:f>
            </c:strRef>
          </c:tx>
          <c:dLbls>
            <c:dLblPos val="ctr"/>
            <c:showLegendKey val="0"/>
            <c:showVal val="0"/>
            <c:showCatName val="0"/>
            <c:showSerName val="1"/>
            <c:showPercent val="0"/>
            <c:showBubbleSize val="0"/>
          </c:dLbls>
          <c:xVal>
            <c:strRef>
              <c:f>'2022_Data'!$F$932</c:f>
            </c:strRef>
          </c:xVal>
          <c:yVal>
            <c:numRef>
              <c:f>'2022_Data'!$E$932</c:f>
              <c:numCache/>
            </c:numRef>
          </c:yVal>
          <c:bubbleSize>
            <c:numRef>
              <c:f>'2022_Data'!$G$932</c:f>
            </c:numRef>
          </c:bubbleSize>
        </c:ser>
        <c:ser>
          <c:idx val="931"/>
          <c:order val="931"/>
          <c:tx>
            <c:strRef>
              <c:f>'2022_Data'!$A$933</c:f>
            </c:strRef>
          </c:tx>
          <c:dLbls>
            <c:dLblPos val="ctr"/>
            <c:showLegendKey val="0"/>
            <c:showVal val="0"/>
            <c:showCatName val="0"/>
            <c:showSerName val="1"/>
            <c:showPercent val="0"/>
            <c:showBubbleSize val="0"/>
          </c:dLbls>
          <c:xVal>
            <c:strRef>
              <c:f>'2022_Data'!$F$933</c:f>
            </c:strRef>
          </c:xVal>
          <c:yVal>
            <c:numRef>
              <c:f>'2022_Data'!$E$933</c:f>
              <c:numCache/>
            </c:numRef>
          </c:yVal>
          <c:bubbleSize>
            <c:numRef>
              <c:f>'2022_Data'!$G$933</c:f>
            </c:numRef>
          </c:bubbleSize>
        </c:ser>
        <c:ser>
          <c:idx val="932"/>
          <c:order val="932"/>
          <c:tx>
            <c:strRef>
              <c:f>'2022_Data'!$A$934</c:f>
            </c:strRef>
          </c:tx>
          <c:dLbls>
            <c:dLblPos val="ctr"/>
            <c:showLegendKey val="0"/>
            <c:showVal val="0"/>
            <c:showCatName val="0"/>
            <c:showSerName val="1"/>
            <c:showPercent val="0"/>
            <c:showBubbleSize val="0"/>
          </c:dLbls>
          <c:xVal>
            <c:strRef>
              <c:f>'2022_Data'!$F$934</c:f>
            </c:strRef>
          </c:xVal>
          <c:yVal>
            <c:numRef>
              <c:f>'2022_Data'!$E$934</c:f>
              <c:numCache/>
            </c:numRef>
          </c:yVal>
          <c:bubbleSize>
            <c:numRef>
              <c:f>'2022_Data'!$G$934</c:f>
            </c:numRef>
          </c:bubbleSize>
        </c:ser>
        <c:ser>
          <c:idx val="933"/>
          <c:order val="933"/>
          <c:tx>
            <c:strRef>
              <c:f>'2022_Data'!$A$935</c:f>
            </c:strRef>
          </c:tx>
          <c:dLbls>
            <c:dLblPos val="ctr"/>
            <c:showLegendKey val="0"/>
            <c:showVal val="0"/>
            <c:showCatName val="0"/>
            <c:showSerName val="1"/>
            <c:showPercent val="0"/>
            <c:showBubbleSize val="0"/>
          </c:dLbls>
          <c:xVal>
            <c:strRef>
              <c:f>'2022_Data'!$F$935</c:f>
            </c:strRef>
          </c:xVal>
          <c:yVal>
            <c:numRef>
              <c:f>'2022_Data'!$E$935</c:f>
              <c:numCache/>
            </c:numRef>
          </c:yVal>
          <c:bubbleSize>
            <c:numRef>
              <c:f>'2022_Data'!$G$935</c:f>
            </c:numRef>
          </c:bubbleSize>
        </c:ser>
        <c:ser>
          <c:idx val="934"/>
          <c:order val="934"/>
          <c:tx>
            <c:strRef>
              <c:f>'2022_Data'!$A$936</c:f>
            </c:strRef>
          </c:tx>
          <c:dLbls>
            <c:dLblPos val="ctr"/>
            <c:showLegendKey val="0"/>
            <c:showVal val="0"/>
            <c:showCatName val="0"/>
            <c:showSerName val="1"/>
            <c:showPercent val="0"/>
            <c:showBubbleSize val="0"/>
          </c:dLbls>
          <c:xVal>
            <c:strRef>
              <c:f>'2022_Data'!$F$936</c:f>
            </c:strRef>
          </c:xVal>
          <c:yVal>
            <c:numRef>
              <c:f>'2022_Data'!$E$936</c:f>
              <c:numCache/>
            </c:numRef>
          </c:yVal>
          <c:bubbleSize>
            <c:numRef>
              <c:f>'2022_Data'!$G$936</c:f>
            </c:numRef>
          </c:bubbleSize>
        </c:ser>
        <c:ser>
          <c:idx val="935"/>
          <c:order val="935"/>
          <c:tx>
            <c:strRef>
              <c:f>'2022_Data'!$A$937</c:f>
            </c:strRef>
          </c:tx>
          <c:dLbls>
            <c:dLblPos val="ctr"/>
            <c:showLegendKey val="0"/>
            <c:showVal val="0"/>
            <c:showCatName val="0"/>
            <c:showSerName val="1"/>
            <c:showPercent val="0"/>
            <c:showBubbleSize val="0"/>
          </c:dLbls>
          <c:xVal>
            <c:strRef>
              <c:f>'2022_Data'!$F$937</c:f>
            </c:strRef>
          </c:xVal>
          <c:yVal>
            <c:numRef>
              <c:f>'2022_Data'!$E$937</c:f>
              <c:numCache/>
            </c:numRef>
          </c:yVal>
          <c:bubbleSize>
            <c:numRef>
              <c:f>'2022_Data'!$G$937</c:f>
            </c:numRef>
          </c:bubbleSize>
        </c:ser>
        <c:ser>
          <c:idx val="936"/>
          <c:order val="936"/>
          <c:tx>
            <c:strRef>
              <c:f>'2022_Data'!$A$938</c:f>
            </c:strRef>
          </c:tx>
          <c:dLbls>
            <c:dLblPos val="ctr"/>
            <c:showLegendKey val="0"/>
            <c:showVal val="0"/>
            <c:showCatName val="0"/>
            <c:showSerName val="1"/>
            <c:showPercent val="0"/>
            <c:showBubbleSize val="0"/>
          </c:dLbls>
          <c:xVal>
            <c:strRef>
              <c:f>'2022_Data'!$F$938</c:f>
            </c:strRef>
          </c:xVal>
          <c:yVal>
            <c:numRef>
              <c:f>'2022_Data'!$E$938</c:f>
              <c:numCache/>
            </c:numRef>
          </c:yVal>
          <c:bubbleSize>
            <c:numRef>
              <c:f>'2022_Data'!$G$938</c:f>
            </c:numRef>
          </c:bubbleSize>
        </c:ser>
        <c:ser>
          <c:idx val="937"/>
          <c:order val="937"/>
          <c:tx>
            <c:strRef>
              <c:f>'2022_Data'!$A$939</c:f>
            </c:strRef>
          </c:tx>
          <c:dLbls>
            <c:dLblPos val="ctr"/>
            <c:showLegendKey val="0"/>
            <c:showVal val="0"/>
            <c:showCatName val="0"/>
            <c:showSerName val="1"/>
            <c:showPercent val="0"/>
            <c:showBubbleSize val="0"/>
          </c:dLbls>
          <c:xVal>
            <c:strRef>
              <c:f>'2022_Data'!$F$939</c:f>
            </c:strRef>
          </c:xVal>
          <c:yVal>
            <c:numRef>
              <c:f>'2022_Data'!$E$939</c:f>
              <c:numCache/>
            </c:numRef>
          </c:yVal>
          <c:bubbleSize>
            <c:numRef>
              <c:f>'2022_Data'!$G$939</c:f>
            </c:numRef>
          </c:bubbleSize>
        </c:ser>
        <c:ser>
          <c:idx val="938"/>
          <c:order val="938"/>
          <c:tx>
            <c:strRef>
              <c:f>'2022_Data'!$A$940</c:f>
            </c:strRef>
          </c:tx>
          <c:dLbls>
            <c:dLblPos val="ctr"/>
            <c:showLegendKey val="0"/>
            <c:showVal val="0"/>
            <c:showCatName val="0"/>
            <c:showSerName val="1"/>
            <c:showPercent val="0"/>
            <c:showBubbleSize val="0"/>
          </c:dLbls>
          <c:xVal>
            <c:strRef>
              <c:f>'2022_Data'!$F$940</c:f>
            </c:strRef>
          </c:xVal>
          <c:yVal>
            <c:numRef>
              <c:f>'2022_Data'!$E$940</c:f>
              <c:numCache/>
            </c:numRef>
          </c:yVal>
          <c:bubbleSize>
            <c:numRef>
              <c:f>'2022_Data'!$G$940</c:f>
            </c:numRef>
          </c:bubbleSize>
        </c:ser>
        <c:ser>
          <c:idx val="939"/>
          <c:order val="939"/>
          <c:tx>
            <c:strRef>
              <c:f>'2022_Data'!$A$941</c:f>
            </c:strRef>
          </c:tx>
          <c:dLbls>
            <c:dLblPos val="ctr"/>
            <c:showLegendKey val="0"/>
            <c:showVal val="0"/>
            <c:showCatName val="0"/>
            <c:showSerName val="1"/>
            <c:showPercent val="0"/>
            <c:showBubbleSize val="0"/>
          </c:dLbls>
          <c:xVal>
            <c:strRef>
              <c:f>'2022_Data'!$F$941</c:f>
            </c:strRef>
          </c:xVal>
          <c:yVal>
            <c:numRef>
              <c:f>'2022_Data'!$E$941</c:f>
              <c:numCache/>
            </c:numRef>
          </c:yVal>
          <c:bubbleSize>
            <c:numRef>
              <c:f>'2022_Data'!$G$941</c:f>
            </c:numRef>
          </c:bubbleSize>
        </c:ser>
        <c:ser>
          <c:idx val="940"/>
          <c:order val="940"/>
          <c:tx>
            <c:strRef>
              <c:f>'2022_Data'!$A$942</c:f>
            </c:strRef>
          </c:tx>
          <c:dLbls>
            <c:dLblPos val="ctr"/>
            <c:showLegendKey val="0"/>
            <c:showVal val="0"/>
            <c:showCatName val="0"/>
            <c:showSerName val="1"/>
            <c:showPercent val="0"/>
            <c:showBubbleSize val="0"/>
          </c:dLbls>
          <c:xVal>
            <c:strRef>
              <c:f>'2022_Data'!$F$942</c:f>
            </c:strRef>
          </c:xVal>
          <c:yVal>
            <c:numRef>
              <c:f>'2022_Data'!$E$942</c:f>
              <c:numCache/>
            </c:numRef>
          </c:yVal>
          <c:bubbleSize>
            <c:numRef>
              <c:f>'2022_Data'!$G$942</c:f>
            </c:numRef>
          </c:bubbleSize>
        </c:ser>
        <c:ser>
          <c:idx val="941"/>
          <c:order val="941"/>
          <c:tx>
            <c:strRef>
              <c:f>'2022_Data'!$A$943</c:f>
            </c:strRef>
          </c:tx>
          <c:dLbls>
            <c:dLblPos val="ctr"/>
            <c:showLegendKey val="0"/>
            <c:showVal val="0"/>
            <c:showCatName val="0"/>
            <c:showSerName val="1"/>
            <c:showPercent val="0"/>
            <c:showBubbleSize val="0"/>
          </c:dLbls>
          <c:xVal>
            <c:strRef>
              <c:f>'2022_Data'!$F$943</c:f>
            </c:strRef>
          </c:xVal>
          <c:yVal>
            <c:numRef>
              <c:f>'2022_Data'!$E$943</c:f>
              <c:numCache/>
            </c:numRef>
          </c:yVal>
          <c:bubbleSize>
            <c:numRef>
              <c:f>'2022_Data'!$G$943</c:f>
            </c:numRef>
          </c:bubbleSize>
        </c:ser>
        <c:ser>
          <c:idx val="942"/>
          <c:order val="942"/>
          <c:tx>
            <c:strRef>
              <c:f>'2022_Data'!$A$944</c:f>
            </c:strRef>
          </c:tx>
          <c:dLbls>
            <c:dLblPos val="ctr"/>
            <c:showLegendKey val="0"/>
            <c:showVal val="0"/>
            <c:showCatName val="0"/>
            <c:showSerName val="1"/>
            <c:showPercent val="0"/>
            <c:showBubbleSize val="0"/>
          </c:dLbls>
          <c:xVal>
            <c:strRef>
              <c:f>'2022_Data'!$F$944</c:f>
            </c:strRef>
          </c:xVal>
          <c:yVal>
            <c:numRef>
              <c:f>'2022_Data'!$E$944</c:f>
              <c:numCache/>
            </c:numRef>
          </c:yVal>
          <c:bubbleSize>
            <c:numRef>
              <c:f>'2022_Data'!$G$944</c:f>
            </c:numRef>
          </c:bubbleSize>
        </c:ser>
        <c:ser>
          <c:idx val="943"/>
          <c:order val="943"/>
          <c:tx>
            <c:strRef>
              <c:f>'2022_Data'!$A$945</c:f>
            </c:strRef>
          </c:tx>
          <c:dLbls>
            <c:dLblPos val="ctr"/>
            <c:showLegendKey val="0"/>
            <c:showVal val="0"/>
            <c:showCatName val="0"/>
            <c:showSerName val="1"/>
            <c:showPercent val="0"/>
            <c:showBubbleSize val="0"/>
          </c:dLbls>
          <c:xVal>
            <c:strRef>
              <c:f>'2022_Data'!$F$945</c:f>
            </c:strRef>
          </c:xVal>
          <c:yVal>
            <c:numRef>
              <c:f>'2022_Data'!$E$945</c:f>
              <c:numCache/>
            </c:numRef>
          </c:yVal>
          <c:bubbleSize>
            <c:numRef>
              <c:f>'2022_Data'!$G$945</c:f>
            </c:numRef>
          </c:bubbleSize>
        </c:ser>
        <c:ser>
          <c:idx val="944"/>
          <c:order val="944"/>
          <c:tx>
            <c:strRef>
              <c:f>'2022_Data'!$A$946</c:f>
            </c:strRef>
          </c:tx>
          <c:dLbls>
            <c:dLblPos val="ctr"/>
            <c:showLegendKey val="0"/>
            <c:showVal val="0"/>
            <c:showCatName val="0"/>
            <c:showSerName val="1"/>
            <c:showPercent val="0"/>
            <c:showBubbleSize val="0"/>
          </c:dLbls>
          <c:xVal>
            <c:strRef>
              <c:f>'2022_Data'!$F$946</c:f>
            </c:strRef>
          </c:xVal>
          <c:yVal>
            <c:numRef>
              <c:f>'2022_Data'!$E$946</c:f>
              <c:numCache/>
            </c:numRef>
          </c:yVal>
          <c:bubbleSize>
            <c:numRef>
              <c:f>'2022_Data'!$G$946</c:f>
            </c:numRef>
          </c:bubbleSize>
        </c:ser>
        <c:ser>
          <c:idx val="945"/>
          <c:order val="945"/>
          <c:tx>
            <c:strRef>
              <c:f>'2022_Data'!$A$947</c:f>
            </c:strRef>
          </c:tx>
          <c:dLbls>
            <c:dLblPos val="ctr"/>
            <c:showLegendKey val="0"/>
            <c:showVal val="0"/>
            <c:showCatName val="0"/>
            <c:showSerName val="1"/>
            <c:showPercent val="0"/>
            <c:showBubbleSize val="0"/>
          </c:dLbls>
          <c:xVal>
            <c:strRef>
              <c:f>'2022_Data'!$F$947</c:f>
            </c:strRef>
          </c:xVal>
          <c:yVal>
            <c:numRef>
              <c:f>'2022_Data'!$E$947</c:f>
              <c:numCache/>
            </c:numRef>
          </c:yVal>
          <c:bubbleSize>
            <c:numRef>
              <c:f>'2022_Data'!$G$947</c:f>
            </c:numRef>
          </c:bubbleSize>
        </c:ser>
        <c:ser>
          <c:idx val="946"/>
          <c:order val="946"/>
          <c:tx>
            <c:strRef>
              <c:f>'2022_Data'!$A$948</c:f>
            </c:strRef>
          </c:tx>
          <c:dLbls>
            <c:dLblPos val="ctr"/>
            <c:showLegendKey val="0"/>
            <c:showVal val="0"/>
            <c:showCatName val="0"/>
            <c:showSerName val="1"/>
            <c:showPercent val="0"/>
            <c:showBubbleSize val="0"/>
          </c:dLbls>
          <c:xVal>
            <c:strRef>
              <c:f>'2022_Data'!$F$948</c:f>
            </c:strRef>
          </c:xVal>
          <c:yVal>
            <c:numRef>
              <c:f>'2022_Data'!$E$948</c:f>
              <c:numCache/>
            </c:numRef>
          </c:yVal>
          <c:bubbleSize>
            <c:numRef>
              <c:f>'2022_Data'!$G$948</c:f>
            </c:numRef>
          </c:bubbleSize>
        </c:ser>
        <c:ser>
          <c:idx val="947"/>
          <c:order val="947"/>
          <c:tx>
            <c:strRef>
              <c:f>'2022_Data'!$A$949</c:f>
            </c:strRef>
          </c:tx>
          <c:dLbls>
            <c:dLblPos val="ctr"/>
            <c:showLegendKey val="0"/>
            <c:showVal val="0"/>
            <c:showCatName val="0"/>
            <c:showSerName val="1"/>
            <c:showPercent val="0"/>
            <c:showBubbleSize val="0"/>
          </c:dLbls>
          <c:xVal>
            <c:strRef>
              <c:f>'2022_Data'!$F$949</c:f>
            </c:strRef>
          </c:xVal>
          <c:yVal>
            <c:numRef>
              <c:f>'2022_Data'!$E$949</c:f>
              <c:numCache/>
            </c:numRef>
          </c:yVal>
          <c:bubbleSize>
            <c:numRef>
              <c:f>'2022_Data'!$G$949</c:f>
            </c:numRef>
          </c:bubbleSize>
        </c:ser>
        <c:ser>
          <c:idx val="948"/>
          <c:order val="948"/>
          <c:tx>
            <c:strRef>
              <c:f>'2022_Data'!$A$950</c:f>
            </c:strRef>
          </c:tx>
          <c:dLbls>
            <c:dLblPos val="ctr"/>
            <c:showLegendKey val="0"/>
            <c:showVal val="0"/>
            <c:showCatName val="0"/>
            <c:showSerName val="1"/>
            <c:showPercent val="0"/>
            <c:showBubbleSize val="0"/>
          </c:dLbls>
          <c:xVal>
            <c:strRef>
              <c:f>'2022_Data'!$F$950</c:f>
            </c:strRef>
          </c:xVal>
          <c:yVal>
            <c:numRef>
              <c:f>'2022_Data'!$E$950</c:f>
              <c:numCache/>
            </c:numRef>
          </c:yVal>
          <c:bubbleSize>
            <c:numRef>
              <c:f>'2022_Data'!$G$950</c:f>
            </c:numRef>
          </c:bubbleSize>
        </c:ser>
        <c:ser>
          <c:idx val="949"/>
          <c:order val="949"/>
          <c:tx>
            <c:strRef>
              <c:f>'2022_Data'!$A$951</c:f>
            </c:strRef>
          </c:tx>
          <c:dLbls>
            <c:dLblPos val="ctr"/>
            <c:showLegendKey val="0"/>
            <c:showVal val="0"/>
            <c:showCatName val="0"/>
            <c:showSerName val="1"/>
            <c:showPercent val="0"/>
            <c:showBubbleSize val="0"/>
          </c:dLbls>
          <c:xVal>
            <c:strRef>
              <c:f>'2022_Data'!$F$951</c:f>
            </c:strRef>
          </c:xVal>
          <c:yVal>
            <c:numRef>
              <c:f>'2022_Data'!$E$951</c:f>
              <c:numCache/>
            </c:numRef>
          </c:yVal>
          <c:bubbleSize>
            <c:numRef>
              <c:f>'2022_Data'!$G$951</c:f>
            </c:numRef>
          </c:bubbleSize>
        </c:ser>
        <c:ser>
          <c:idx val="950"/>
          <c:order val="950"/>
          <c:tx>
            <c:strRef>
              <c:f>'2022_Data'!$A$952</c:f>
            </c:strRef>
          </c:tx>
          <c:dLbls>
            <c:dLblPos val="ctr"/>
            <c:showLegendKey val="0"/>
            <c:showVal val="0"/>
            <c:showCatName val="0"/>
            <c:showSerName val="1"/>
            <c:showPercent val="0"/>
            <c:showBubbleSize val="0"/>
          </c:dLbls>
          <c:xVal>
            <c:strRef>
              <c:f>'2022_Data'!$F$952</c:f>
            </c:strRef>
          </c:xVal>
          <c:yVal>
            <c:numRef>
              <c:f>'2022_Data'!$E$952</c:f>
              <c:numCache/>
            </c:numRef>
          </c:yVal>
          <c:bubbleSize>
            <c:numRef>
              <c:f>'2022_Data'!$G$952</c:f>
            </c:numRef>
          </c:bubbleSize>
        </c:ser>
        <c:ser>
          <c:idx val="951"/>
          <c:order val="951"/>
          <c:tx>
            <c:strRef>
              <c:f>'2022_Data'!$A$953</c:f>
            </c:strRef>
          </c:tx>
          <c:dLbls>
            <c:dLblPos val="ctr"/>
            <c:showLegendKey val="0"/>
            <c:showVal val="0"/>
            <c:showCatName val="0"/>
            <c:showSerName val="1"/>
            <c:showPercent val="0"/>
            <c:showBubbleSize val="0"/>
          </c:dLbls>
          <c:xVal>
            <c:strRef>
              <c:f>'2022_Data'!$F$953</c:f>
            </c:strRef>
          </c:xVal>
          <c:yVal>
            <c:numRef>
              <c:f>'2022_Data'!$E$953</c:f>
              <c:numCache/>
            </c:numRef>
          </c:yVal>
          <c:bubbleSize>
            <c:numRef>
              <c:f>'2022_Data'!$G$953</c:f>
            </c:numRef>
          </c:bubbleSize>
        </c:ser>
        <c:ser>
          <c:idx val="952"/>
          <c:order val="952"/>
          <c:tx>
            <c:strRef>
              <c:f>'2022_Data'!$A$954</c:f>
            </c:strRef>
          </c:tx>
          <c:dLbls>
            <c:dLblPos val="ctr"/>
            <c:showLegendKey val="0"/>
            <c:showVal val="0"/>
            <c:showCatName val="0"/>
            <c:showSerName val="1"/>
            <c:showPercent val="0"/>
            <c:showBubbleSize val="0"/>
          </c:dLbls>
          <c:xVal>
            <c:strRef>
              <c:f>'2022_Data'!$F$954</c:f>
            </c:strRef>
          </c:xVal>
          <c:yVal>
            <c:numRef>
              <c:f>'2022_Data'!$E$954</c:f>
              <c:numCache/>
            </c:numRef>
          </c:yVal>
          <c:bubbleSize>
            <c:numRef>
              <c:f>'2022_Data'!$G$954</c:f>
            </c:numRef>
          </c:bubbleSize>
        </c:ser>
        <c:ser>
          <c:idx val="953"/>
          <c:order val="953"/>
          <c:tx>
            <c:strRef>
              <c:f>'2022_Data'!$A$955</c:f>
            </c:strRef>
          </c:tx>
          <c:dLbls>
            <c:dLblPos val="ctr"/>
            <c:showLegendKey val="0"/>
            <c:showVal val="0"/>
            <c:showCatName val="0"/>
            <c:showSerName val="1"/>
            <c:showPercent val="0"/>
            <c:showBubbleSize val="0"/>
          </c:dLbls>
          <c:xVal>
            <c:strRef>
              <c:f>'2022_Data'!$F$955</c:f>
            </c:strRef>
          </c:xVal>
          <c:yVal>
            <c:numRef>
              <c:f>'2022_Data'!$E$955</c:f>
              <c:numCache/>
            </c:numRef>
          </c:yVal>
          <c:bubbleSize>
            <c:numRef>
              <c:f>'2022_Data'!$G$955</c:f>
            </c:numRef>
          </c:bubbleSize>
        </c:ser>
        <c:ser>
          <c:idx val="954"/>
          <c:order val="954"/>
          <c:tx>
            <c:strRef>
              <c:f>'2022_Data'!$A$956</c:f>
            </c:strRef>
          </c:tx>
          <c:dLbls>
            <c:dLblPos val="ctr"/>
            <c:showLegendKey val="0"/>
            <c:showVal val="0"/>
            <c:showCatName val="0"/>
            <c:showSerName val="1"/>
            <c:showPercent val="0"/>
            <c:showBubbleSize val="0"/>
          </c:dLbls>
          <c:xVal>
            <c:strRef>
              <c:f>'2022_Data'!$F$956</c:f>
            </c:strRef>
          </c:xVal>
          <c:yVal>
            <c:numRef>
              <c:f>'2022_Data'!$E$956</c:f>
              <c:numCache/>
            </c:numRef>
          </c:yVal>
          <c:bubbleSize>
            <c:numRef>
              <c:f>'2022_Data'!$G$956</c:f>
            </c:numRef>
          </c:bubbleSize>
        </c:ser>
        <c:ser>
          <c:idx val="955"/>
          <c:order val="955"/>
          <c:tx>
            <c:strRef>
              <c:f>'2022_Data'!$A$957</c:f>
            </c:strRef>
          </c:tx>
          <c:dLbls>
            <c:dLblPos val="ctr"/>
            <c:showLegendKey val="0"/>
            <c:showVal val="0"/>
            <c:showCatName val="0"/>
            <c:showSerName val="1"/>
            <c:showPercent val="0"/>
            <c:showBubbleSize val="0"/>
          </c:dLbls>
          <c:xVal>
            <c:strRef>
              <c:f>'2022_Data'!$F$957</c:f>
            </c:strRef>
          </c:xVal>
          <c:yVal>
            <c:numRef>
              <c:f>'2022_Data'!$E$957</c:f>
              <c:numCache/>
            </c:numRef>
          </c:yVal>
          <c:bubbleSize>
            <c:numRef>
              <c:f>'2022_Data'!$G$957</c:f>
            </c:numRef>
          </c:bubbleSize>
        </c:ser>
        <c:ser>
          <c:idx val="956"/>
          <c:order val="956"/>
          <c:tx>
            <c:strRef>
              <c:f>'2022_Data'!$A$958</c:f>
            </c:strRef>
          </c:tx>
          <c:dLbls>
            <c:dLblPos val="ctr"/>
            <c:showLegendKey val="0"/>
            <c:showVal val="0"/>
            <c:showCatName val="0"/>
            <c:showSerName val="1"/>
            <c:showPercent val="0"/>
            <c:showBubbleSize val="0"/>
          </c:dLbls>
          <c:xVal>
            <c:strRef>
              <c:f>'2022_Data'!$F$958</c:f>
            </c:strRef>
          </c:xVal>
          <c:yVal>
            <c:numRef>
              <c:f>'2022_Data'!$E$958</c:f>
              <c:numCache/>
            </c:numRef>
          </c:yVal>
          <c:bubbleSize>
            <c:numRef>
              <c:f>'2022_Data'!$G$958</c:f>
            </c:numRef>
          </c:bubbleSize>
        </c:ser>
        <c:ser>
          <c:idx val="957"/>
          <c:order val="957"/>
          <c:tx>
            <c:strRef>
              <c:f>'2022_Data'!$A$959</c:f>
            </c:strRef>
          </c:tx>
          <c:dLbls>
            <c:dLblPos val="ctr"/>
            <c:showLegendKey val="0"/>
            <c:showVal val="0"/>
            <c:showCatName val="0"/>
            <c:showSerName val="1"/>
            <c:showPercent val="0"/>
            <c:showBubbleSize val="0"/>
          </c:dLbls>
          <c:xVal>
            <c:strRef>
              <c:f>'2022_Data'!$F$959</c:f>
            </c:strRef>
          </c:xVal>
          <c:yVal>
            <c:numRef>
              <c:f>'2022_Data'!$E$959</c:f>
              <c:numCache/>
            </c:numRef>
          </c:yVal>
          <c:bubbleSize>
            <c:numRef>
              <c:f>'2022_Data'!$G$959</c:f>
            </c:numRef>
          </c:bubbleSize>
        </c:ser>
        <c:ser>
          <c:idx val="958"/>
          <c:order val="958"/>
          <c:tx>
            <c:strRef>
              <c:f>'2022_Data'!$A$960</c:f>
            </c:strRef>
          </c:tx>
          <c:dLbls>
            <c:dLblPos val="ctr"/>
            <c:showLegendKey val="0"/>
            <c:showVal val="0"/>
            <c:showCatName val="0"/>
            <c:showSerName val="1"/>
            <c:showPercent val="0"/>
            <c:showBubbleSize val="0"/>
          </c:dLbls>
          <c:xVal>
            <c:strRef>
              <c:f>'2022_Data'!$F$960</c:f>
            </c:strRef>
          </c:xVal>
          <c:yVal>
            <c:numRef>
              <c:f>'2022_Data'!$E$960</c:f>
              <c:numCache/>
            </c:numRef>
          </c:yVal>
          <c:bubbleSize>
            <c:numRef>
              <c:f>'2022_Data'!$G$960</c:f>
            </c:numRef>
          </c:bubbleSize>
        </c:ser>
        <c:ser>
          <c:idx val="959"/>
          <c:order val="959"/>
          <c:tx>
            <c:strRef>
              <c:f>'2022_Data'!$A$961</c:f>
            </c:strRef>
          </c:tx>
          <c:dLbls>
            <c:dLblPos val="ctr"/>
            <c:showLegendKey val="0"/>
            <c:showVal val="0"/>
            <c:showCatName val="0"/>
            <c:showSerName val="1"/>
            <c:showPercent val="0"/>
            <c:showBubbleSize val="0"/>
          </c:dLbls>
          <c:xVal>
            <c:strRef>
              <c:f>'2022_Data'!$F$961</c:f>
            </c:strRef>
          </c:xVal>
          <c:yVal>
            <c:numRef>
              <c:f>'2022_Data'!$E$961</c:f>
              <c:numCache/>
            </c:numRef>
          </c:yVal>
          <c:bubbleSize>
            <c:numRef>
              <c:f>'2022_Data'!$G$961</c:f>
            </c:numRef>
          </c:bubbleSize>
        </c:ser>
        <c:ser>
          <c:idx val="960"/>
          <c:order val="960"/>
          <c:tx>
            <c:strRef>
              <c:f>'2022_Data'!$A$962</c:f>
            </c:strRef>
          </c:tx>
          <c:dLbls>
            <c:dLblPos val="ctr"/>
            <c:showLegendKey val="0"/>
            <c:showVal val="0"/>
            <c:showCatName val="0"/>
            <c:showSerName val="1"/>
            <c:showPercent val="0"/>
            <c:showBubbleSize val="0"/>
          </c:dLbls>
          <c:xVal>
            <c:strRef>
              <c:f>'2022_Data'!$F$962</c:f>
            </c:strRef>
          </c:xVal>
          <c:yVal>
            <c:numRef>
              <c:f>'2022_Data'!$E$962</c:f>
              <c:numCache/>
            </c:numRef>
          </c:yVal>
          <c:bubbleSize>
            <c:numRef>
              <c:f>'2022_Data'!$G$962</c:f>
            </c:numRef>
          </c:bubbleSize>
        </c:ser>
        <c:ser>
          <c:idx val="961"/>
          <c:order val="961"/>
          <c:tx>
            <c:strRef>
              <c:f>'2022_Data'!$A$963</c:f>
            </c:strRef>
          </c:tx>
          <c:dLbls>
            <c:dLblPos val="ctr"/>
            <c:showLegendKey val="0"/>
            <c:showVal val="0"/>
            <c:showCatName val="0"/>
            <c:showSerName val="1"/>
            <c:showPercent val="0"/>
            <c:showBubbleSize val="0"/>
          </c:dLbls>
          <c:xVal>
            <c:strRef>
              <c:f>'2022_Data'!$F$963</c:f>
            </c:strRef>
          </c:xVal>
          <c:yVal>
            <c:numRef>
              <c:f>'2022_Data'!$E$963</c:f>
              <c:numCache/>
            </c:numRef>
          </c:yVal>
          <c:bubbleSize>
            <c:numRef>
              <c:f>'2022_Data'!$G$963</c:f>
            </c:numRef>
          </c:bubbleSize>
        </c:ser>
        <c:ser>
          <c:idx val="962"/>
          <c:order val="962"/>
          <c:tx>
            <c:strRef>
              <c:f>'2022_Data'!$A$964</c:f>
            </c:strRef>
          </c:tx>
          <c:dLbls>
            <c:dLblPos val="ctr"/>
            <c:showLegendKey val="0"/>
            <c:showVal val="0"/>
            <c:showCatName val="0"/>
            <c:showSerName val="1"/>
            <c:showPercent val="0"/>
            <c:showBubbleSize val="0"/>
          </c:dLbls>
          <c:xVal>
            <c:strRef>
              <c:f>'2022_Data'!$F$964</c:f>
            </c:strRef>
          </c:xVal>
          <c:yVal>
            <c:numRef>
              <c:f>'2022_Data'!$E$964</c:f>
              <c:numCache/>
            </c:numRef>
          </c:yVal>
          <c:bubbleSize>
            <c:numRef>
              <c:f>'2022_Data'!$G$964</c:f>
            </c:numRef>
          </c:bubbleSize>
        </c:ser>
        <c:ser>
          <c:idx val="963"/>
          <c:order val="963"/>
          <c:tx>
            <c:strRef>
              <c:f>'2022_Data'!$A$965</c:f>
            </c:strRef>
          </c:tx>
          <c:dLbls>
            <c:dLblPos val="ctr"/>
            <c:showLegendKey val="0"/>
            <c:showVal val="0"/>
            <c:showCatName val="0"/>
            <c:showSerName val="1"/>
            <c:showPercent val="0"/>
            <c:showBubbleSize val="0"/>
          </c:dLbls>
          <c:xVal>
            <c:strRef>
              <c:f>'2022_Data'!$F$965</c:f>
            </c:strRef>
          </c:xVal>
          <c:yVal>
            <c:numRef>
              <c:f>'2022_Data'!$E$965</c:f>
              <c:numCache/>
            </c:numRef>
          </c:yVal>
          <c:bubbleSize>
            <c:numRef>
              <c:f>'2022_Data'!$G$965</c:f>
            </c:numRef>
          </c:bubbleSize>
        </c:ser>
        <c:ser>
          <c:idx val="964"/>
          <c:order val="964"/>
          <c:tx>
            <c:strRef>
              <c:f>'2022_Data'!$A$966</c:f>
            </c:strRef>
          </c:tx>
          <c:dLbls>
            <c:dLblPos val="ctr"/>
            <c:showLegendKey val="0"/>
            <c:showVal val="0"/>
            <c:showCatName val="0"/>
            <c:showSerName val="1"/>
            <c:showPercent val="0"/>
            <c:showBubbleSize val="0"/>
          </c:dLbls>
          <c:xVal>
            <c:strRef>
              <c:f>'2022_Data'!$F$966</c:f>
            </c:strRef>
          </c:xVal>
          <c:yVal>
            <c:numRef>
              <c:f>'2022_Data'!$E$966</c:f>
              <c:numCache/>
            </c:numRef>
          </c:yVal>
          <c:bubbleSize>
            <c:numRef>
              <c:f>'2022_Data'!$G$966</c:f>
            </c:numRef>
          </c:bubbleSize>
        </c:ser>
        <c:ser>
          <c:idx val="965"/>
          <c:order val="965"/>
          <c:tx>
            <c:strRef>
              <c:f>'2022_Data'!$A$967</c:f>
            </c:strRef>
          </c:tx>
          <c:dLbls>
            <c:dLblPos val="ctr"/>
            <c:showLegendKey val="0"/>
            <c:showVal val="0"/>
            <c:showCatName val="0"/>
            <c:showSerName val="1"/>
            <c:showPercent val="0"/>
            <c:showBubbleSize val="0"/>
          </c:dLbls>
          <c:xVal>
            <c:strRef>
              <c:f>'2022_Data'!$F$967</c:f>
            </c:strRef>
          </c:xVal>
          <c:yVal>
            <c:numRef>
              <c:f>'2022_Data'!$E$967</c:f>
              <c:numCache/>
            </c:numRef>
          </c:yVal>
          <c:bubbleSize>
            <c:numRef>
              <c:f>'2022_Data'!$G$967</c:f>
            </c:numRef>
          </c:bubbleSize>
        </c:ser>
        <c:ser>
          <c:idx val="966"/>
          <c:order val="966"/>
          <c:tx>
            <c:strRef>
              <c:f>'2022_Data'!$A$968</c:f>
            </c:strRef>
          </c:tx>
          <c:dLbls>
            <c:dLblPos val="ctr"/>
            <c:showLegendKey val="0"/>
            <c:showVal val="0"/>
            <c:showCatName val="0"/>
            <c:showSerName val="1"/>
            <c:showPercent val="0"/>
            <c:showBubbleSize val="0"/>
          </c:dLbls>
          <c:xVal>
            <c:strRef>
              <c:f>'2022_Data'!$F$968</c:f>
            </c:strRef>
          </c:xVal>
          <c:yVal>
            <c:numRef>
              <c:f>'2022_Data'!$E$968</c:f>
              <c:numCache/>
            </c:numRef>
          </c:yVal>
          <c:bubbleSize>
            <c:numRef>
              <c:f>'2022_Data'!$G$968</c:f>
            </c:numRef>
          </c:bubbleSize>
        </c:ser>
        <c:ser>
          <c:idx val="967"/>
          <c:order val="967"/>
          <c:tx>
            <c:strRef>
              <c:f>'2022_Data'!$A$969</c:f>
            </c:strRef>
          </c:tx>
          <c:dLbls>
            <c:dLblPos val="ctr"/>
            <c:showLegendKey val="0"/>
            <c:showVal val="0"/>
            <c:showCatName val="0"/>
            <c:showSerName val="1"/>
            <c:showPercent val="0"/>
            <c:showBubbleSize val="0"/>
          </c:dLbls>
          <c:xVal>
            <c:strRef>
              <c:f>'2022_Data'!$F$969</c:f>
            </c:strRef>
          </c:xVal>
          <c:yVal>
            <c:numRef>
              <c:f>'2022_Data'!$E$969</c:f>
              <c:numCache/>
            </c:numRef>
          </c:yVal>
          <c:bubbleSize>
            <c:numRef>
              <c:f>'2022_Data'!$G$969</c:f>
            </c:numRef>
          </c:bubbleSize>
        </c:ser>
        <c:ser>
          <c:idx val="968"/>
          <c:order val="968"/>
          <c:tx>
            <c:strRef>
              <c:f>'2022_Data'!$A$970</c:f>
            </c:strRef>
          </c:tx>
          <c:dLbls>
            <c:dLblPos val="ctr"/>
            <c:showLegendKey val="0"/>
            <c:showVal val="0"/>
            <c:showCatName val="0"/>
            <c:showSerName val="1"/>
            <c:showPercent val="0"/>
            <c:showBubbleSize val="0"/>
          </c:dLbls>
          <c:xVal>
            <c:strRef>
              <c:f>'2022_Data'!$F$970</c:f>
            </c:strRef>
          </c:xVal>
          <c:yVal>
            <c:numRef>
              <c:f>'2022_Data'!$E$970</c:f>
              <c:numCache/>
            </c:numRef>
          </c:yVal>
          <c:bubbleSize>
            <c:numRef>
              <c:f>'2022_Data'!$G$970</c:f>
            </c:numRef>
          </c:bubbleSize>
        </c:ser>
        <c:ser>
          <c:idx val="969"/>
          <c:order val="969"/>
          <c:tx>
            <c:strRef>
              <c:f>'2022_Data'!$A$971</c:f>
            </c:strRef>
          </c:tx>
          <c:dLbls>
            <c:dLblPos val="ctr"/>
            <c:showLegendKey val="0"/>
            <c:showVal val="0"/>
            <c:showCatName val="0"/>
            <c:showSerName val="1"/>
            <c:showPercent val="0"/>
            <c:showBubbleSize val="0"/>
          </c:dLbls>
          <c:xVal>
            <c:strRef>
              <c:f>'2022_Data'!$F$971</c:f>
            </c:strRef>
          </c:xVal>
          <c:yVal>
            <c:numRef>
              <c:f>'2022_Data'!$E$971</c:f>
              <c:numCache/>
            </c:numRef>
          </c:yVal>
          <c:bubbleSize>
            <c:numRef>
              <c:f>'2022_Data'!$G$971</c:f>
            </c:numRef>
          </c:bubbleSize>
        </c:ser>
        <c:ser>
          <c:idx val="970"/>
          <c:order val="970"/>
          <c:tx>
            <c:strRef>
              <c:f>'2022_Data'!$A$972</c:f>
            </c:strRef>
          </c:tx>
          <c:dLbls>
            <c:dLblPos val="ctr"/>
            <c:showLegendKey val="0"/>
            <c:showVal val="0"/>
            <c:showCatName val="0"/>
            <c:showSerName val="1"/>
            <c:showPercent val="0"/>
            <c:showBubbleSize val="0"/>
          </c:dLbls>
          <c:xVal>
            <c:strRef>
              <c:f>'2022_Data'!$F$972</c:f>
            </c:strRef>
          </c:xVal>
          <c:yVal>
            <c:numRef>
              <c:f>'2022_Data'!$E$972</c:f>
              <c:numCache/>
            </c:numRef>
          </c:yVal>
          <c:bubbleSize>
            <c:numRef>
              <c:f>'2022_Data'!$G$972</c:f>
            </c:numRef>
          </c:bubbleSize>
        </c:ser>
        <c:ser>
          <c:idx val="971"/>
          <c:order val="971"/>
          <c:tx>
            <c:strRef>
              <c:f>'2022_Data'!$A$973</c:f>
            </c:strRef>
          </c:tx>
          <c:dLbls>
            <c:dLblPos val="ctr"/>
            <c:showLegendKey val="0"/>
            <c:showVal val="0"/>
            <c:showCatName val="0"/>
            <c:showSerName val="1"/>
            <c:showPercent val="0"/>
            <c:showBubbleSize val="0"/>
          </c:dLbls>
          <c:xVal>
            <c:strRef>
              <c:f>'2022_Data'!$F$973</c:f>
            </c:strRef>
          </c:xVal>
          <c:yVal>
            <c:numRef>
              <c:f>'2022_Data'!$E$973</c:f>
              <c:numCache/>
            </c:numRef>
          </c:yVal>
          <c:bubbleSize>
            <c:numRef>
              <c:f>'2022_Data'!$G$973</c:f>
            </c:numRef>
          </c:bubbleSize>
        </c:ser>
        <c:ser>
          <c:idx val="972"/>
          <c:order val="972"/>
          <c:tx>
            <c:strRef>
              <c:f>'2022_Data'!$A$974</c:f>
            </c:strRef>
          </c:tx>
          <c:dLbls>
            <c:dLblPos val="ctr"/>
            <c:showLegendKey val="0"/>
            <c:showVal val="0"/>
            <c:showCatName val="0"/>
            <c:showSerName val="1"/>
            <c:showPercent val="0"/>
            <c:showBubbleSize val="0"/>
          </c:dLbls>
          <c:xVal>
            <c:strRef>
              <c:f>'2022_Data'!$F$974</c:f>
            </c:strRef>
          </c:xVal>
          <c:yVal>
            <c:numRef>
              <c:f>'2022_Data'!$E$974</c:f>
              <c:numCache/>
            </c:numRef>
          </c:yVal>
          <c:bubbleSize>
            <c:numRef>
              <c:f>'2022_Data'!$G$974</c:f>
            </c:numRef>
          </c:bubbleSize>
        </c:ser>
        <c:ser>
          <c:idx val="973"/>
          <c:order val="973"/>
          <c:tx>
            <c:strRef>
              <c:f>'2022_Data'!$A$975</c:f>
            </c:strRef>
          </c:tx>
          <c:dLbls>
            <c:dLblPos val="ctr"/>
            <c:showLegendKey val="0"/>
            <c:showVal val="0"/>
            <c:showCatName val="0"/>
            <c:showSerName val="1"/>
            <c:showPercent val="0"/>
            <c:showBubbleSize val="0"/>
          </c:dLbls>
          <c:xVal>
            <c:strRef>
              <c:f>'2022_Data'!$F$975</c:f>
            </c:strRef>
          </c:xVal>
          <c:yVal>
            <c:numRef>
              <c:f>'2022_Data'!$E$975</c:f>
              <c:numCache/>
            </c:numRef>
          </c:yVal>
          <c:bubbleSize>
            <c:numRef>
              <c:f>'2022_Data'!$G$975</c:f>
            </c:numRef>
          </c:bubbleSize>
        </c:ser>
        <c:ser>
          <c:idx val="974"/>
          <c:order val="974"/>
          <c:tx>
            <c:strRef>
              <c:f>'2022_Data'!$A$976</c:f>
            </c:strRef>
          </c:tx>
          <c:dLbls>
            <c:dLblPos val="ctr"/>
            <c:showLegendKey val="0"/>
            <c:showVal val="0"/>
            <c:showCatName val="0"/>
            <c:showSerName val="1"/>
            <c:showPercent val="0"/>
            <c:showBubbleSize val="0"/>
          </c:dLbls>
          <c:xVal>
            <c:strRef>
              <c:f>'2022_Data'!$F$976</c:f>
            </c:strRef>
          </c:xVal>
          <c:yVal>
            <c:numRef>
              <c:f>'2022_Data'!$E$976</c:f>
              <c:numCache/>
            </c:numRef>
          </c:yVal>
          <c:bubbleSize>
            <c:numRef>
              <c:f>'2022_Data'!$G$976</c:f>
            </c:numRef>
          </c:bubbleSize>
        </c:ser>
        <c:ser>
          <c:idx val="975"/>
          <c:order val="975"/>
          <c:tx>
            <c:strRef>
              <c:f>'2022_Data'!$A$977</c:f>
            </c:strRef>
          </c:tx>
          <c:dLbls>
            <c:dLblPos val="ctr"/>
            <c:showLegendKey val="0"/>
            <c:showVal val="0"/>
            <c:showCatName val="0"/>
            <c:showSerName val="1"/>
            <c:showPercent val="0"/>
            <c:showBubbleSize val="0"/>
          </c:dLbls>
          <c:xVal>
            <c:strRef>
              <c:f>'2022_Data'!$F$977</c:f>
            </c:strRef>
          </c:xVal>
          <c:yVal>
            <c:numRef>
              <c:f>'2022_Data'!$E$977</c:f>
              <c:numCache/>
            </c:numRef>
          </c:yVal>
          <c:bubbleSize>
            <c:numRef>
              <c:f>'2022_Data'!$G$977</c:f>
            </c:numRef>
          </c:bubbleSize>
        </c:ser>
        <c:ser>
          <c:idx val="976"/>
          <c:order val="976"/>
          <c:tx>
            <c:strRef>
              <c:f>'2022_Data'!$A$978</c:f>
            </c:strRef>
          </c:tx>
          <c:dLbls>
            <c:dLblPos val="ctr"/>
            <c:showLegendKey val="0"/>
            <c:showVal val="0"/>
            <c:showCatName val="0"/>
            <c:showSerName val="1"/>
            <c:showPercent val="0"/>
            <c:showBubbleSize val="0"/>
          </c:dLbls>
          <c:xVal>
            <c:strRef>
              <c:f>'2022_Data'!$F$978</c:f>
            </c:strRef>
          </c:xVal>
          <c:yVal>
            <c:numRef>
              <c:f>'2022_Data'!$E$978</c:f>
              <c:numCache/>
            </c:numRef>
          </c:yVal>
          <c:bubbleSize>
            <c:numRef>
              <c:f>'2022_Data'!$G$978</c:f>
            </c:numRef>
          </c:bubbleSize>
        </c:ser>
        <c:ser>
          <c:idx val="977"/>
          <c:order val="977"/>
          <c:tx>
            <c:strRef>
              <c:f>'2022_Data'!$A$979</c:f>
            </c:strRef>
          </c:tx>
          <c:dLbls>
            <c:dLblPos val="ctr"/>
            <c:showLegendKey val="0"/>
            <c:showVal val="0"/>
            <c:showCatName val="0"/>
            <c:showSerName val="1"/>
            <c:showPercent val="0"/>
            <c:showBubbleSize val="0"/>
          </c:dLbls>
          <c:xVal>
            <c:strRef>
              <c:f>'2022_Data'!$F$979</c:f>
            </c:strRef>
          </c:xVal>
          <c:yVal>
            <c:numRef>
              <c:f>'2022_Data'!$E$979</c:f>
              <c:numCache/>
            </c:numRef>
          </c:yVal>
          <c:bubbleSize>
            <c:numRef>
              <c:f>'2022_Data'!$G$979</c:f>
            </c:numRef>
          </c:bubbleSize>
        </c:ser>
        <c:ser>
          <c:idx val="978"/>
          <c:order val="978"/>
          <c:tx>
            <c:strRef>
              <c:f>'2022_Data'!$A$980</c:f>
            </c:strRef>
          </c:tx>
          <c:dLbls>
            <c:dLblPos val="ctr"/>
            <c:showLegendKey val="0"/>
            <c:showVal val="0"/>
            <c:showCatName val="0"/>
            <c:showSerName val="1"/>
            <c:showPercent val="0"/>
            <c:showBubbleSize val="0"/>
          </c:dLbls>
          <c:xVal>
            <c:strRef>
              <c:f>'2022_Data'!$F$980</c:f>
            </c:strRef>
          </c:xVal>
          <c:yVal>
            <c:numRef>
              <c:f>'2022_Data'!$E$980</c:f>
              <c:numCache/>
            </c:numRef>
          </c:yVal>
          <c:bubbleSize>
            <c:numRef>
              <c:f>'2022_Data'!$G$980</c:f>
            </c:numRef>
          </c:bubbleSize>
        </c:ser>
        <c:ser>
          <c:idx val="979"/>
          <c:order val="979"/>
          <c:tx>
            <c:strRef>
              <c:f>'2022_Data'!$A$981</c:f>
            </c:strRef>
          </c:tx>
          <c:dLbls>
            <c:dLblPos val="ctr"/>
            <c:showLegendKey val="0"/>
            <c:showVal val="0"/>
            <c:showCatName val="0"/>
            <c:showSerName val="1"/>
            <c:showPercent val="0"/>
            <c:showBubbleSize val="0"/>
          </c:dLbls>
          <c:xVal>
            <c:strRef>
              <c:f>'2022_Data'!$F$981</c:f>
            </c:strRef>
          </c:xVal>
          <c:yVal>
            <c:numRef>
              <c:f>'2022_Data'!$E$981</c:f>
              <c:numCache/>
            </c:numRef>
          </c:yVal>
          <c:bubbleSize>
            <c:numRef>
              <c:f>'2022_Data'!$G$981</c:f>
            </c:numRef>
          </c:bubbleSize>
        </c:ser>
        <c:ser>
          <c:idx val="980"/>
          <c:order val="980"/>
          <c:tx>
            <c:strRef>
              <c:f>'2022_Data'!$A$982</c:f>
            </c:strRef>
          </c:tx>
          <c:dLbls>
            <c:dLblPos val="ctr"/>
            <c:showLegendKey val="0"/>
            <c:showVal val="0"/>
            <c:showCatName val="0"/>
            <c:showSerName val="1"/>
            <c:showPercent val="0"/>
            <c:showBubbleSize val="0"/>
          </c:dLbls>
          <c:xVal>
            <c:strRef>
              <c:f>'2022_Data'!$F$982</c:f>
            </c:strRef>
          </c:xVal>
          <c:yVal>
            <c:numRef>
              <c:f>'2022_Data'!$E$982</c:f>
              <c:numCache/>
            </c:numRef>
          </c:yVal>
          <c:bubbleSize>
            <c:numRef>
              <c:f>'2022_Data'!$G$982</c:f>
            </c:numRef>
          </c:bubbleSize>
        </c:ser>
        <c:ser>
          <c:idx val="981"/>
          <c:order val="981"/>
          <c:tx>
            <c:strRef>
              <c:f>'2022_Data'!$A$983</c:f>
            </c:strRef>
          </c:tx>
          <c:dLbls>
            <c:dLblPos val="ctr"/>
            <c:showLegendKey val="0"/>
            <c:showVal val="0"/>
            <c:showCatName val="0"/>
            <c:showSerName val="1"/>
            <c:showPercent val="0"/>
            <c:showBubbleSize val="0"/>
          </c:dLbls>
          <c:xVal>
            <c:strRef>
              <c:f>'2022_Data'!$F$983</c:f>
            </c:strRef>
          </c:xVal>
          <c:yVal>
            <c:numRef>
              <c:f>'2022_Data'!$E$983</c:f>
              <c:numCache/>
            </c:numRef>
          </c:yVal>
          <c:bubbleSize>
            <c:numRef>
              <c:f>'2022_Data'!$G$983</c:f>
            </c:numRef>
          </c:bubbleSize>
        </c:ser>
        <c:ser>
          <c:idx val="982"/>
          <c:order val="982"/>
          <c:tx>
            <c:strRef>
              <c:f>'2022_Data'!$A$984</c:f>
            </c:strRef>
          </c:tx>
          <c:dLbls>
            <c:dLblPos val="ctr"/>
            <c:showLegendKey val="0"/>
            <c:showVal val="0"/>
            <c:showCatName val="0"/>
            <c:showSerName val="1"/>
            <c:showPercent val="0"/>
            <c:showBubbleSize val="0"/>
          </c:dLbls>
          <c:xVal>
            <c:strRef>
              <c:f>'2022_Data'!$F$984</c:f>
            </c:strRef>
          </c:xVal>
          <c:yVal>
            <c:numRef>
              <c:f>'2022_Data'!$E$984</c:f>
              <c:numCache/>
            </c:numRef>
          </c:yVal>
          <c:bubbleSize>
            <c:numRef>
              <c:f>'2022_Data'!$G$984</c:f>
            </c:numRef>
          </c:bubbleSize>
        </c:ser>
        <c:ser>
          <c:idx val="983"/>
          <c:order val="983"/>
          <c:tx>
            <c:strRef>
              <c:f>'2022_Data'!$A$985</c:f>
            </c:strRef>
          </c:tx>
          <c:dLbls>
            <c:dLblPos val="ctr"/>
            <c:showLegendKey val="0"/>
            <c:showVal val="0"/>
            <c:showCatName val="0"/>
            <c:showSerName val="1"/>
            <c:showPercent val="0"/>
            <c:showBubbleSize val="0"/>
          </c:dLbls>
          <c:xVal>
            <c:strRef>
              <c:f>'2022_Data'!$F$985</c:f>
            </c:strRef>
          </c:xVal>
          <c:yVal>
            <c:numRef>
              <c:f>'2022_Data'!$E$985</c:f>
              <c:numCache/>
            </c:numRef>
          </c:yVal>
          <c:bubbleSize>
            <c:numRef>
              <c:f>'2022_Data'!$G$985</c:f>
            </c:numRef>
          </c:bubbleSize>
        </c:ser>
        <c:ser>
          <c:idx val="984"/>
          <c:order val="984"/>
          <c:tx>
            <c:strRef>
              <c:f>'2022_Data'!$A$986</c:f>
            </c:strRef>
          </c:tx>
          <c:dLbls>
            <c:dLblPos val="ctr"/>
            <c:showLegendKey val="0"/>
            <c:showVal val="0"/>
            <c:showCatName val="0"/>
            <c:showSerName val="1"/>
            <c:showPercent val="0"/>
            <c:showBubbleSize val="0"/>
          </c:dLbls>
          <c:xVal>
            <c:strRef>
              <c:f>'2022_Data'!$F$986</c:f>
            </c:strRef>
          </c:xVal>
          <c:yVal>
            <c:numRef>
              <c:f>'2022_Data'!$E$986</c:f>
              <c:numCache/>
            </c:numRef>
          </c:yVal>
          <c:bubbleSize>
            <c:numRef>
              <c:f>'2022_Data'!$G$986</c:f>
            </c:numRef>
          </c:bubbleSize>
        </c:ser>
        <c:ser>
          <c:idx val="985"/>
          <c:order val="985"/>
          <c:tx>
            <c:strRef>
              <c:f>'2022_Data'!$A$987</c:f>
            </c:strRef>
          </c:tx>
          <c:dLbls>
            <c:dLblPos val="ctr"/>
            <c:showLegendKey val="0"/>
            <c:showVal val="0"/>
            <c:showCatName val="0"/>
            <c:showSerName val="1"/>
            <c:showPercent val="0"/>
            <c:showBubbleSize val="0"/>
          </c:dLbls>
          <c:xVal>
            <c:strRef>
              <c:f>'2022_Data'!$F$987</c:f>
            </c:strRef>
          </c:xVal>
          <c:yVal>
            <c:numRef>
              <c:f>'2022_Data'!$E$987</c:f>
              <c:numCache/>
            </c:numRef>
          </c:yVal>
          <c:bubbleSize>
            <c:numRef>
              <c:f>'2022_Data'!$G$987</c:f>
            </c:numRef>
          </c:bubbleSize>
        </c:ser>
        <c:ser>
          <c:idx val="986"/>
          <c:order val="986"/>
          <c:tx>
            <c:strRef>
              <c:f>'2022_Data'!$A$988</c:f>
            </c:strRef>
          </c:tx>
          <c:dLbls>
            <c:dLblPos val="ctr"/>
            <c:showLegendKey val="0"/>
            <c:showVal val="0"/>
            <c:showCatName val="0"/>
            <c:showSerName val="1"/>
            <c:showPercent val="0"/>
            <c:showBubbleSize val="0"/>
          </c:dLbls>
          <c:xVal>
            <c:strRef>
              <c:f>'2022_Data'!$F$988</c:f>
            </c:strRef>
          </c:xVal>
          <c:yVal>
            <c:numRef>
              <c:f>'2022_Data'!$E$988</c:f>
              <c:numCache/>
            </c:numRef>
          </c:yVal>
          <c:bubbleSize>
            <c:numRef>
              <c:f>'2022_Data'!$G$988</c:f>
            </c:numRef>
          </c:bubbleSize>
        </c:ser>
        <c:ser>
          <c:idx val="987"/>
          <c:order val="987"/>
          <c:tx>
            <c:strRef>
              <c:f>'2022_Data'!$A$989</c:f>
            </c:strRef>
          </c:tx>
          <c:dLbls>
            <c:dLblPos val="ctr"/>
            <c:showLegendKey val="0"/>
            <c:showVal val="0"/>
            <c:showCatName val="0"/>
            <c:showSerName val="1"/>
            <c:showPercent val="0"/>
            <c:showBubbleSize val="0"/>
          </c:dLbls>
          <c:xVal>
            <c:strRef>
              <c:f>'2022_Data'!$F$989</c:f>
            </c:strRef>
          </c:xVal>
          <c:yVal>
            <c:numRef>
              <c:f>'2022_Data'!$E$989</c:f>
              <c:numCache/>
            </c:numRef>
          </c:yVal>
          <c:bubbleSize>
            <c:numRef>
              <c:f>'2022_Data'!$G$989</c:f>
            </c:numRef>
          </c:bubbleSize>
        </c:ser>
        <c:ser>
          <c:idx val="988"/>
          <c:order val="988"/>
          <c:tx>
            <c:strRef>
              <c:f>'2022_Data'!$A$990</c:f>
            </c:strRef>
          </c:tx>
          <c:dLbls>
            <c:dLblPos val="ctr"/>
            <c:showLegendKey val="0"/>
            <c:showVal val="0"/>
            <c:showCatName val="0"/>
            <c:showSerName val="1"/>
            <c:showPercent val="0"/>
            <c:showBubbleSize val="0"/>
          </c:dLbls>
          <c:xVal>
            <c:strRef>
              <c:f>'2022_Data'!$F$990</c:f>
            </c:strRef>
          </c:xVal>
          <c:yVal>
            <c:numRef>
              <c:f>'2022_Data'!$E$990</c:f>
              <c:numCache/>
            </c:numRef>
          </c:yVal>
          <c:bubbleSize>
            <c:numRef>
              <c:f>'2022_Data'!$G$990</c:f>
            </c:numRef>
          </c:bubbleSize>
        </c:ser>
        <c:ser>
          <c:idx val="989"/>
          <c:order val="989"/>
          <c:tx>
            <c:strRef>
              <c:f>'2022_Data'!$A$991</c:f>
            </c:strRef>
          </c:tx>
          <c:dLbls>
            <c:dLblPos val="ctr"/>
            <c:showLegendKey val="0"/>
            <c:showVal val="0"/>
            <c:showCatName val="0"/>
            <c:showSerName val="1"/>
            <c:showPercent val="0"/>
            <c:showBubbleSize val="0"/>
          </c:dLbls>
          <c:xVal>
            <c:strRef>
              <c:f>'2022_Data'!$F$991</c:f>
            </c:strRef>
          </c:xVal>
          <c:yVal>
            <c:numRef>
              <c:f>'2022_Data'!$E$991</c:f>
              <c:numCache/>
            </c:numRef>
          </c:yVal>
          <c:bubbleSize>
            <c:numRef>
              <c:f>'2022_Data'!$G$991</c:f>
            </c:numRef>
          </c:bubbleSize>
        </c:ser>
        <c:ser>
          <c:idx val="990"/>
          <c:order val="990"/>
          <c:tx>
            <c:strRef>
              <c:f>'2022_Data'!$A$992</c:f>
            </c:strRef>
          </c:tx>
          <c:dLbls>
            <c:dLblPos val="ctr"/>
            <c:showLegendKey val="0"/>
            <c:showVal val="0"/>
            <c:showCatName val="0"/>
            <c:showSerName val="1"/>
            <c:showPercent val="0"/>
            <c:showBubbleSize val="0"/>
          </c:dLbls>
          <c:xVal>
            <c:strRef>
              <c:f>'2022_Data'!$F$992</c:f>
            </c:strRef>
          </c:xVal>
          <c:yVal>
            <c:numRef>
              <c:f>'2022_Data'!$E$992</c:f>
              <c:numCache/>
            </c:numRef>
          </c:yVal>
          <c:bubbleSize>
            <c:numRef>
              <c:f>'2022_Data'!$G$992</c:f>
            </c:numRef>
          </c:bubbleSize>
        </c:ser>
        <c:ser>
          <c:idx val="991"/>
          <c:order val="991"/>
          <c:tx>
            <c:strRef>
              <c:f>'2022_Data'!$A$993</c:f>
            </c:strRef>
          </c:tx>
          <c:dLbls>
            <c:dLblPos val="ctr"/>
            <c:showLegendKey val="0"/>
            <c:showVal val="0"/>
            <c:showCatName val="0"/>
            <c:showSerName val="1"/>
            <c:showPercent val="0"/>
            <c:showBubbleSize val="0"/>
          </c:dLbls>
          <c:xVal>
            <c:strRef>
              <c:f>'2022_Data'!$F$993</c:f>
            </c:strRef>
          </c:xVal>
          <c:yVal>
            <c:numRef>
              <c:f>'2022_Data'!$E$993</c:f>
              <c:numCache/>
            </c:numRef>
          </c:yVal>
          <c:bubbleSize>
            <c:numRef>
              <c:f>'2022_Data'!$G$993</c:f>
            </c:numRef>
          </c:bubbleSize>
        </c:ser>
        <c:ser>
          <c:idx val="992"/>
          <c:order val="992"/>
          <c:tx>
            <c:strRef>
              <c:f>'2022_Data'!$A$994</c:f>
            </c:strRef>
          </c:tx>
          <c:dLbls>
            <c:dLblPos val="ctr"/>
            <c:showLegendKey val="0"/>
            <c:showVal val="0"/>
            <c:showCatName val="0"/>
            <c:showSerName val="1"/>
            <c:showPercent val="0"/>
            <c:showBubbleSize val="0"/>
          </c:dLbls>
          <c:xVal>
            <c:strRef>
              <c:f>'2022_Data'!$F$994</c:f>
            </c:strRef>
          </c:xVal>
          <c:yVal>
            <c:numRef>
              <c:f>'2022_Data'!$E$994</c:f>
              <c:numCache/>
            </c:numRef>
          </c:yVal>
          <c:bubbleSize>
            <c:numRef>
              <c:f>'2022_Data'!$G$994</c:f>
            </c:numRef>
          </c:bubbleSize>
        </c:ser>
        <c:ser>
          <c:idx val="993"/>
          <c:order val="993"/>
          <c:tx>
            <c:strRef>
              <c:f>'2022_Data'!$A$995</c:f>
            </c:strRef>
          </c:tx>
          <c:dLbls>
            <c:dLblPos val="ctr"/>
            <c:showLegendKey val="0"/>
            <c:showVal val="0"/>
            <c:showCatName val="0"/>
            <c:showSerName val="1"/>
            <c:showPercent val="0"/>
            <c:showBubbleSize val="0"/>
          </c:dLbls>
          <c:xVal>
            <c:strRef>
              <c:f>'2022_Data'!$F$995</c:f>
            </c:strRef>
          </c:xVal>
          <c:yVal>
            <c:numRef>
              <c:f>'2022_Data'!$E$995</c:f>
              <c:numCache/>
            </c:numRef>
          </c:yVal>
          <c:bubbleSize>
            <c:numRef>
              <c:f>'2022_Data'!$G$995</c:f>
            </c:numRef>
          </c:bubbleSize>
        </c:ser>
        <c:ser>
          <c:idx val="994"/>
          <c:order val="994"/>
          <c:tx>
            <c:strRef>
              <c:f>'2022_Data'!$A$996</c:f>
            </c:strRef>
          </c:tx>
          <c:dLbls>
            <c:dLblPos val="ctr"/>
            <c:showLegendKey val="0"/>
            <c:showVal val="0"/>
            <c:showCatName val="0"/>
            <c:showSerName val="1"/>
            <c:showPercent val="0"/>
            <c:showBubbleSize val="0"/>
          </c:dLbls>
          <c:xVal>
            <c:strRef>
              <c:f>'2022_Data'!$F$996</c:f>
            </c:strRef>
          </c:xVal>
          <c:yVal>
            <c:numRef>
              <c:f>'2022_Data'!$E$996</c:f>
              <c:numCache/>
            </c:numRef>
          </c:yVal>
          <c:bubbleSize>
            <c:numRef>
              <c:f>'2022_Data'!$G$996</c:f>
            </c:numRef>
          </c:bubbleSize>
        </c:ser>
        <c:ser>
          <c:idx val="995"/>
          <c:order val="995"/>
          <c:tx>
            <c:strRef>
              <c:f>'2022_Data'!$A$997</c:f>
            </c:strRef>
          </c:tx>
          <c:dLbls>
            <c:dLblPos val="ctr"/>
            <c:showLegendKey val="0"/>
            <c:showVal val="0"/>
            <c:showCatName val="0"/>
            <c:showSerName val="1"/>
            <c:showPercent val="0"/>
            <c:showBubbleSize val="0"/>
          </c:dLbls>
          <c:xVal>
            <c:strRef>
              <c:f>'2022_Data'!$F$997</c:f>
            </c:strRef>
          </c:xVal>
          <c:yVal>
            <c:numRef>
              <c:f>'2022_Data'!$E$997</c:f>
              <c:numCache/>
            </c:numRef>
          </c:yVal>
          <c:bubbleSize>
            <c:numRef>
              <c:f>'2022_Data'!$G$997</c:f>
            </c:numRef>
          </c:bubbleSize>
        </c:ser>
        <c:ser>
          <c:idx val="996"/>
          <c:order val="996"/>
          <c:tx>
            <c:strRef>
              <c:f>'2022_Data'!$A$998</c:f>
            </c:strRef>
          </c:tx>
          <c:dLbls>
            <c:dLblPos val="ctr"/>
            <c:showLegendKey val="0"/>
            <c:showVal val="0"/>
            <c:showCatName val="0"/>
            <c:showSerName val="1"/>
            <c:showPercent val="0"/>
            <c:showBubbleSize val="0"/>
          </c:dLbls>
          <c:xVal>
            <c:strRef>
              <c:f>'2022_Data'!$F$998</c:f>
            </c:strRef>
          </c:xVal>
          <c:yVal>
            <c:numRef>
              <c:f>'2022_Data'!$E$998</c:f>
              <c:numCache/>
            </c:numRef>
          </c:yVal>
          <c:bubbleSize>
            <c:numRef>
              <c:f>'2022_Data'!$G$998</c:f>
            </c:numRef>
          </c:bubbleSize>
        </c:ser>
        <c:ser>
          <c:idx val="997"/>
          <c:order val="997"/>
          <c:tx>
            <c:strRef>
              <c:f>'2022_Data'!$A$999</c:f>
            </c:strRef>
          </c:tx>
          <c:dLbls>
            <c:dLblPos val="ctr"/>
            <c:showLegendKey val="0"/>
            <c:showVal val="0"/>
            <c:showCatName val="0"/>
            <c:showSerName val="1"/>
            <c:showPercent val="0"/>
            <c:showBubbleSize val="0"/>
          </c:dLbls>
          <c:xVal>
            <c:strRef>
              <c:f>'2022_Data'!$F$999</c:f>
            </c:strRef>
          </c:xVal>
          <c:yVal>
            <c:numRef>
              <c:f>'2022_Data'!$E$999</c:f>
              <c:numCache/>
            </c:numRef>
          </c:yVal>
          <c:bubbleSize>
            <c:numRef>
              <c:f>'2022_Data'!$G$999</c:f>
            </c:numRef>
          </c:bubbleSize>
        </c:ser>
        <c:ser>
          <c:idx val="998"/>
          <c:order val="998"/>
          <c:tx>
            <c:strRef>
              <c:f>'2022_Data'!$A$1000</c:f>
            </c:strRef>
          </c:tx>
          <c:dLbls>
            <c:dLblPos val="ctr"/>
            <c:showLegendKey val="0"/>
            <c:showVal val="0"/>
            <c:showCatName val="0"/>
            <c:showSerName val="1"/>
            <c:showPercent val="0"/>
            <c:showBubbleSize val="0"/>
          </c:dLbls>
          <c:xVal>
            <c:strRef>
              <c:f>'2022_Data'!$F$1000</c:f>
            </c:strRef>
          </c:xVal>
          <c:yVal>
            <c:numRef>
              <c:f>'2022_Data'!$E$1000</c:f>
              <c:numCache/>
            </c:numRef>
          </c:yVal>
          <c:bubbleSize>
            <c:numRef>
              <c:f>'2022_Data'!$G$1000</c:f>
            </c:numRef>
          </c:bubbleSize>
        </c:ser>
        <c:axId val="593911302"/>
        <c:axId val="1344912134"/>
      </c:bubbleChart>
      <c:valAx>
        <c:axId val="59391130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Investment ($ million)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4912134"/>
      </c:valAx>
      <c:valAx>
        <c:axId val="13449121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Annual Generation (GWh)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93911302"/>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Distribution of Wind Annual Generation by State (2024)</a:t>
            </a:r>
          </a:p>
        </c:rich>
      </c:tx>
      <c:overlay val="0"/>
    </c:title>
    <c:plotArea>
      <c:layout/>
      <c:stockChart>
        <c:ser>
          <c:idx val="0"/>
          <c:order val="0"/>
          <c:tx>
            <c:strRef>
              <c:f>Wind_2024!$L$1</c:f>
            </c:strRef>
          </c:tx>
          <c:spPr>
            <a:ln cmpd="sng">
              <a:noFill/>
            </a:ln>
          </c:spPr>
          <c:marker>
            <c:symbol val="none"/>
          </c:marker>
          <c:cat>
            <c:strRef>
              <c:f>Wind_2024!$J$2</c:f>
            </c:strRef>
          </c:cat>
          <c:val>
            <c:numRef>
              <c:f>Wind_2024!$L$2</c:f>
              <c:numCache/>
            </c:numRef>
          </c:val>
          <c:smooth val="0"/>
        </c:ser>
        <c:ser>
          <c:idx val="1"/>
          <c:order val="1"/>
          <c:tx>
            <c:strRef>
              <c:f>Wind_2024!$N$1</c:f>
            </c:strRef>
          </c:tx>
          <c:spPr>
            <a:ln cmpd="sng">
              <a:noFill/>
            </a:ln>
          </c:spPr>
          <c:marker>
            <c:symbol val="none"/>
          </c:marker>
          <c:cat>
            <c:strRef>
              <c:f>Wind_2024!$J$2</c:f>
            </c:strRef>
          </c:cat>
          <c:val>
            <c:numRef>
              <c:f>Wind_2024!$N$2</c:f>
              <c:numCache/>
            </c:numRef>
          </c:val>
          <c:smooth val="0"/>
        </c:ser>
        <c:ser>
          <c:idx val="2"/>
          <c:order val="2"/>
          <c:tx>
            <c:strRef>
              <c:f>Wind_2024!$K$1</c:f>
            </c:strRef>
          </c:tx>
          <c:spPr>
            <a:ln cmpd="sng">
              <a:noFill/>
            </a:ln>
          </c:spPr>
          <c:marker>
            <c:symbol val="none"/>
          </c:marker>
          <c:cat>
            <c:strRef>
              <c:f>Wind_2024!$J$2</c:f>
            </c:strRef>
          </c:cat>
          <c:val>
            <c:numRef>
              <c:f>Wind_2024!$K$2</c:f>
              <c:numCache/>
            </c:numRef>
          </c:val>
          <c:smooth val="0"/>
        </c:ser>
        <c:ser>
          <c:idx val="3"/>
          <c:order val="3"/>
          <c:tx>
            <c:strRef>
              <c:f>Wind_2024!$M$1</c:f>
            </c:strRef>
          </c:tx>
          <c:spPr>
            <a:ln cmpd="sng">
              <a:noFill/>
            </a:ln>
          </c:spPr>
          <c:marker>
            <c:symbol val="none"/>
          </c:marker>
          <c:cat>
            <c:strRef>
              <c:f>Wind_2024!$J$2</c:f>
            </c:strRef>
          </c:cat>
          <c:val>
            <c:numRef>
              <c:f>Wind_2024!$M$2</c:f>
              <c:numCache/>
            </c:numRef>
          </c:val>
          <c:smooth val="0"/>
        </c:ser>
        <c:hiLowLines/>
        <c:upDownBars>
          <c:upBars>
            <c:spPr>
              <a:solidFill>
                <a:schemeClr val="accent1"/>
              </a:solidFill>
              <a:ln cmpd="sng" w="19050">
                <a:solidFill>
                  <a:schemeClr val="accent1"/>
                </a:solidFill>
              </a:ln>
            </c:spPr>
          </c:upBars>
          <c:downBars>
            <c:spPr>
              <a:solidFill>
                <a:srgbClr val="FFFFFF"/>
              </a:solidFill>
              <a:ln cmpd="sng" w="19050">
                <a:solidFill>
                  <a:schemeClr val="accent1"/>
                </a:solidFill>
              </a:ln>
            </c:spPr>
          </c:downBars>
        </c:upDownBars>
        <c:axId val="1306826344"/>
        <c:axId val="1841765409"/>
      </c:stockChart>
      <c:dateAx>
        <c:axId val="1306826344"/>
        <c:scaling>
          <c:orientation val="minMax"/>
        </c:scaling>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1765409"/>
      </c:dateAx>
      <c:valAx>
        <c:axId val="18417654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0682634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 Id="rId5"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0</xdr:row>
      <xdr:rowOff>0</xdr:rowOff>
    </xdr:from>
    <xdr:ext cx="5715000" cy="3533775"/>
    <xdr:graphicFrame>
      <xdr:nvGraphicFramePr>
        <xdr:cNvPr id="117623753"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76200</xdr:colOff>
      <xdr:row>0</xdr:row>
      <xdr:rowOff>95250</xdr:rowOff>
    </xdr:from>
    <xdr:ext cx="5715000" cy="3533775"/>
    <xdr:graphicFrame>
      <xdr:nvGraphicFramePr>
        <xdr:cNvPr id="213795681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428625</xdr:colOff>
      <xdr:row>21</xdr:row>
      <xdr:rowOff>47625</xdr:rowOff>
    </xdr:from>
    <xdr:ext cx="5715000" cy="3533775"/>
    <xdr:graphicFrame>
      <xdr:nvGraphicFramePr>
        <xdr:cNvPr id="2049635891"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95250</xdr:colOff>
      <xdr:row>1</xdr:row>
      <xdr:rowOff>180975</xdr:rowOff>
    </xdr:from>
    <xdr:ext cx="5715000" cy="3533775"/>
    <xdr:graphicFrame>
      <xdr:nvGraphicFramePr>
        <xdr:cNvPr id="918833832"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723900</xdr:colOff>
      <xdr:row>1</xdr:row>
      <xdr:rowOff>0</xdr:rowOff>
    </xdr:from>
    <xdr:ext cx="5905500" cy="3533775"/>
    <xdr:graphicFrame>
      <xdr:nvGraphicFramePr>
        <xdr:cNvPr id="442097425"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14</xdr:row>
      <xdr:rowOff>104775</xdr:rowOff>
    </xdr:from>
    <xdr:ext cx="5715000" cy="3533775"/>
    <xdr:graphicFrame>
      <xdr:nvGraphicFramePr>
        <xdr:cNvPr id="1613462798"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7</xdr:col>
      <xdr:colOff>0</xdr:colOff>
      <xdr:row>16</xdr:row>
      <xdr:rowOff>771525</xdr:rowOff>
    </xdr:from>
    <xdr:ext cx="5715000" cy="3533775"/>
    <xdr:graphicFrame>
      <xdr:nvGraphicFramePr>
        <xdr:cNvPr id="1013146909"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0</xdr:colOff>
      <xdr:row>18</xdr:row>
      <xdr:rowOff>1981200</xdr:rowOff>
    </xdr:from>
    <xdr:ext cx="5715000" cy="3533775"/>
    <xdr:graphicFrame>
      <xdr:nvGraphicFramePr>
        <xdr:cNvPr id="1227778633"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95250</xdr:colOff>
      <xdr:row>31</xdr:row>
      <xdr:rowOff>180975</xdr:rowOff>
    </xdr:from>
    <xdr:ext cx="5715000" cy="3533775"/>
    <xdr:graphicFrame>
      <xdr:nvGraphicFramePr>
        <xdr:cNvPr id="1271930913" name="Chart 9"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26" sheet="CA_2020_2024"/>
  </cacheSource>
  <cacheFields>
    <cacheField name="State" numFmtId="0">
      <sharedItems>
        <s v="California"/>
      </sharedItems>
    </cacheField>
    <cacheField name="Year" numFmtId="0">
      <sharedItems containsSemiMixedTypes="0" containsString="0" containsNumber="1" containsInteger="1">
        <n v="2020.0"/>
        <n v="2021.0"/>
        <n v="2022.0"/>
        <n v="2023.0"/>
        <n v="2024.0"/>
      </sharedItems>
    </cacheField>
    <cacheField name="Renewable Energy Type" numFmtId="0">
      <sharedItems>
        <s v="Wind"/>
        <s v="Solar"/>
        <s v="Hydroelectric"/>
        <s v="Geothermal"/>
        <s v="Biomass"/>
      </sharedItems>
    </cacheField>
    <cacheField name="Installed Capacity (MW)" numFmtId="0">
      <sharedItems containsSemiMixedTypes="0" containsString="0" containsNumber="1">
        <n v="217.8"/>
        <n v="233.1"/>
        <n v="227.6"/>
        <n v="280.4"/>
        <n v="274.5"/>
        <n v="304.0"/>
        <n v="294.0"/>
        <n v="248.3"/>
        <n v="359.4"/>
        <n v="292.5"/>
        <n v="322.0"/>
        <n v="381.2"/>
        <n v="285.4"/>
        <n v="350.7"/>
        <n v="346.2"/>
        <n v="332.8"/>
        <n v="345.3"/>
        <n v="340.1"/>
        <n v="367.1"/>
        <n v="337.1"/>
        <n v="415.1"/>
        <n v="363.5"/>
        <n v="434.8"/>
        <n v="451.9"/>
        <n v="428.9"/>
      </sharedItems>
    </cacheField>
    <cacheField name="Annual Generation (GWh)" numFmtId="0">
      <sharedItems containsSemiMixedTypes="0" containsString="0" containsNumber="1">
        <n v="581.3"/>
        <n v="607.4"/>
        <n v="556.8"/>
        <n v="575.2"/>
        <n v="635.7"/>
        <n v="685.4"/>
        <n v="596.8"/>
        <n v="712.1"/>
        <n v="964.4"/>
        <n v="857.4"/>
        <n v="856.2"/>
        <n v="1060.5"/>
        <n v="761.4"/>
        <n v="743.5"/>
        <n v="819.2"/>
        <n v="741.3"/>
        <n v="850.7"/>
        <n v="842.3"/>
        <n v="741.0"/>
        <n v="694.6"/>
        <n v="936.8"/>
        <n v="1082.0"/>
        <n v="1097.8"/>
        <n v="1152.5"/>
        <n v="1060.7"/>
      </sharedItems>
    </cacheField>
    <cacheField name="Investment ($ million)" numFmtId="0">
      <sharedItems containsSemiMixedTypes="0" containsString="0" containsNumber="1">
        <n v="196.4"/>
        <n v="244.7"/>
        <n v="319.8"/>
        <n v="349.9"/>
        <n v="317.0"/>
        <n v="354.3"/>
        <n v="298.6"/>
        <n v="229.4"/>
        <n v="412.6"/>
        <n v="375.2"/>
        <n v="346.4"/>
        <n v="456.2"/>
        <n v="389.8"/>
        <n v="414.2"/>
        <n v="372.9"/>
        <n v="283.3"/>
        <n v="368.0"/>
        <n v="365.9"/>
        <n v="344.0"/>
        <n v="490.2"/>
        <n v="414.9"/>
        <n v="500.2"/>
        <n v="563.6"/>
        <n v="375.3"/>
        <n v="352.9"/>
      </sharedItems>
    </cacheField>
    <cacheField name="Number of Projects" numFmtId="0">
      <sharedItems containsSemiMixedTypes="0" containsString="0" containsNumber="1" containsInteger="1">
        <n v="7.0"/>
        <n v="8.0"/>
        <n v="5.0"/>
        <n v="6.0"/>
        <n v="10.0"/>
        <n v="4.0"/>
        <n v="3.0"/>
        <n v="12.0"/>
        <n v="11.0"/>
        <n v="9.0"/>
      </sharedItems>
    </cacheField>
    <cacheField name="% Contribution to Total Energy Supply" numFmtId="0">
      <sharedItems containsSemiMixedTypes="0" containsString="0" containsNumber="1">
        <n v="13.2"/>
        <n v="39.3"/>
        <n v="11.1"/>
        <n v="23.2"/>
        <n v="49.3"/>
        <n v="33.7"/>
        <n v="10.9"/>
        <n v="33.4"/>
        <n v="41.7"/>
        <n v="30.4"/>
        <n v="29.3"/>
        <n v="6.3"/>
        <n v="44.0"/>
        <n v="17.1"/>
        <n v="19.6"/>
        <n v="9.3"/>
        <n v="26.4"/>
        <n v="40.8"/>
        <n v="44.9"/>
        <n v="10.5"/>
        <n v="29.5"/>
        <n v="34.4"/>
        <n v="39.9"/>
        <n v="32.3"/>
        <n v="32.7"/>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Table 1" cacheId="0" dataCaption="" compact="0" compactData="0">
  <location ref="A1:G8" firstHeaderRow="0" firstDataRow="1" firstDataCol="1"/>
  <pivotFields>
    <pivotField name="State" compact="0" outline="0" multipleItemSelectionAllowed="1" showAll="0">
      <items>
        <item x="0"/>
        <item t="default"/>
      </items>
    </pivotField>
    <pivotField name="Year" axis="axisRow" compact="0" outline="0" multipleItemSelectionAllowed="1" showAll="0" sortType="ascending">
      <items>
        <item x="0"/>
        <item x="1"/>
        <item x="2"/>
        <item x="3"/>
        <item x="4"/>
        <item t="default"/>
      </items>
    </pivotField>
    <pivotField name="Renewable Energy Type" axis="axisCol" compact="0" outline="0" multipleItemSelectionAllowed="1" showAll="0" sortType="ascending">
      <items>
        <item x="4"/>
        <item x="3"/>
        <item x="2"/>
        <item x="1"/>
        <item x="0"/>
        <item t="default"/>
      </items>
    </pivotField>
    <pivotField name="Installed Capacity (MW)"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Annual Generation (GWh)"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Investment ($ mill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Number of Projects" compact="0" outline="0" multipleItemSelectionAllowed="1" showAll="0">
      <items>
        <item x="0"/>
        <item x="1"/>
        <item x="2"/>
        <item x="3"/>
        <item x="4"/>
        <item x="5"/>
        <item x="6"/>
        <item x="7"/>
        <item x="8"/>
        <item x="9"/>
        <item t="default"/>
      </items>
    </pivotField>
    <pivotField name="% Contribution to Total Energy Suppl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s>
  <rowFields>
    <field x="1"/>
  </rowFields>
  <colFields>
    <field x="2"/>
  </colFields>
  <dataFields>
    <dataField name="SUM of Installed Capacity (MW)" fld="3" showDataAs="percentOfRow" baseField="0" numFmtId="1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2" width="5.11"/>
    <col customWidth="1" min="3" max="3" width="20.0"/>
    <col customWidth="1" min="4" max="4" width="20.78"/>
    <col customWidth="1" min="5" max="5" width="22.11"/>
    <col customWidth="1" min="6" max="6" width="18.78"/>
    <col customWidth="1" min="7" max="7" width="16.67"/>
    <col customWidth="1" min="8" max="8" width="31.44"/>
    <col customWidth="1" min="9" max="26" width="10.56"/>
  </cols>
  <sheetData>
    <row r="1" ht="15.75" customHeight="1">
      <c r="A1" s="1" t="s">
        <v>0</v>
      </c>
      <c r="B1" s="2" t="s">
        <v>1</v>
      </c>
      <c r="C1" s="2" t="s">
        <v>2</v>
      </c>
      <c r="D1" s="2" t="s">
        <v>3</v>
      </c>
      <c r="E1" s="2" t="s">
        <v>4</v>
      </c>
      <c r="F1" s="2" t="s">
        <v>5</v>
      </c>
      <c r="G1" s="2" t="s">
        <v>6</v>
      </c>
      <c r="H1" s="2" t="s">
        <v>7</v>
      </c>
      <c r="I1" s="2"/>
      <c r="J1" s="2"/>
      <c r="K1" s="2"/>
      <c r="L1" s="2"/>
      <c r="M1" s="2"/>
      <c r="N1" s="2"/>
      <c r="O1" s="2"/>
      <c r="P1" s="2"/>
      <c r="Q1" s="2"/>
      <c r="R1" s="2"/>
      <c r="S1" s="2"/>
      <c r="T1" s="2"/>
      <c r="U1" s="2"/>
      <c r="V1" s="2"/>
      <c r="W1" s="2"/>
      <c r="X1" s="2"/>
      <c r="Y1" s="2"/>
      <c r="Z1" s="2"/>
    </row>
    <row r="2" ht="15.75" customHeight="1">
      <c r="A2" s="3" t="s">
        <v>8</v>
      </c>
      <c r="B2" s="3">
        <v>2015.0</v>
      </c>
      <c r="C2" s="3" t="s">
        <v>9</v>
      </c>
      <c r="D2" s="3">
        <v>97.6</v>
      </c>
      <c r="E2" s="3">
        <v>210.5</v>
      </c>
      <c r="F2" s="3">
        <v>82.1</v>
      </c>
      <c r="G2" s="3">
        <v>8.0</v>
      </c>
      <c r="H2" s="3">
        <v>17.4</v>
      </c>
    </row>
    <row r="3" ht="15.75" customHeight="1">
      <c r="A3" s="3" t="s">
        <v>8</v>
      </c>
      <c r="B3" s="3">
        <v>2015.0</v>
      </c>
      <c r="C3" s="3" t="s">
        <v>10</v>
      </c>
      <c r="D3" s="3">
        <v>112.6</v>
      </c>
      <c r="E3" s="3">
        <v>298.4</v>
      </c>
      <c r="F3" s="3">
        <v>94.5</v>
      </c>
      <c r="G3" s="3">
        <v>9.0</v>
      </c>
      <c r="H3" s="3">
        <v>41.8</v>
      </c>
    </row>
    <row r="4" ht="15.75" customHeight="1">
      <c r="A4" s="3" t="s">
        <v>8</v>
      </c>
      <c r="B4" s="3">
        <v>2015.0</v>
      </c>
      <c r="C4" s="3" t="s">
        <v>11</v>
      </c>
      <c r="D4" s="3">
        <v>160.9</v>
      </c>
      <c r="E4" s="3">
        <v>322.9</v>
      </c>
      <c r="F4" s="3">
        <v>131.3</v>
      </c>
      <c r="G4" s="3">
        <v>4.0</v>
      </c>
      <c r="H4" s="3">
        <v>19.7</v>
      </c>
    </row>
    <row r="5" ht="15.75" customHeight="1">
      <c r="A5" s="3" t="s">
        <v>8</v>
      </c>
      <c r="B5" s="3">
        <v>2015.0</v>
      </c>
      <c r="C5" s="3" t="s">
        <v>13</v>
      </c>
      <c r="D5" s="3">
        <v>189.2</v>
      </c>
      <c r="E5" s="3">
        <v>466.6</v>
      </c>
      <c r="F5" s="3">
        <v>265.2</v>
      </c>
      <c r="G5" s="3">
        <v>8.0</v>
      </c>
      <c r="H5" s="3">
        <v>9.4</v>
      </c>
    </row>
    <row r="6" ht="15.75" customHeight="1">
      <c r="A6" s="3" t="s">
        <v>8</v>
      </c>
      <c r="B6" s="3">
        <v>2015.0</v>
      </c>
      <c r="C6" s="3" t="s">
        <v>14</v>
      </c>
      <c r="D6" s="3">
        <v>57.2</v>
      </c>
      <c r="E6" s="3">
        <v>115.3</v>
      </c>
      <c r="F6" s="3">
        <v>55.0</v>
      </c>
      <c r="G6" s="3">
        <v>7.0</v>
      </c>
      <c r="H6" s="3">
        <v>30.9</v>
      </c>
    </row>
    <row r="7" ht="15.75" customHeight="1">
      <c r="A7" s="3" t="s">
        <v>8</v>
      </c>
      <c r="B7" s="3">
        <v>2016.0</v>
      </c>
      <c r="C7" s="3" t="s">
        <v>9</v>
      </c>
      <c r="D7" s="3">
        <v>150.6</v>
      </c>
      <c r="E7" s="3">
        <v>306.3</v>
      </c>
      <c r="F7" s="3">
        <v>216.3</v>
      </c>
      <c r="G7" s="3">
        <v>5.0</v>
      </c>
      <c r="H7" s="3">
        <v>9.9</v>
      </c>
    </row>
    <row r="8" ht="15.75" customHeight="1">
      <c r="A8" s="3" t="s">
        <v>8</v>
      </c>
      <c r="B8" s="3">
        <v>2016.0</v>
      </c>
      <c r="C8" s="3" t="s">
        <v>10</v>
      </c>
      <c r="D8" s="3">
        <v>119.3</v>
      </c>
      <c r="E8" s="3">
        <v>303.7</v>
      </c>
      <c r="F8" s="3">
        <v>110.8</v>
      </c>
      <c r="H8" s="3">
        <v>39.0</v>
      </c>
    </row>
    <row r="9" ht="15.75" customHeight="1">
      <c r="A9" s="3" t="s">
        <v>8</v>
      </c>
      <c r="B9" s="3">
        <v>2016.0</v>
      </c>
      <c r="C9" s="3" t="s">
        <v>11</v>
      </c>
      <c r="D9" s="3">
        <v>84.2</v>
      </c>
      <c r="E9" s="3">
        <v>201.7</v>
      </c>
      <c r="F9" s="3">
        <v>122.0</v>
      </c>
      <c r="G9" s="3">
        <v>8.0</v>
      </c>
      <c r="H9" s="3">
        <v>29.0</v>
      </c>
    </row>
    <row r="10" ht="15.75" customHeight="1">
      <c r="A10" s="3" t="s">
        <v>8</v>
      </c>
      <c r="B10" s="3">
        <v>2016.0</v>
      </c>
      <c r="C10" s="3" t="s">
        <v>13</v>
      </c>
      <c r="D10" s="3">
        <v>140.7</v>
      </c>
      <c r="E10" s="3">
        <v>319.6</v>
      </c>
      <c r="F10" s="3">
        <v>194.2</v>
      </c>
      <c r="G10" s="3">
        <v>10.0</v>
      </c>
      <c r="H10" s="3">
        <v>14.8</v>
      </c>
    </row>
    <row r="11" ht="15.75" customHeight="1">
      <c r="A11" s="3" t="s">
        <v>8</v>
      </c>
      <c r="B11" s="3">
        <v>2016.0</v>
      </c>
      <c r="C11" s="3" t="s">
        <v>14</v>
      </c>
      <c r="D11" s="3">
        <v>102.5</v>
      </c>
      <c r="E11" s="3">
        <v>235.4</v>
      </c>
      <c r="F11" s="3">
        <v>93.9</v>
      </c>
      <c r="G11" s="3">
        <v>10.0</v>
      </c>
      <c r="H11" s="3">
        <v>49.4</v>
      </c>
    </row>
    <row r="12" ht="15.75" customHeight="1">
      <c r="A12" s="3" t="s">
        <v>8</v>
      </c>
      <c r="B12" s="3">
        <v>2017.0</v>
      </c>
      <c r="C12" s="3" t="s">
        <v>9</v>
      </c>
      <c r="D12" s="3">
        <v>157.5</v>
      </c>
      <c r="E12" s="3">
        <v>429.7</v>
      </c>
      <c r="F12" s="3">
        <v>211.0</v>
      </c>
      <c r="G12" s="3">
        <v>6.0</v>
      </c>
      <c r="H12" s="3">
        <v>46.4</v>
      </c>
    </row>
    <row r="13" ht="15.75" customHeight="1">
      <c r="A13" s="3" t="s">
        <v>8</v>
      </c>
      <c r="B13" s="3">
        <v>2017.0</v>
      </c>
      <c r="C13" s="3" t="s">
        <v>10</v>
      </c>
      <c r="D13" s="3">
        <v>206.6</v>
      </c>
      <c r="E13" s="3">
        <v>602.3</v>
      </c>
      <c r="F13" s="3">
        <v>288.3</v>
      </c>
      <c r="G13" s="3">
        <v>4.0</v>
      </c>
      <c r="H13" s="3">
        <v>5.7</v>
      </c>
    </row>
    <row r="14" ht="15.75" customHeight="1">
      <c r="A14" s="3" t="s">
        <v>8</v>
      </c>
      <c r="B14" s="3">
        <v>2017.0</v>
      </c>
      <c r="C14" s="3" t="s">
        <v>11</v>
      </c>
      <c r="D14" s="3">
        <v>198.4</v>
      </c>
      <c r="E14" s="3">
        <v>514.0</v>
      </c>
      <c r="F14" s="3">
        <v>196.8</v>
      </c>
      <c r="G14" s="3">
        <v>4.0</v>
      </c>
      <c r="H14" s="3">
        <v>24.1</v>
      </c>
    </row>
    <row r="15" ht="15.75" customHeight="1">
      <c r="A15" s="3" t="s">
        <v>8</v>
      </c>
      <c r="B15" s="3">
        <v>2017.0</v>
      </c>
      <c r="C15" s="3" t="s">
        <v>13</v>
      </c>
      <c r="D15" s="3">
        <v>223.0</v>
      </c>
      <c r="E15" s="3">
        <v>605.1</v>
      </c>
      <c r="F15" s="3">
        <v>297.2</v>
      </c>
      <c r="G15" s="3">
        <v>9.0</v>
      </c>
      <c r="H15" s="3">
        <v>38.8</v>
      </c>
    </row>
    <row r="16" ht="15.75" customHeight="1">
      <c r="A16" s="3" t="s">
        <v>8</v>
      </c>
      <c r="B16" s="3">
        <v>2017.0</v>
      </c>
      <c r="C16" s="3" t="s">
        <v>14</v>
      </c>
      <c r="D16" s="3">
        <v>87.4</v>
      </c>
      <c r="E16" s="3">
        <v>177.0</v>
      </c>
      <c r="F16" s="3">
        <v>76.5</v>
      </c>
      <c r="G16" s="3">
        <v>7.0</v>
      </c>
      <c r="H16" s="3">
        <v>24.3</v>
      </c>
    </row>
    <row r="17" ht="15.75" customHeight="1">
      <c r="A17" s="3" t="s">
        <v>8</v>
      </c>
      <c r="B17" s="3">
        <v>2018.0</v>
      </c>
      <c r="C17" s="3" t="s">
        <v>9</v>
      </c>
      <c r="D17" s="3">
        <v>197.7</v>
      </c>
      <c r="E17" s="3">
        <v>574.7</v>
      </c>
      <c r="F17" s="3">
        <v>192.6</v>
      </c>
      <c r="G17" s="3">
        <v>5.0</v>
      </c>
      <c r="H17" s="3">
        <v>47.2</v>
      </c>
    </row>
    <row r="18" ht="15.75" customHeight="1">
      <c r="A18" s="3" t="s">
        <v>8</v>
      </c>
      <c r="B18" s="3">
        <v>2018.0</v>
      </c>
      <c r="C18" s="3" t="s">
        <v>10</v>
      </c>
      <c r="D18" s="3">
        <v>249.1</v>
      </c>
      <c r="E18" s="3">
        <v>653.9</v>
      </c>
      <c r="F18" s="3">
        <v>250.9</v>
      </c>
      <c r="G18" s="3">
        <v>7.0</v>
      </c>
      <c r="H18" s="3">
        <v>43.7</v>
      </c>
    </row>
    <row r="19" ht="15.75" customHeight="1">
      <c r="A19" s="3" t="s">
        <v>8</v>
      </c>
      <c r="B19" s="3">
        <v>2018.0</v>
      </c>
      <c r="C19" s="3" t="s">
        <v>11</v>
      </c>
      <c r="D19" s="3">
        <v>207.8</v>
      </c>
      <c r="E19" s="3">
        <v>461.1</v>
      </c>
      <c r="F19" s="3">
        <v>226.9</v>
      </c>
      <c r="G19" s="3">
        <v>9.0</v>
      </c>
      <c r="H19" s="3">
        <v>44.9</v>
      </c>
    </row>
    <row r="20" ht="15.75" customHeight="1">
      <c r="A20" s="3" t="s">
        <v>8</v>
      </c>
      <c r="B20" s="3">
        <v>2018.0</v>
      </c>
      <c r="C20" s="3" t="s">
        <v>13</v>
      </c>
      <c r="D20" s="3">
        <v>223.3</v>
      </c>
      <c r="E20" s="3">
        <v>542.0</v>
      </c>
      <c r="F20" s="3">
        <v>306.5</v>
      </c>
      <c r="G20" s="3">
        <v>11.0</v>
      </c>
      <c r="H20" s="3">
        <v>15.9</v>
      </c>
    </row>
    <row r="21" ht="15.75" customHeight="1">
      <c r="A21" s="3" t="s">
        <v>8</v>
      </c>
      <c r="B21" s="3">
        <v>2018.0</v>
      </c>
      <c r="C21" s="3" t="s">
        <v>14</v>
      </c>
      <c r="D21" s="3">
        <v>228.0</v>
      </c>
      <c r="E21" s="3">
        <v>572.4</v>
      </c>
      <c r="F21" s="3">
        <v>249.0</v>
      </c>
      <c r="G21" s="3">
        <v>7.0</v>
      </c>
      <c r="H21" s="3">
        <v>34.9</v>
      </c>
    </row>
    <row r="22" ht="15.75" customHeight="1">
      <c r="A22" s="3" t="s">
        <v>8</v>
      </c>
      <c r="B22" s="3">
        <v>2019.0</v>
      </c>
      <c r="C22" s="3" t="s">
        <v>9</v>
      </c>
      <c r="D22" s="3">
        <v>223.0</v>
      </c>
      <c r="E22" s="3">
        <v>494.8</v>
      </c>
      <c r="F22" s="3">
        <v>265.5</v>
      </c>
      <c r="G22" s="3">
        <v>6.0</v>
      </c>
      <c r="H22" s="3">
        <v>18.8</v>
      </c>
    </row>
    <row r="23" ht="15.75" customHeight="1">
      <c r="A23" s="3" t="s">
        <v>8</v>
      </c>
      <c r="B23" s="3">
        <v>2019.0</v>
      </c>
      <c r="C23" s="3" t="s">
        <v>10</v>
      </c>
      <c r="D23" s="3">
        <v>241.6</v>
      </c>
      <c r="E23" s="3">
        <v>715.7</v>
      </c>
      <c r="F23" s="3">
        <v>235.8</v>
      </c>
      <c r="G23" s="3">
        <v>4.0</v>
      </c>
      <c r="H23" s="3">
        <v>35.9</v>
      </c>
    </row>
    <row r="24" ht="15.75" customHeight="1">
      <c r="A24" s="3" t="s">
        <v>8</v>
      </c>
      <c r="B24" s="3">
        <v>2019.0</v>
      </c>
      <c r="C24" s="3" t="s">
        <v>11</v>
      </c>
      <c r="D24" s="3">
        <v>258.1</v>
      </c>
      <c r="E24" s="3">
        <v>645.9</v>
      </c>
      <c r="F24" s="3">
        <v>215.8</v>
      </c>
      <c r="G24" s="3">
        <v>7.0</v>
      </c>
      <c r="H24" s="3">
        <v>17.9</v>
      </c>
    </row>
    <row r="25" ht="15.75" customHeight="1">
      <c r="A25" s="3" t="s">
        <v>8</v>
      </c>
      <c r="B25" s="3">
        <v>2019.0</v>
      </c>
      <c r="C25" s="3" t="s">
        <v>13</v>
      </c>
      <c r="D25" s="3">
        <v>187.0</v>
      </c>
      <c r="E25" s="3">
        <v>418.8</v>
      </c>
      <c r="F25" s="3">
        <v>168.6</v>
      </c>
      <c r="G25" s="3">
        <v>7.0</v>
      </c>
      <c r="H25" s="3">
        <v>12.9</v>
      </c>
    </row>
    <row r="26" ht="15.75" customHeight="1">
      <c r="A26" s="3" t="s">
        <v>8</v>
      </c>
      <c r="B26" s="3">
        <v>2019.0</v>
      </c>
      <c r="C26" s="3" t="s">
        <v>14</v>
      </c>
      <c r="D26" s="3">
        <v>260.6</v>
      </c>
      <c r="E26" s="3">
        <v>584.2</v>
      </c>
      <c r="F26" s="3">
        <v>354.9</v>
      </c>
      <c r="G26" s="3">
        <v>7.0</v>
      </c>
      <c r="H26" s="3">
        <v>32.0</v>
      </c>
    </row>
    <row r="27" ht="15.75" customHeight="1">
      <c r="A27" s="3" t="s">
        <v>8</v>
      </c>
      <c r="B27" s="3">
        <v>2020.0</v>
      </c>
      <c r="C27" s="3" t="s">
        <v>9</v>
      </c>
      <c r="D27" s="3">
        <v>278.3</v>
      </c>
      <c r="E27" s="3">
        <v>667.7</v>
      </c>
      <c r="F27" s="3">
        <v>381.7</v>
      </c>
      <c r="G27" s="3">
        <v>3.0</v>
      </c>
      <c r="H27" s="3">
        <v>8.4</v>
      </c>
    </row>
    <row r="28" ht="15.75" customHeight="1">
      <c r="A28" s="3" t="s">
        <v>8</v>
      </c>
      <c r="B28" s="3">
        <v>2020.0</v>
      </c>
      <c r="C28" s="3" t="s">
        <v>10</v>
      </c>
      <c r="D28" s="3">
        <v>339.2</v>
      </c>
      <c r="E28" s="3">
        <v>684.0</v>
      </c>
      <c r="F28" s="3">
        <v>392.9</v>
      </c>
      <c r="G28" s="3">
        <v>6.0</v>
      </c>
      <c r="H28" s="3">
        <v>18.1</v>
      </c>
    </row>
    <row r="29" ht="15.75" customHeight="1">
      <c r="A29" s="3" t="s">
        <v>8</v>
      </c>
      <c r="B29" s="3">
        <v>2020.0</v>
      </c>
      <c r="C29" s="3" t="s">
        <v>11</v>
      </c>
      <c r="D29" s="3">
        <v>307.2</v>
      </c>
      <c r="E29" s="3">
        <v>903.4</v>
      </c>
      <c r="F29" s="3">
        <v>331.3</v>
      </c>
      <c r="G29" s="3">
        <v>10.0</v>
      </c>
      <c r="H29" s="3">
        <v>46.9</v>
      </c>
    </row>
    <row r="30" ht="15.75" customHeight="1">
      <c r="A30" s="3" t="s">
        <v>8</v>
      </c>
      <c r="B30" s="3">
        <v>2020.0</v>
      </c>
      <c r="C30" s="3" t="s">
        <v>13</v>
      </c>
      <c r="D30" s="3">
        <v>265.1</v>
      </c>
      <c r="E30" s="3">
        <v>585.6</v>
      </c>
      <c r="F30" s="3">
        <v>312.5</v>
      </c>
      <c r="G30" s="3">
        <v>5.0</v>
      </c>
      <c r="H30" s="3">
        <v>12.2</v>
      </c>
    </row>
    <row r="31" ht="15.75" customHeight="1">
      <c r="A31" s="3" t="s">
        <v>8</v>
      </c>
      <c r="B31" s="3">
        <v>2020.0</v>
      </c>
      <c r="C31" s="3" t="s">
        <v>14</v>
      </c>
      <c r="D31" s="3">
        <v>271.2</v>
      </c>
      <c r="E31" s="3">
        <v>764.0</v>
      </c>
      <c r="F31" s="3">
        <v>322.4</v>
      </c>
      <c r="G31" s="3">
        <v>3.0</v>
      </c>
      <c r="H31" s="3">
        <v>12.9</v>
      </c>
    </row>
    <row r="32" ht="15.75" customHeight="1">
      <c r="A32" s="3" t="s">
        <v>8</v>
      </c>
      <c r="B32" s="3">
        <v>2021.0</v>
      </c>
      <c r="C32" s="3" t="s">
        <v>9</v>
      </c>
      <c r="D32" s="3">
        <v>308.9</v>
      </c>
      <c r="E32" s="3">
        <v>890.4</v>
      </c>
      <c r="F32" s="3">
        <v>287.9</v>
      </c>
      <c r="G32" s="3">
        <v>12.0</v>
      </c>
      <c r="H32" s="3">
        <v>18.1</v>
      </c>
    </row>
    <row r="33" ht="15.75" customHeight="1">
      <c r="A33" s="3" t="s">
        <v>8</v>
      </c>
      <c r="B33" s="3">
        <v>2021.0</v>
      </c>
      <c r="C33" s="3" t="s">
        <v>10</v>
      </c>
      <c r="D33" s="3">
        <v>322.0</v>
      </c>
      <c r="E33" s="3">
        <v>916.8</v>
      </c>
      <c r="F33" s="3">
        <v>450.7</v>
      </c>
      <c r="G33" s="3">
        <v>9.0</v>
      </c>
      <c r="H33" s="3">
        <v>39.2</v>
      </c>
    </row>
    <row r="34" ht="15.75" customHeight="1">
      <c r="A34" s="3" t="s">
        <v>8</v>
      </c>
      <c r="B34" s="3">
        <v>2021.0</v>
      </c>
      <c r="C34" s="3" t="s">
        <v>11</v>
      </c>
      <c r="D34" s="3">
        <v>302.6</v>
      </c>
      <c r="E34" s="3">
        <v>780.9</v>
      </c>
      <c r="F34" s="3">
        <v>320.9</v>
      </c>
      <c r="G34" s="3">
        <v>12.0</v>
      </c>
      <c r="H34" s="3">
        <v>33.5</v>
      </c>
    </row>
    <row r="35" ht="15.75" customHeight="1">
      <c r="A35" s="3" t="s">
        <v>8</v>
      </c>
      <c r="B35" s="3">
        <v>2021.0</v>
      </c>
      <c r="C35" s="3" t="s">
        <v>13</v>
      </c>
      <c r="D35" s="3">
        <v>310.1</v>
      </c>
      <c r="E35" s="3">
        <v>670.0</v>
      </c>
      <c r="F35" s="3">
        <v>367.2</v>
      </c>
      <c r="G35" s="3">
        <v>9.0</v>
      </c>
      <c r="H35" s="3">
        <v>23.0</v>
      </c>
    </row>
    <row r="36" ht="15.75" customHeight="1">
      <c r="A36" s="3" t="s">
        <v>8</v>
      </c>
      <c r="B36" s="3">
        <v>2021.0</v>
      </c>
      <c r="C36" s="3" t="s">
        <v>14</v>
      </c>
      <c r="D36" s="3">
        <v>342.0</v>
      </c>
      <c r="E36" s="3">
        <v>765.2</v>
      </c>
      <c r="F36" s="3">
        <v>351.5</v>
      </c>
      <c r="G36" s="3">
        <v>7.0</v>
      </c>
      <c r="H36" s="3">
        <v>19.0</v>
      </c>
    </row>
    <row r="37" ht="15.75" customHeight="1">
      <c r="A37" s="3" t="s">
        <v>8</v>
      </c>
      <c r="B37" s="3">
        <v>2022.0</v>
      </c>
      <c r="C37" s="3" t="s">
        <v>9</v>
      </c>
      <c r="D37" s="3">
        <v>268.4</v>
      </c>
      <c r="E37" s="3">
        <v>764.6</v>
      </c>
      <c r="F37" s="3">
        <v>338.2</v>
      </c>
      <c r="G37" s="3">
        <v>3.0</v>
      </c>
      <c r="H37" s="3">
        <v>27.6</v>
      </c>
    </row>
    <row r="38" ht="15.75" customHeight="1">
      <c r="A38" s="3" t="s">
        <v>8</v>
      </c>
      <c r="B38" s="3">
        <v>2022.0</v>
      </c>
      <c r="C38" s="3" t="s">
        <v>10</v>
      </c>
      <c r="D38" s="3">
        <v>306.9</v>
      </c>
      <c r="E38" s="3">
        <v>688.7</v>
      </c>
      <c r="F38" s="3">
        <v>454.6</v>
      </c>
      <c r="G38" s="3">
        <v>6.0</v>
      </c>
      <c r="H38" s="3">
        <v>44.7</v>
      </c>
    </row>
    <row r="39" ht="15.75" customHeight="1">
      <c r="A39" s="3" t="s">
        <v>8</v>
      </c>
      <c r="B39" s="3">
        <v>2022.0</v>
      </c>
      <c r="C39" s="3" t="s">
        <v>11</v>
      </c>
      <c r="D39" s="3">
        <v>292.8</v>
      </c>
      <c r="E39" s="3">
        <v>712.9</v>
      </c>
      <c r="F39" s="3">
        <v>306.0</v>
      </c>
      <c r="G39" s="3">
        <v>3.0</v>
      </c>
      <c r="H39" s="3">
        <v>29.3</v>
      </c>
    </row>
    <row r="40" ht="15.75" customHeight="1">
      <c r="A40" s="3" t="s">
        <v>8</v>
      </c>
      <c r="B40" s="3">
        <v>2022.0</v>
      </c>
      <c r="C40" s="3" t="s">
        <v>13</v>
      </c>
      <c r="D40" s="3">
        <v>341.8</v>
      </c>
      <c r="E40" s="3">
        <v>854.2</v>
      </c>
      <c r="F40" s="3">
        <v>410.3</v>
      </c>
      <c r="G40" s="3">
        <v>4.0</v>
      </c>
      <c r="H40" s="3">
        <v>3.1</v>
      </c>
    </row>
    <row r="41" ht="15.75" customHeight="1">
      <c r="A41" s="3" t="s">
        <v>8</v>
      </c>
      <c r="B41" s="3">
        <v>2022.0</v>
      </c>
      <c r="C41" s="3" t="s">
        <v>14</v>
      </c>
      <c r="D41" s="3">
        <v>348.1</v>
      </c>
      <c r="E41" s="3">
        <v>1023.6</v>
      </c>
      <c r="F41" s="3">
        <v>510.9</v>
      </c>
      <c r="G41" s="3">
        <v>8.0</v>
      </c>
      <c r="H41" s="3">
        <v>44.3</v>
      </c>
    </row>
    <row r="42" ht="15.75" customHeight="1">
      <c r="A42" s="3" t="s">
        <v>8</v>
      </c>
      <c r="B42" s="3">
        <v>2023.0</v>
      </c>
      <c r="C42" s="3" t="s">
        <v>9</v>
      </c>
      <c r="D42" s="3">
        <v>352.3</v>
      </c>
      <c r="E42" s="3">
        <v>1045.1</v>
      </c>
      <c r="F42" s="3">
        <v>519.4</v>
      </c>
      <c r="G42" s="3">
        <v>4.0</v>
      </c>
      <c r="H42" s="3">
        <v>4.7</v>
      </c>
    </row>
    <row r="43" ht="15.75" customHeight="1">
      <c r="A43" s="3" t="s">
        <v>8</v>
      </c>
      <c r="B43" s="3">
        <v>2023.0</v>
      </c>
      <c r="C43" s="3" t="s">
        <v>10</v>
      </c>
      <c r="D43" s="3">
        <v>373.2</v>
      </c>
      <c r="E43" s="3">
        <v>1064.1</v>
      </c>
      <c r="F43" s="3">
        <v>381.4</v>
      </c>
      <c r="G43" s="3">
        <v>5.0</v>
      </c>
      <c r="H43" s="3">
        <v>28.3</v>
      </c>
    </row>
    <row r="44" ht="15.75" customHeight="1">
      <c r="A44" s="3" t="s">
        <v>8</v>
      </c>
      <c r="B44" s="3">
        <v>2023.0</v>
      </c>
      <c r="C44" s="3" t="s">
        <v>11</v>
      </c>
      <c r="D44" s="3">
        <v>391.9</v>
      </c>
      <c r="E44" s="3">
        <v>821.9</v>
      </c>
      <c r="F44" s="3">
        <v>482.2</v>
      </c>
      <c r="G44" s="3">
        <v>9.0</v>
      </c>
      <c r="H44" s="3">
        <v>18.6</v>
      </c>
    </row>
    <row r="45" ht="15.75" customHeight="1">
      <c r="A45" s="3" t="s">
        <v>8</v>
      </c>
      <c r="B45" s="3">
        <v>2023.0</v>
      </c>
      <c r="C45" s="3" t="s">
        <v>13</v>
      </c>
      <c r="D45" s="3">
        <v>398.9</v>
      </c>
      <c r="E45" s="3">
        <v>915.6</v>
      </c>
      <c r="F45" s="3">
        <v>409.2</v>
      </c>
      <c r="G45" s="3">
        <v>11.0</v>
      </c>
      <c r="H45" s="3">
        <v>35.2</v>
      </c>
    </row>
    <row r="46" ht="15.75" customHeight="1">
      <c r="A46" s="3" t="s">
        <v>8</v>
      </c>
      <c r="B46" s="3">
        <v>2023.0</v>
      </c>
      <c r="C46" s="3" t="s">
        <v>14</v>
      </c>
      <c r="D46" s="3">
        <v>375.5</v>
      </c>
      <c r="E46" s="3">
        <v>862.3</v>
      </c>
      <c r="F46" s="3">
        <v>410.7</v>
      </c>
      <c r="G46" s="3">
        <v>5.0</v>
      </c>
      <c r="H46" s="3">
        <v>43.5</v>
      </c>
    </row>
    <row r="47" ht="15.75" customHeight="1">
      <c r="A47" s="3" t="s">
        <v>8</v>
      </c>
      <c r="B47" s="3">
        <v>2024.0</v>
      </c>
      <c r="C47" s="3" t="s">
        <v>9</v>
      </c>
      <c r="D47" s="3">
        <v>415.4</v>
      </c>
      <c r="E47" s="3">
        <v>864.6</v>
      </c>
      <c r="F47" s="3">
        <v>333.8</v>
      </c>
      <c r="G47" s="3">
        <v>8.0</v>
      </c>
      <c r="H47" s="3">
        <v>40.1</v>
      </c>
    </row>
    <row r="48" ht="15.75" customHeight="1">
      <c r="A48" s="3" t="s">
        <v>8</v>
      </c>
      <c r="B48" s="3">
        <v>2024.0</v>
      </c>
      <c r="C48" s="3" t="s">
        <v>10</v>
      </c>
      <c r="D48" s="3">
        <v>409.0</v>
      </c>
      <c r="E48" s="3">
        <v>838.8</v>
      </c>
      <c r="F48" s="3">
        <v>581.1</v>
      </c>
      <c r="G48" s="3">
        <v>6.0</v>
      </c>
      <c r="H48" s="3">
        <v>5.6</v>
      </c>
    </row>
    <row r="49" ht="15.75" customHeight="1">
      <c r="A49" s="3" t="s">
        <v>8</v>
      </c>
      <c r="B49" s="3">
        <v>2024.0</v>
      </c>
      <c r="C49" s="3" t="s">
        <v>11</v>
      </c>
      <c r="D49" s="3">
        <v>391.4</v>
      </c>
      <c r="E49" s="3">
        <v>796.8</v>
      </c>
      <c r="F49" s="3">
        <v>440.7</v>
      </c>
      <c r="G49" s="3">
        <v>9.0</v>
      </c>
      <c r="H49" s="3">
        <v>30.0</v>
      </c>
    </row>
    <row r="50" ht="15.75" customHeight="1">
      <c r="A50" s="3" t="s">
        <v>8</v>
      </c>
      <c r="B50" s="3">
        <v>2024.0</v>
      </c>
      <c r="C50" s="3" t="s">
        <v>13</v>
      </c>
      <c r="D50" s="3">
        <v>371.2</v>
      </c>
      <c r="E50" s="3">
        <v>936.3</v>
      </c>
      <c r="F50" s="3">
        <v>497.0</v>
      </c>
      <c r="G50" s="3">
        <v>8.0</v>
      </c>
      <c r="H50" s="3">
        <v>23.4</v>
      </c>
    </row>
    <row r="51" ht="15.75" customHeight="1">
      <c r="A51" s="3" t="s">
        <v>8</v>
      </c>
      <c r="B51" s="3">
        <v>2024.0</v>
      </c>
      <c r="C51" s="3" t="s">
        <v>14</v>
      </c>
      <c r="D51" s="3">
        <v>467.6</v>
      </c>
      <c r="E51" s="3">
        <v>707.7</v>
      </c>
      <c r="F51" s="3">
        <v>404.3</v>
      </c>
      <c r="G51" s="3">
        <v>6.0</v>
      </c>
      <c r="H51" s="3">
        <v>32.2</v>
      </c>
    </row>
    <row r="52" ht="15.75" customHeight="1">
      <c r="A52" s="3" t="s">
        <v>15</v>
      </c>
      <c r="B52" s="3">
        <v>2015.0</v>
      </c>
      <c r="C52" s="3" t="s">
        <v>9</v>
      </c>
      <c r="D52" s="3">
        <v>91.8</v>
      </c>
      <c r="E52" s="3">
        <v>251.8</v>
      </c>
      <c r="F52" s="3">
        <v>89.5</v>
      </c>
      <c r="G52" s="3">
        <v>5.0</v>
      </c>
      <c r="H52" s="3">
        <v>5.0</v>
      </c>
    </row>
    <row r="53" ht="15.75" customHeight="1">
      <c r="A53" s="3" t="s">
        <v>15</v>
      </c>
      <c r="B53" s="3">
        <v>2015.0</v>
      </c>
      <c r="C53" s="3" t="s">
        <v>10</v>
      </c>
      <c r="D53" s="3">
        <v>28.3</v>
      </c>
      <c r="E53" s="3">
        <v>76.0</v>
      </c>
      <c r="F53" s="3">
        <v>23.8</v>
      </c>
      <c r="G53" s="3">
        <v>1.0</v>
      </c>
      <c r="H53" s="3">
        <v>22.7</v>
      </c>
    </row>
    <row r="54" ht="15.75" customHeight="1">
      <c r="A54" s="3" t="s">
        <v>15</v>
      </c>
      <c r="B54" s="3">
        <v>2015.0</v>
      </c>
      <c r="C54" s="3" t="s">
        <v>11</v>
      </c>
      <c r="D54" s="3">
        <v>135.1</v>
      </c>
      <c r="E54" s="3">
        <v>359.1</v>
      </c>
      <c r="F54" s="3">
        <v>149.3</v>
      </c>
      <c r="G54" s="3">
        <v>8.0</v>
      </c>
      <c r="H54" s="3">
        <v>3.3</v>
      </c>
    </row>
    <row r="55" ht="15.75" customHeight="1">
      <c r="A55" s="3" t="s">
        <v>15</v>
      </c>
      <c r="B55" s="3">
        <v>2015.0</v>
      </c>
      <c r="C55" s="3" t="s">
        <v>13</v>
      </c>
      <c r="D55" s="3">
        <v>172.3</v>
      </c>
      <c r="E55" s="3">
        <v>406.0</v>
      </c>
      <c r="F55" s="3">
        <v>229.3</v>
      </c>
      <c r="G55" s="3">
        <v>10.0</v>
      </c>
      <c r="H55" s="3">
        <v>17.8</v>
      </c>
    </row>
    <row r="56" ht="15.75" customHeight="1">
      <c r="A56" s="3" t="s">
        <v>15</v>
      </c>
      <c r="B56" s="3">
        <v>2015.0</v>
      </c>
      <c r="C56" s="3" t="s">
        <v>14</v>
      </c>
      <c r="D56" s="3">
        <v>139.6</v>
      </c>
      <c r="E56" s="3">
        <v>415.9</v>
      </c>
      <c r="F56" s="3">
        <v>128.8</v>
      </c>
      <c r="G56" s="3">
        <v>6.0</v>
      </c>
      <c r="H56" s="3">
        <v>24.2</v>
      </c>
    </row>
    <row r="57" ht="15.75" customHeight="1">
      <c r="A57" s="3" t="s">
        <v>15</v>
      </c>
      <c r="B57" s="3">
        <v>2016.0</v>
      </c>
      <c r="C57" s="3" t="s">
        <v>9</v>
      </c>
      <c r="D57" s="3">
        <v>123.9</v>
      </c>
      <c r="E57" s="3">
        <v>305.3</v>
      </c>
      <c r="F57" s="3">
        <v>155.5</v>
      </c>
      <c r="G57" s="3">
        <v>7.0</v>
      </c>
      <c r="H57" s="3">
        <v>32.1</v>
      </c>
    </row>
    <row r="58" ht="15.75" customHeight="1">
      <c r="A58" s="3" t="s">
        <v>15</v>
      </c>
      <c r="B58" s="3">
        <v>2016.0</v>
      </c>
      <c r="C58" s="3" t="s">
        <v>10</v>
      </c>
      <c r="D58" s="3">
        <v>143.1</v>
      </c>
      <c r="E58" s="3">
        <v>363.3</v>
      </c>
      <c r="F58" s="3">
        <v>182.9</v>
      </c>
      <c r="G58" s="3">
        <v>9.0</v>
      </c>
      <c r="H58" s="3">
        <v>47.3</v>
      </c>
    </row>
    <row r="59" ht="15.75" customHeight="1">
      <c r="A59" s="3" t="s">
        <v>15</v>
      </c>
      <c r="B59" s="3">
        <v>2016.0</v>
      </c>
      <c r="C59" s="3" t="s">
        <v>11</v>
      </c>
      <c r="D59" s="3">
        <v>133.7</v>
      </c>
      <c r="E59" s="3">
        <v>270.9</v>
      </c>
      <c r="F59" s="3">
        <v>161.8</v>
      </c>
      <c r="G59" s="3">
        <v>5.0</v>
      </c>
      <c r="H59" s="3">
        <v>29.2</v>
      </c>
    </row>
    <row r="60" ht="15.75" customHeight="1">
      <c r="A60" s="3" t="s">
        <v>15</v>
      </c>
      <c r="B60" s="3">
        <v>2016.0</v>
      </c>
      <c r="C60" s="3" t="s">
        <v>13</v>
      </c>
      <c r="D60" s="3">
        <v>128.0</v>
      </c>
      <c r="E60" s="3">
        <v>359.7</v>
      </c>
      <c r="F60" s="3">
        <v>175.9</v>
      </c>
      <c r="G60" s="3">
        <v>4.0</v>
      </c>
      <c r="H60" s="3">
        <v>41.2</v>
      </c>
    </row>
    <row r="61" ht="15.75" customHeight="1">
      <c r="A61" s="3" t="s">
        <v>15</v>
      </c>
      <c r="B61" s="3">
        <v>2016.0</v>
      </c>
      <c r="C61" s="3" t="s">
        <v>14</v>
      </c>
      <c r="D61" s="3">
        <v>155.1</v>
      </c>
      <c r="E61" s="3">
        <v>450.7</v>
      </c>
      <c r="F61" s="3">
        <v>145.4</v>
      </c>
      <c r="G61" s="3">
        <v>3.0</v>
      </c>
      <c r="H61" s="3">
        <v>2.9</v>
      </c>
    </row>
    <row r="62" ht="15.75" customHeight="1">
      <c r="A62" s="3" t="s">
        <v>15</v>
      </c>
      <c r="B62" s="3">
        <v>2017.0</v>
      </c>
      <c r="C62" s="3" t="s">
        <v>9</v>
      </c>
      <c r="D62" s="3">
        <v>210.9</v>
      </c>
      <c r="E62" s="3">
        <v>503.1</v>
      </c>
      <c r="F62" s="3">
        <v>269.4</v>
      </c>
      <c r="G62" s="3">
        <v>4.0</v>
      </c>
      <c r="H62" s="3">
        <v>13.8</v>
      </c>
    </row>
    <row r="63" ht="15.75" customHeight="1">
      <c r="A63" s="3" t="s">
        <v>15</v>
      </c>
      <c r="B63" s="3">
        <v>2017.0</v>
      </c>
      <c r="C63" s="3" t="s">
        <v>10</v>
      </c>
      <c r="D63" s="3">
        <v>107.3</v>
      </c>
      <c r="E63" s="3">
        <v>227.2</v>
      </c>
      <c r="F63" s="3">
        <v>138.1</v>
      </c>
      <c r="G63" s="3">
        <v>9.0</v>
      </c>
      <c r="H63" s="3">
        <v>37.0</v>
      </c>
    </row>
    <row r="64" ht="15.75" customHeight="1">
      <c r="A64" s="3" t="s">
        <v>15</v>
      </c>
      <c r="B64" s="3">
        <v>2017.0</v>
      </c>
      <c r="C64" s="3" t="s">
        <v>11</v>
      </c>
      <c r="D64" s="3">
        <v>161.5</v>
      </c>
      <c r="E64" s="3">
        <v>391.4</v>
      </c>
      <c r="F64" s="3">
        <v>193.5</v>
      </c>
      <c r="G64" s="3">
        <v>4.0</v>
      </c>
      <c r="H64" s="3">
        <v>49.5</v>
      </c>
    </row>
    <row r="65" ht="15.75" customHeight="1">
      <c r="A65" s="3" t="s">
        <v>15</v>
      </c>
      <c r="B65" s="3">
        <v>2017.0</v>
      </c>
      <c r="C65" s="3" t="s">
        <v>13</v>
      </c>
      <c r="D65" s="3">
        <v>189.8</v>
      </c>
      <c r="E65" s="3">
        <v>450.3</v>
      </c>
      <c r="F65" s="3">
        <v>255.0</v>
      </c>
      <c r="G65" s="3">
        <v>9.0</v>
      </c>
      <c r="H65" s="3">
        <v>43.5</v>
      </c>
    </row>
    <row r="66" ht="15.75" customHeight="1">
      <c r="A66" s="3" t="s">
        <v>15</v>
      </c>
      <c r="B66" s="3">
        <v>2017.0</v>
      </c>
      <c r="C66" s="3" t="s">
        <v>14</v>
      </c>
      <c r="D66" s="3">
        <v>198.9</v>
      </c>
      <c r="E66" s="3">
        <v>545.1</v>
      </c>
      <c r="F66" s="3">
        <v>192.3</v>
      </c>
      <c r="G66" s="3">
        <v>2.0</v>
      </c>
      <c r="H66" s="3">
        <v>27.2</v>
      </c>
    </row>
    <row r="67" ht="15.75" customHeight="1">
      <c r="A67" s="3" t="s">
        <v>15</v>
      </c>
      <c r="B67" s="3">
        <v>2018.0</v>
      </c>
      <c r="C67" s="3" t="s">
        <v>9</v>
      </c>
      <c r="D67" s="3">
        <v>148.7</v>
      </c>
      <c r="E67" s="3">
        <v>430.5</v>
      </c>
      <c r="F67" s="3">
        <v>159.4</v>
      </c>
      <c r="G67" s="3">
        <v>10.0</v>
      </c>
      <c r="H67" s="3">
        <v>42.5</v>
      </c>
    </row>
    <row r="68" ht="15.75" customHeight="1">
      <c r="A68" s="3" t="s">
        <v>15</v>
      </c>
      <c r="B68" s="3">
        <v>2018.0</v>
      </c>
      <c r="C68" s="3" t="s">
        <v>10</v>
      </c>
      <c r="D68" s="3">
        <v>187.7</v>
      </c>
      <c r="E68" s="3">
        <v>553.9</v>
      </c>
      <c r="F68" s="3">
        <v>225.5</v>
      </c>
      <c r="G68" s="3">
        <v>6.0</v>
      </c>
      <c r="H68" s="3">
        <v>5.5</v>
      </c>
    </row>
    <row r="69" ht="15.75" customHeight="1">
      <c r="A69" s="3" t="s">
        <v>15</v>
      </c>
      <c r="B69" s="3">
        <v>2018.0</v>
      </c>
      <c r="C69" s="3" t="s">
        <v>11</v>
      </c>
      <c r="D69" s="3">
        <v>177.1</v>
      </c>
      <c r="E69" s="3">
        <v>412.4</v>
      </c>
      <c r="F69" s="3">
        <v>225.0</v>
      </c>
      <c r="G69" s="3">
        <v>5.0</v>
      </c>
      <c r="H69" s="3">
        <v>47.4</v>
      </c>
    </row>
    <row r="70" ht="15.75" customHeight="1">
      <c r="A70" s="3" t="s">
        <v>15</v>
      </c>
      <c r="B70" s="3">
        <v>2018.0</v>
      </c>
      <c r="C70" s="3" t="s">
        <v>13</v>
      </c>
      <c r="D70" s="3">
        <v>164.0</v>
      </c>
      <c r="E70" s="3">
        <v>418.2</v>
      </c>
      <c r="F70" s="3">
        <v>181.9</v>
      </c>
      <c r="G70" s="3">
        <v>8.0</v>
      </c>
      <c r="H70" s="3">
        <v>27.7</v>
      </c>
    </row>
    <row r="71" ht="15.75" customHeight="1">
      <c r="A71" s="3" t="s">
        <v>15</v>
      </c>
      <c r="B71" s="3">
        <v>2018.0</v>
      </c>
      <c r="C71" s="3" t="s">
        <v>14</v>
      </c>
      <c r="D71" s="3">
        <v>186.7</v>
      </c>
      <c r="E71" s="3">
        <v>554.4</v>
      </c>
      <c r="F71" s="3">
        <v>239.3</v>
      </c>
      <c r="G71" s="3">
        <v>2.0</v>
      </c>
      <c r="H71" s="3">
        <v>6.0</v>
      </c>
    </row>
    <row r="72" ht="15.75" customHeight="1">
      <c r="A72" s="3" t="s">
        <v>15</v>
      </c>
      <c r="B72" s="3">
        <v>2019.0</v>
      </c>
      <c r="C72" s="3" t="s">
        <v>9</v>
      </c>
      <c r="D72" s="3">
        <v>162.8</v>
      </c>
      <c r="E72" s="3">
        <v>390.2</v>
      </c>
      <c r="F72" s="3">
        <v>231.9</v>
      </c>
      <c r="G72" s="3">
        <v>3.0</v>
      </c>
      <c r="H72" s="3">
        <v>5.0</v>
      </c>
    </row>
    <row r="73" ht="15.75" customHeight="1">
      <c r="A73" s="3" t="s">
        <v>15</v>
      </c>
      <c r="B73" s="3">
        <v>2019.0</v>
      </c>
      <c r="C73" s="3" t="s">
        <v>10</v>
      </c>
      <c r="D73" s="3">
        <v>224.5</v>
      </c>
      <c r="E73" s="3">
        <v>501.3</v>
      </c>
      <c r="F73" s="3">
        <v>270.9</v>
      </c>
      <c r="G73" s="3">
        <v>3.0</v>
      </c>
      <c r="H73" s="3">
        <v>44.1</v>
      </c>
    </row>
    <row r="74" ht="15.75" customHeight="1">
      <c r="A74" s="3" t="s">
        <v>15</v>
      </c>
      <c r="B74" s="3">
        <v>2019.0</v>
      </c>
      <c r="C74" s="3" t="s">
        <v>11</v>
      </c>
      <c r="D74" s="3">
        <v>196.1</v>
      </c>
      <c r="E74" s="3">
        <v>408.5</v>
      </c>
      <c r="F74" s="3">
        <v>263.5</v>
      </c>
      <c r="G74" s="3">
        <v>7.0</v>
      </c>
      <c r="H74" s="3">
        <v>35.5</v>
      </c>
    </row>
    <row r="75" ht="15.75" customHeight="1">
      <c r="A75" s="3" t="s">
        <v>15</v>
      </c>
      <c r="B75" s="3">
        <v>2019.0</v>
      </c>
      <c r="C75" s="3" t="s">
        <v>13</v>
      </c>
      <c r="D75" s="3">
        <v>258.8</v>
      </c>
      <c r="E75" s="3">
        <v>546.4</v>
      </c>
      <c r="F75" s="3">
        <v>296.3</v>
      </c>
      <c r="G75" s="3">
        <v>4.0</v>
      </c>
      <c r="H75" s="3">
        <v>24.0</v>
      </c>
    </row>
    <row r="76" ht="15.75" customHeight="1">
      <c r="A76" s="3" t="s">
        <v>15</v>
      </c>
      <c r="B76" s="3">
        <v>2019.0</v>
      </c>
      <c r="C76" s="3" t="s">
        <v>14</v>
      </c>
      <c r="D76" s="3">
        <v>282.6</v>
      </c>
      <c r="E76" s="3">
        <v>797.6</v>
      </c>
      <c r="F76" s="3">
        <v>373.2</v>
      </c>
      <c r="G76" s="3">
        <v>5.0</v>
      </c>
      <c r="H76" s="3">
        <v>29.6</v>
      </c>
    </row>
    <row r="77" ht="15.75" customHeight="1">
      <c r="A77" s="3" t="s">
        <v>15</v>
      </c>
      <c r="B77" s="3">
        <v>2020.0</v>
      </c>
      <c r="C77" s="3" t="s">
        <v>9</v>
      </c>
      <c r="D77" s="3">
        <v>314.1</v>
      </c>
      <c r="E77" s="3">
        <v>753.8</v>
      </c>
      <c r="F77" s="3">
        <v>356.3</v>
      </c>
      <c r="G77" s="3">
        <v>12.0</v>
      </c>
      <c r="H77" s="3">
        <v>43.6</v>
      </c>
    </row>
    <row r="78" ht="15.75" customHeight="1">
      <c r="A78" s="3" t="s">
        <v>15</v>
      </c>
      <c r="B78" s="3">
        <v>2020.0</v>
      </c>
      <c r="C78" s="3" t="s">
        <v>10</v>
      </c>
      <c r="D78" s="3">
        <v>307.8</v>
      </c>
      <c r="E78" s="3">
        <v>916.5</v>
      </c>
      <c r="F78" s="3">
        <v>366.0</v>
      </c>
      <c r="G78" s="3">
        <v>8.0</v>
      </c>
      <c r="H78" s="3">
        <v>3.1</v>
      </c>
    </row>
    <row r="79" ht="15.75" customHeight="1">
      <c r="A79" s="3" t="s">
        <v>15</v>
      </c>
      <c r="B79" s="3">
        <v>2020.0</v>
      </c>
      <c r="C79" s="3" t="s">
        <v>11</v>
      </c>
      <c r="D79" s="3">
        <v>256.4</v>
      </c>
      <c r="E79" s="3">
        <v>654.8</v>
      </c>
      <c r="F79" s="3">
        <v>379.1</v>
      </c>
      <c r="G79" s="3">
        <v>4.0</v>
      </c>
      <c r="H79" s="3">
        <v>9.1</v>
      </c>
    </row>
    <row r="80" ht="15.75" customHeight="1">
      <c r="A80" s="3" t="s">
        <v>15</v>
      </c>
      <c r="B80" s="3">
        <v>2020.0</v>
      </c>
      <c r="C80" s="3" t="s">
        <v>13</v>
      </c>
      <c r="D80" s="3">
        <v>265.0</v>
      </c>
      <c r="E80" s="3">
        <v>696.4</v>
      </c>
      <c r="F80" s="3">
        <v>320.4</v>
      </c>
      <c r="G80" s="3">
        <v>9.0</v>
      </c>
      <c r="H80" s="3">
        <v>3.2</v>
      </c>
    </row>
    <row r="81" ht="15.75" customHeight="1">
      <c r="A81" s="3" t="s">
        <v>15</v>
      </c>
      <c r="B81" s="3">
        <v>2020.0</v>
      </c>
      <c r="C81" s="3" t="s">
        <v>14</v>
      </c>
      <c r="D81" s="3">
        <v>296.8</v>
      </c>
      <c r="E81" s="3">
        <v>878.1</v>
      </c>
      <c r="F81" s="3">
        <v>249.5</v>
      </c>
      <c r="G81" s="3">
        <v>8.0</v>
      </c>
      <c r="H81" s="3">
        <v>23.3</v>
      </c>
    </row>
    <row r="82" ht="15.75" customHeight="1">
      <c r="A82" s="3" t="s">
        <v>15</v>
      </c>
      <c r="B82" s="3">
        <v>2021.0</v>
      </c>
      <c r="C82" s="3" t="s">
        <v>9</v>
      </c>
      <c r="D82" s="3">
        <v>257.4</v>
      </c>
      <c r="E82" s="3">
        <v>681.3</v>
      </c>
      <c r="F82" s="3">
        <v>275.9</v>
      </c>
      <c r="G82" s="3">
        <v>4.0</v>
      </c>
      <c r="H82" s="3">
        <v>14.0</v>
      </c>
    </row>
    <row r="83" ht="15.75" customHeight="1">
      <c r="A83" s="3" t="s">
        <v>15</v>
      </c>
      <c r="B83" s="3">
        <v>2021.0</v>
      </c>
      <c r="C83" s="3" t="s">
        <v>10</v>
      </c>
      <c r="D83" s="3">
        <v>285.3</v>
      </c>
      <c r="E83" s="3">
        <v>644.7</v>
      </c>
      <c r="F83" s="3">
        <v>318.7</v>
      </c>
      <c r="G83" s="3">
        <v>3.0</v>
      </c>
      <c r="H83" s="3">
        <v>14.7</v>
      </c>
    </row>
    <row r="84" ht="15.75" customHeight="1">
      <c r="A84" s="3" t="s">
        <v>15</v>
      </c>
      <c r="B84" s="3">
        <v>2021.0</v>
      </c>
      <c r="C84" s="3" t="s">
        <v>11</v>
      </c>
      <c r="D84" s="3">
        <v>284.3</v>
      </c>
      <c r="E84" s="3">
        <v>733.9</v>
      </c>
      <c r="F84" s="3">
        <v>410.4</v>
      </c>
      <c r="G84" s="3">
        <v>10.0</v>
      </c>
      <c r="H84" s="3">
        <v>44.0</v>
      </c>
    </row>
    <row r="85" ht="15.75" customHeight="1">
      <c r="A85" s="3" t="s">
        <v>15</v>
      </c>
      <c r="B85" s="3">
        <v>2021.0</v>
      </c>
      <c r="C85" s="3" t="s">
        <v>13</v>
      </c>
      <c r="D85" s="3">
        <v>283.5</v>
      </c>
      <c r="E85" s="3">
        <v>574.4</v>
      </c>
      <c r="F85" s="3">
        <v>301.5</v>
      </c>
      <c r="G85" s="3">
        <v>3.0</v>
      </c>
      <c r="H85" s="3">
        <v>24.5</v>
      </c>
    </row>
    <row r="86" ht="15.75" customHeight="1">
      <c r="A86" s="3" t="s">
        <v>15</v>
      </c>
      <c r="B86" s="3">
        <v>2021.0</v>
      </c>
      <c r="C86" s="3" t="s">
        <v>14</v>
      </c>
      <c r="D86" s="3">
        <v>349.2</v>
      </c>
      <c r="E86" s="3">
        <v>835.6</v>
      </c>
      <c r="F86" s="3">
        <v>482.0</v>
      </c>
      <c r="G86" s="3">
        <v>4.0</v>
      </c>
      <c r="H86" s="3">
        <v>42.1</v>
      </c>
    </row>
    <row r="87" ht="15.75" customHeight="1">
      <c r="A87" s="3" t="s">
        <v>15</v>
      </c>
      <c r="B87" s="3">
        <v>2022.0</v>
      </c>
      <c r="C87" s="3" t="s">
        <v>9</v>
      </c>
      <c r="D87" s="3">
        <v>269.7</v>
      </c>
      <c r="E87" s="3">
        <v>543.0</v>
      </c>
      <c r="F87" s="3">
        <v>230.0</v>
      </c>
      <c r="G87" s="3">
        <v>3.0</v>
      </c>
      <c r="H87" s="3">
        <v>27.2</v>
      </c>
    </row>
    <row r="88" ht="15.75" customHeight="1">
      <c r="A88" s="3" t="s">
        <v>15</v>
      </c>
      <c r="B88" s="3">
        <v>2022.0</v>
      </c>
      <c r="C88" s="3" t="s">
        <v>10</v>
      </c>
      <c r="D88" s="3">
        <v>294.2</v>
      </c>
      <c r="E88" s="3">
        <v>814.5</v>
      </c>
      <c r="F88" s="3">
        <v>429.9</v>
      </c>
      <c r="G88" s="3">
        <v>5.0</v>
      </c>
      <c r="H88" s="3">
        <v>13.1</v>
      </c>
    </row>
    <row r="89" ht="15.75" customHeight="1">
      <c r="A89" s="3" t="s">
        <v>15</v>
      </c>
      <c r="B89" s="3">
        <v>2022.0</v>
      </c>
      <c r="C89" s="3" t="s">
        <v>11</v>
      </c>
      <c r="D89" s="3">
        <v>291.4</v>
      </c>
      <c r="E89" s="3">
        <v>860.8</v>
      </c>
      <c r="F89" s="3">
        <v>356.8</v>
      </c>
      <c r="G89" s="3">
        <v>3.0</v>
      </c>
      <c r="H89" s="3">
        <v>33.9</v>
      </c>
    </row>
    <row r="90" ht="15.75" customHeight="1">
      <c r="A90" s="3" t="s">
        <v>15</v>
      </c>
      <c r="B90" s="3">
        <v>2022.0</v>
      </c>
      <c r="C90" s="3" t="s">
        <v>13</v>
      </c>
      <c r="D90" s="3">
        <v>321.0</v>
      </c>
      <c r="E90" s="3">
        <v>794.7</v>
      </c>
      <c r="F90" s="3">
        <v>443.5</v>
      </c>
      <c r="G90" s="3">
        <v>5.0</v>
      </c>
      <c r="H90" s="3">
        <v>42.8</v>
      </c>
    </row>
    <row r="91" ht="15.75" customHeight="1">
      <c r="A91" s="3" t="s">
        <v>15</v>
      </c>
      <c r="B91" s="3">
        <v>2022.0</v>
      </c>
      <c r="C91" s="3" t="s">
        <v>14</v>
      </c>
      <c r="D91" s="3">
        <v>330.2</v>
      </c>
      <c r="E91" s="3">
        <v>980.1</v>
      </c>
      <c r="F91" s="3">
        <v>284.6</v>
      </c>
      <c r="G91" s="3">
        <v>12.0</v>
      </c>
      <c r="H91" s="3">
        <v>29.9</v>
      </c>
    </row>
    <row r="92" ht="15.75" customHeight="1">
      <c r="A92" s="3" t="s">
        <v>15</v>
      </c>
      <c r="B92" s="3">
        <v>2023.0</v>
      </c>
      <c r="C92" s="3" t="s">
        <v>9</v>
      </c>
      <c r="D92" s="3">
        <v>407.9</v>
      </c>
      <c r="E92" s="3">
        <v>1076.6</v>
      </c>
      <c r="F92" s="3">
        <v>556.2</v>
      </c>
      <c r="G92" s="3">
        <v>11.0</v>
      </c>
      <c r="H92" s="3">
        <v>7.7</v>
      </c>
    </row>
    <row r="93" ht="15.75" customHeight="1">
      <c r="A93" s="3" t="s">
        <v>15</v>
      </c>
      <c r="B93" s="3">
        <v>2023.0</v>
      </c>
      <c r="C93" s="3" t="s">
        <v>10</v>
      </c>
      <c r="D93" s="3">
        <v>345.3</v>
      </c>
      <c r="E93" s="3">
        <v>900.6</v>
      </c>
      <c r="F93" s="3">
        <v>430.1</v>
      </c>
      <c r="G93" s="3">
        <v>6.0</v>
      </c>
      <c r="H93" s="3">
        <v>45.3</v>
      </c>
    </row>
    <row r="94" ht="15.75" customHeight="1">
      <c r="A94" s="3" t="s">
        <v>15</v>
      </c>
      <c r="B94" s="3">
        <v>2023.0</v>
      </c>
      <c r="C94" s="3" t="s">
        <v>11</v>
      </c>
      <c r="D94" s="3">
        <v>310.1</v>
      </c>
      <c r="E94" s="3">
        <v>902.6</v>
      </c>
      <c r="F94" s="3">
        <v>312.8</v>
      </c>
      <c r="G94" s="3">
        <v>6.0</v>
      </c>
      <c r="H94" s="3">
        <v>35.2</v>
      </c>
    </row>
    <row r="95" ht="15.75" customHeight="1">
      <c r="A95" s="3" t="s">
        <v>15</v>
      </c>
      <c r="B95" s="3">
        <v>2023.0</v>
      </c>
      <c r="C95" s="3" t="s">
        <v>13</v>
      </c>
      <c r="D95" s="3">
        <v>406.8</v>
      </c>
      <c r="E95" s="3">
        <v>873.5</v>
      </c>
      <c r="F95" s="3">
        <v>589.4</v>
      </c>
      <c r="G95" s="3">
        <v>5.0</v>
      </c>
      <c r="H95" s="3">
        <v>13.7</v>
      </c>
    </row>
    <row r="96" ht="15.75" customHeight="1">
      <c r="A96" s="3" t="s">
        <v>15</v>
      </c>
      <c r="B96" s="3">
        <v>2023.0</v>
      </c>
      <c r="C96" s="3" t="s">
        <v>14</v>
      </c>
      <c r="D96" s="3">
        <v>387.8</v>
      </c>
      <c r="E96" s="3">
        <v>903.1</v>
      </c>
      <c r="F96" s="3">
        <v>482.2</v>
      </c>
      <c r="G96" s="3">
        <v>6.0</v>
      </c>
      <c r="H96" s="3">
        <v>27.3</v>
      </c>
    </row>
    <row r="97" ht="15.75" customHeight="1">
      <c r="A97" s="3" t="s">
        <v>15</v>
      </c>
      <c r="B97" s="3">
        <v>2024.0</v>
      </c>
      <c r="C97" s="3" t="s">
        <v>9</v>
      </c>
      <c r="D97" s="3">
        <v>384.1</v>
      </c>
      <c r="E97" s="3">
        <v>817.4</v>
      </c>
      <c r="F97" s="3">
        <v>348.1</v>
      </c>
      <c r="G97" s="3">
        <v>9.0</v>
      </c>
      <c r="H97" s="3">
        <v>35.2</v>
      </c>
    </row>
    <row r="98" ht="15.75" customHeight="1">
      <c r="A98" s="3" t="s">
        <v>15</v>
      </c>
      <c r="B98" s="3">
        <v>2024.0</v>
      </c>
      <c r="C98" s="3" t="s">
        <v>10</v>
      </c>
      <c r="D98" s="3">
        <v>337.6</v>
      </c>
      <c r="E98" s="3">
        <v>977.9</v>
      </c>
      <c r="F98" s="3">
        <v>382.1</v>
      </c>
      <c r="G98" s="3">
        <v>5.0</v>
      </c>
      <c r="H98" s="3">
        <v>30.5</v>
      </c>
    </row>
    <row r="99" ht="15.75" customHeight="1">
      <c r="A99" s="3" t="s">
        <v>15</v>
      </c>
      <c r="B99" s="3">
        <v>2024.0</v>
      </c>
      <c r="C99" s="3" t="s">
        <v>11</v>
      </c>
      <c r="D99" s="3">
        <v>368.2</v>
      </c>
      <c r="E99" s="3">
        <v>751.5</v>
      </c>
      <c r="F99" s="3">
        <v>338.1</v>
      </c>
      <c r="G99" s="3">
        <v>9.0</v>
      </c>
      <c r="H99" s="3">
        <v>5.3</v>
      </c>
    </row>
    <row r="100" ht="15.75" customHeight="1">
      <c r="A100" s="3" t="s">
        <v>15</v>
      </c>
      <c r="B100" s="3">
        <v>2024.0</v>
      </c>
      <c r="C100" s="3" t="s">
        <v>13</v>
      </c>
      <c r="D100" s="3">
        <v>285.6</v>
      </c>
      <c r="E100" s="3">
        <v>826.7</v>
      </c>
      <c r="F100" s="3">
        <v>254.2</v>
      </c>
      <c r="G100" s="3">
        <v>11.0</v>
      </c>
      <c r="H100" s="3">
        <v>5.5</v>
      </c>
    </row>
    <row r="101" ht="15.75" customHeight="1">
      <c r="A101" s="3" t="s">
        <v>15</v>
      </c>
      <c r="B101" s="3">
        <v>2024.0</v>
      </c>
      <c r="C101" s="3" t="s">
        <v>14</v>
      </c>
      <c r="D101" s="3">
        <v>443.5</v>
      </c>
      <c r="E101" s="3">
        <v>1081.1</v>
      </c>
      <c r="F101" s="3">
        <v>352.7</v>
      </c>
      <c r="G101" s="3">
        <v>5.0</v>
      </c>
      <c r="H101" s="3">
        <v>14.6</v>
      </c>
    </row>
    <row r="102" ht="15.75" customHeight="1">
      <c r="A102" s="3" t="s">
        <v>16</v>
      </c>
      <c r="B102" s="3">
        <v>2015.0</v>
      </c>
      <c r="C102" s="3" t="s">
        <v>9</v>
      </c>
      <c r="D102" s="3">
        <v>85.4</v>
      </c>
      <c r="E102" s="3">
        <v>255.2</v>
      </c>
      <c r="F102" s="3">
        <v>100.5</v>
      </c>
      <c r="G102" s="3">
        <v>8.0</v>
      </c>
      <c r="H102" s="3">
        <v>24.7</v>
      </c>
    </row>
    <row r="103" ht="15.75" customHeight="1">
      <c r="A103" s="3" t="s">
        <v>16</v>
      </c>
      <c r="B103" s="3">
        <v>2015.0</v>
      </c>
      <c r="C103" s="3" t="s">
        <v>10</v>
      </c>
      <c r="D103" s="3">
        <v>83.7</v>
      </c>
      <c r="E103" s="3">
        <v>198.4</v>
      </c>
      <c r="F103" s="3">
        <v>94.1</v>
      </c>
      <c r="G103" s="3">
        <v>8.0</v>
      </c>
      <c r="H103" s="3">
        <v>7.5</v>
      </c>
    </row>
    <row r="104" ht="15.75" customHeight="1">
      <c r="A104" s="3" t="s">
        <v>16</v>
      </c>
      <c r="B104" s="3">
        <v>2015.0</v>
      </c>
      <c r="C104" s="3" t="s">
        <v>11</v>
      </c>
      <c r="D104" s="3">
        <v>82.9</v>
      </c>
      <c r="E104" s="3">
        <v>209.8</v>
      </c>
      <c r="F104" s="3">
        <v>72.5</v>
      </c>
      <c r="G104" s="3">
        <v>6.0</v>
      </c>
      <c r="H104" s="3">
        <v>27.1</v>
      </c>
    </row>
    <row r="105" ht="15.75" customHeight="1">
      <c r="A105" s="3" t="s">
        <v>16</v>
      </c>
      <c r="B105" s="3">
        <v>2015.0</v>
      </c>
      <c r="C105" s="3" t="s">
        <v>13</v>
      </c>
      <c r="D105" s="3">
        <v>123.1</v>
      </c>
      <c r="E105" s="3">
        <v>259.0</v>
      </c>
      <c r="F105" s="3">
        <v>162.0</v>
      </c>
      <c r="G105" s="3">
        <v>8.0</v>
      </c>
      <c r="H105" s="3">
        <v>16.8</v>
      </c>
    </row>
    <row r="106" ht="15.75" customHeight="1">
      <c r="A106" s="3" t="s">
        <v>16</v>
      </c>
      <c r="B106" s="3">
        <v>2015.0</v>
      </c>
      <c r="C106" s="3" t="s">
        <v>14</v>
      </c>
      <c r="D106" s="3">
        <v>101.9</v>
      </c>
      <c r="E106" s="3">
        <v>252.2</v>
      </c>
      <c r="F106" s="3">
        <v>106.9</v>
      </c>
      <c r="G106" s="3">
        <v>10.0</v>
      </c>
      <c r="H106" s="3">
        <v>25.4</v>
      </c>
    </row>
    <row r="107" ht="15.75" customHeight="1">
      <c r="A107" s="3" t="s">
        <v>16</v>
      </c>
      <c r="B107" s="3">
        <v>2016.0</v>
      </c>
      <c r="C107" s="3" t="s">
        <v>9</v>
      </c>
      <c r="D107" s="3">
        <v>107.2</v>
      </c>
      <c r="E107" s="3">
        <v>274.2</v>
      </c>
      <c r="F107" s="3">
        <v>129.8</v>
      </c>
      <c r="G107" s="3">
        <v>4.0</v>
      </c>
      <c r="H107" s="3">
        <v>19.6</v>
      </c>
    </row>
    <row r="108" ht="15.75" customHeight="1">
      <c r="A108" s="3" t="s">
        <v>16</v>
      </c>
      <c r="B108" s="3">
        <v>2016.0</v>
      </c>
      <c r="C108" s="3" t="s">
        <v>10</v>
      </c>
      <c r="D108" s="3">
        <v>121.8</v>
      </c>
      <c r="E108" s="3">
        <v>273.3</v>
      </c>
      <c r="F108" s="3">
        <v>139.9</v>
      </c>
      <c r="G108" s="3">
        <v>7.0</v>
      </c>
      <c r="H108" s="3">
        <v>30.7</v>
      </c>
    </row>
    <row r="109" ht="15.75" customHeight="1">
      <c r="A109" s="3" t="s">
        <v>16</v>
      </c>
      <c r="B109" s="3">
        <v>2016.0</v>
      </c>
      <c r="C109" s="3" t="s">
        <v>11</v>
      </c>
      <c r="D109" s="3">
        <v>167.2</v>
      </c>
      <c r="E109" s="3">
        <v>335.6</v>
      </c>
      <c r="F109" s="3">
        <v>160.1</v>
      </c>
      <c r="G109" s="3">
        <v>7.0</v>
      </c>
      <c r="H109" s="3">
        <v>13.1</v>
      </c>
    </row>
    <row r="110" ht="15.75" customHeight="1">
      <c r="A110" s="3" t="s">
        <v>16</v>
      </c>
      <c r="B110" s="3">
        <v>2016.0</v>
      </c>
      <c r="C110" s="3" t="s">
        <v>13</v>
      </c>
      <c r="D110" s="3">
        <v>136.9</v>
      </c>
      <c r="E110" s="3">
        <v>274.6</v>
      </c>
      <c r="F110" s="3">
        <v>203.0</v>
      </c>
      <c r="G110" s="3">
        <v>9.0</v>
      </c>
      <c r="H110" s="3">
        <v>36.4</v>
      </c>
    </row>
    <row r="111" ht="15.75" customHeight="1">
      <c r="A111" s="3" t="s">
        <v>16</v>
      </c>
      <c r="B111" s="3">
        <v>2016.0</v>
      </c>
      <c r="C111" s="3" t="s">
        <v>14</v>
      </c>
      <c r="D111" s="3">
        <v>175.4</v>
      </c>
      <c r="E111" s="3">
        <v>513.7</v>
      </c>
      <c r="F111" s="3">
        <v>208.6</v>
      </c>
      <c r="G111" s="3">
        <v>9.0</v>
      </c>
      <c r="H111" s="3">
        <v>24.4</v>
      </c>
    </row>
    <row r="112" ht="15.75" customHeight="1">
      <c r="A112" s="3" t="s">
        <v>16</v>
      </c>
      <c r="B112" s="3">
        <v>2017.0</v>
      </c>
      <c r="C112" s="3" t="s">
        <v>9</v>
      </c>
      <c r="D112" s="3">
        <v>164.1</v>
      </c>
      <c r="E112" s="3">
        <v>381.4</v>
      </c>
      <c r="F112" s="3">
        <v>180.2</v>
      </c>
      <c r="G112" s="3">
        <v>2.0</v>
      </c>
      <c r="H112" s="3">
        <v>37.1</v>
      </c>
    </row>
    <row r="113" ht="15.75" customHeight="1">
      <c r="A113" s="3" t="s">
        <v>16</v>
      </c>
      <c r="B113" s="3">
        <v>2017.0</v>
      </c>
      <c r="C113" s="3" t="s">
        <v>10</v>
      </c>
      <c r="D113" s="3">
        <v>168.1</v>
      </c>
      <c r="E113" s="3">
        <v>355.5</v>
      </c>
      <c r="F113" s="3">
        <v>206.4</v>
      </c>
      <c r="G113" s="3">
        <v>7.0</v>
      </c>
      <c r="H113" s="3">
        <v>29.5</v>
      </c>
    </row>
    <row r="114" ht="15.75" customHeight="1">
      <c r="A114" s="3" t="s">
        <v>16</v>
      </c>
      <c r="B114" s="3">
        <v>2017.0</v>
      </c>
      <c r="C114" s="3" t="s">
        <v>11</v>
      </c>
      <c r="D114" s="3">
        <v>144.1</v>
      </c>
      <c r="E114" s="3">
        <v>373.7</v>
      </c>
      <c r="F114" s="3">
        <v>152.5</v>
      </c>
      <c r="G114" s="3">
        <v>9.0</v>
      </c>
      <c r="H114" s="3">
        <v>7.6</v>
      </c>
    </row>
    <row r="115" ht="15.75" customHeight="1">
      <c r="A115" s="3" t="s">
        <v>16</v>
      </c>
      <c r="B115" s="3">
        <v>2017.0</v>
      </c>
      <c r="C115" s="3" t="s">
        <v>13</v>
      </c>
      <c r="D115" s="3">
        <v>176.3</v>
      </c>
      <c r="E115" s="3">
        <v>449.4</v>
      </c>
      <c r="F115" s="3">
        <v>165.9</v>
      </c>
      <c r="G115" s="3">
        <v>9.0</v>
      </c>
      <c r="H115" s="3">
        <v>40.7</v>
      </c>
    </row>
    <row r="116" ht="15.75" customHeight="1">
      <c r="A116" s="3" t="s">
        <v>16</v>
      </c>
      <c r="B116" s="3">
        <v>2017.0</v>
      </c>
      <c r="C116" s="3" t="s">
        <v>14</v>
      </c>
      <c r="D116" s="3">
        <v>201.8</v>
      </c>
      <c r="E116" s="3">
        <v>526.0</v>
      </c>
      <c r="F116" s="3">
        <v>273.7</v>
      </c>
      <c r="G116" s="3">
        <v>3.0</v>
      </c>
      <c r="H116" s="3">
        <v>42.7</v>
      </c>
    </row>
    <row r="117" ht="15.75" customHeight="1">
      <c r="A117" s="3" t="s">
        <v>16</v>
      </c>
      <c r="B117" s="3">
        <v>2018.0</v>
      </c>
      <c r="C117" s="3" t="s">
        <v>9</v>
      </c>
      <c r="D117" s="3">
        <v>198.3</v>
      </c>
      <c r="E117" s="3">
        <v>587.9</v>
      </c>
      <c r="F117" s="3">
        <v>175.9</v>
      </c>
      <c r="G117" s="3">
        <v>9.0</v>
      </c>
      <c r="H117" s="3">
        <v>49.6</v>
      </c>
    </row>
    <row r="118" ht="15.75" customHeight="1">
      <c r="A118" s="3" t="s">
        <v>16</v>
      </c>
      <c r="B118" s="3">
        <v>2018.0</v>
      </c>
      <c r="C118" s="3" t="s">
        <v>10</v>
      </c>
      <c r="D118" s="3">
        <v>217.6</v>
      </c>
      <c r="E118" s="3">
        <v>618.5</v>
      </c>
      <c r="F118" s="3">
        <v>195.4</v>
      </c>
      <c r="G118" s="3">
        <v>11.0</v>
      </c>
      <c r="H118" s="3">
        <v>37.8</v>
      </c>
    </row>
    <row r="119" ht="15.75" customHeight="1">
      <c r="A119" s="3" t="s">
        <v>16</v>
      </c>
      <c r="B119" s="3">
        <v>2018.0</v>
      </c>
      <c r="C119" s="3" t="s">
        <v>11</v>
      </c>
      <c r="D119" s="3">
        <v>276.4</v>
      </c>
      <c r="E119" s="3">
        <v>598.0</v>
      </c>
      <c r="F119" s="3">
        <v>252.9</v>
      </c>
      <c r="G119" s="3">
        <v>7.0</v>
      </c>
      <c r="H119" s="3">
        <v>12.5</v>
      </c>
    </row>
    <row r="120" ht="15.75" customHeight="1">
      <c r="A120" s="3" t="s">
        <v>16</v>
      </c>
      <c r="B120" s="3">
        <v>2018.0</v>
      </c>
      <c r="C120" s="3" t="s">
        <v>13</v>
      </c>
      <c r="D120" s="3">
        <v>186.8</v>
      </c>
      <c r="E120" s="3">
        <v>483.4</v>
      </c>
      <c r="F120" s="3">
        <v>238.7</v>
      </c>
      <c r="G120" s="3">
        <v>9.0</v>
      </c>
      <c r="H120" s="3">
        <v>22.5</v>
      </c>
    </row>
    <row r="121" ht="15.75" customHeight="1">
      <c r="A121" s="3" t="s">
        <v>16</v>
      </c>
      <c r="B121" s="3">
        <v>2018.0</v>
      </c>
      <c r="C121" s="3" t="s">
        <v>14</v>
      </c>
      <c r="D121" s="3">
        <v>201.2</v>
      </c>
      <c r="E121" s="3">
        <v>583.5</v>
      </c>
      <c r="F121" s="3">
        <v>248.9</v>
      </c>
      <c r="G121" s="3">
        <v>3.0</v>
      </c>
      <c r="H121" s="3">
        <v>37.6</v>
      </c>
    </row>
    <row r="122" ht="15.75" customHeight="1">
      <c r="A122" s="3" t="s">
        <v>16</v>
      </c>
      <c r="B122" s="3">
        <v>2019.0</v>
      </c>
      <c r="C122" s="3" t="s">
        <v>9</v>
      </c>
      <c r="D122" s="3">
        <v>158.2</v>
      </c>
      <c r="E122" s="3">
        <v>378.3</v>
      </c>
      <c r="F122" s="3">
        <v>185.4</v>
      </c>
      <c r="G122" s="3">
        <v>6.0</v>
      </c>
      <c r="H122" s="3">
        <v>45.4</v>
      </c>
    </row>
    <row r="123" ht="15.75" customHeight="1">
      <c r="A123" s="3" t="s">
        <v>16</v>
      </c>
      <c r="B123" s="3">
        <v>2019.0</v>
      </c>
      <c r="C123" s="3" t="s">
        <v>10</v>
      </c>
      <c r="D123" s="3">
        <v>279.9</v>
      </c>
      <c r="E123" s="3">
        <v>711.8</v>
      </c>
      <c r="F123" s="3">
        <v>308.5</v>
      </c>
      <c r="G123" s="3">
        <v>5.0</v>
      </c>
      <c r="H123" s="3">
        <v>31.8</v>
      </c>
    </row>
    <row r="124" ht="15.75" customHeight="1">
      <c r="A124" s="3" t="s">
        <v>16</v>
      </c>
      <c r="B124" s="3">
        <v>2019.0</v>
      </c>
      <c r="C124" s="3" t="s">
        <v>11</v>
      </c>
      <c r="D124" s="3">
        <v>251.2</v>
      </c>
      <c r="E124" s="3">
        <v>658.0</v>
      </c>
      <c r="F124" s="3">
        <v>294.7</v>
      </c>
      <c r="G124" s="3">
        <v>9.0</v>
      </c>
      <c r="H124" s="3">
        <v>29.1</v>
      </c>
    </row>
    <row r="125" ht="15.75" customHeight="1">
      <c r="A125" s="3" t="s">
        <v>16</v>
      </c>
      <c r="B125" s="3">
        <v>2019.0</v>
      </c>
      <c r="C125" s="3" t="s">
        <v>13</v>
      </c>
      <c r="D125" s="3">
        <v>215.5</v>
      </c>
      <c r="E125" s="3">
        <v>463.8</v>
      </c>
      <c r="F125" s="3">
        <v>219.5</v>
      </c>
      <c r="G125" s="3">
        <v>7.0</v>
      </c>
      <c r="H125" s="3">
        <v>39.2</v>
      </c>
    </row>
    <row r="126" ht="15.75" customHeight="1">
      <c r="A126" s="3" t="s">
        <v>16</v>
      </c>
      <c r="B126" s="3">
        <v>2019.0</v>
      </c>
      <c r="C126" s="3" t="s">
        <v>14</v>
      </c>
      <c r="D126" s="3">
        <v>234.1</v>
      </c>
      <c r="E126" s="3">
        <v>646.8</v>
      </c>
      <c r="F126" s="3">
        <v>331.0</v>
      </c>
      <c r="G126" s="3">
        <v>3.0</v>
      </c>
      <c r="H126" s="3">
        <v>6.0</v>
      </c>
    </row>
    <row r="127" ht="15.75" customHeight="1">
      <c r="A127" s="3" t="s">
        <v>16</v>
      </c>
      <c r="B127" s="3">
        <v>2020.0</v>
      </c>
      <c r="C127" s="3" t="s">
        <v>9</v>
      </c>
      <c r="D127" s="3">
        <v>227.7</v>
      </c>
      <c r="E127" s="3">
        <v>480.5</v>
      </c>
      <c r="F127" s="3">
        <v>317.0</v>
      </c>
      <c r="G127" s="3">
        <v>10.0</v>
      </c>
      <c r="H127" s="3">
        <v>30.6</v>
      </c>
    </row>
    <row r="128" ht="15.75" customHeight="1">
      <c r="A128" s="3" t="s">
        <v>16</v>
      </c>
      <c r="B128" s="3">
        <v>2020.0</v>
      </c>
      <c r="C128" s="3" t="s">
        <v>10</v>
      </c>
      <c r="D128" s="3">
        <v>230.7</v>
      </c>
      <c r="E128" s="3">
        <v>514.2</v>
      </c>
      <c r="F128" s="3">
        <v>301.2</v>
      </c>
      <c r="G128" s="3">
        <v>4.0</v>
      </c>
      <c r="H128" s="3">
        <v>1.6</v>
      </c>
    </row>
    <row r="129" ht="15.75" customHeight="1">
      <c r="A129" s="3" t="s">
        <v>16</v>
      </c>
      <c r="B129" s="3">
        <v>2020.0</v>
      </c>
      <c r="C129" s="3" t="s">
        <v>11</v>
      </c>
      <c r="D129" s="3">
        <v>276.3</v>
      </c>
      <c r="E129" s="3">
        <v>702.6</v>
      </c>
      <c r="F129" s="3">
        <v>269.8</v>
      </c>
      <c r="G129" s="3">
        <v>7.0</v>
      </c>
      <c r="H129" s="3">
        <v>41.5</v>
      </c>
    </row>
    <row r="130" ht="15.75" customHeight="1">
      <c r="A130" s="3" t="s">
        <v>16</v>
      </c>
      <c r="B130" s="3">
        <v>2020.0</v>
      </c>
      <c r="C130" s="3" t="s">
        <v>13</v>
      </c>
      <c r="D130" s="3">
        <v>254.8</v>
      </c>
      <c r="E130" s="3">
        <v>582.9</v>
      </c>
      <c r="F130" s="3">
        <v>313.5</v>
      </c>
      <c r="G130" s="3">
        <v>10.0</v>
      </c>
      <c r="H130" s="3">
        <v>25.8</v>
      </c>
    </row>
    <row r="131" ht="15.75" customHeight="1">
      <c r="A131" s="3" t="s">
        <v>16</v>
      </c>
      <c r="B131" s="3">
        <v>2020.0</v>
      </c>
      <c r="C131" s="3" t="s">
        <v>14</v>
      </c>
      <c r="D131" s="3">
        <v>245.4</v>
      </c>
      <c r="E131" s="3">
        <v>636.4</v>
      </c>
      <c r="F131" s="3">
        <v>213.9</v>
      </c>
      <c r="G131" s="3">
        <v>6.0</v>
      </c>
      <c r="H131" s="3">
        <v>39.7</v>
      </c>
    </row>
    <row r="132" ht="15.75" customHeight="1">
      <c r="A132" s="3" t="s">
        <v>16</v>
      </c>
      <c r="B132" s="3">
        <v>2021.0</v>
      </c>
      <c r="C132" s="3" t="s">
        <v>9</v>
      </c>
      <c r="D132" s="3">
        <v>272.3</v>
      </c>
      <c r="E132" s="3">
        <v>701.5</v>
      </c>
      <c r="F132" s="3">
        <v>333.5</v>
      </c>
      <c r="G132" s="3">
        <v>8.0</v>
      </c>
      <c r="H132" s="3">
        <v>4.8</v>
      </c>
    </row>
    <row r="133" ht="15.75" customHeight="1">
      <c r="A133" s="3" t="s">
        <v>16</v>
      </c>
      <c r="B133" s="3">
        <v>2021.0</v>
      </c>
      <c r="C133" s="3" t="s">
        <v>10</v>
      </c>
      <c r="D133" s="3">
        <v>313.1</v>
      </c>
      <c r="E133" s="3">
        <v>889.5</v>
      </c>
      <c r="F133" s="3">
        <v>450.1</v>
      </c>
      <c r="G133" s="3">
        <v>4.0</v>
      </c>
      <c r="H133" s="3">
        <v>6.5</v>
      </c>
    </row>
    <row r="134" ht="15.75" customHeight="1">
      <c r="A134" s="3" t="s">
        <v>16</v>
      </c>
      <c r="B134" s="3">
        <v>2021.0</v>
      </c>
      <c r="C134" s="3" t="s">
        <v>11</v>
      </c>
      <c r="D134" s="3">
        <v>267.9</v>
      </c>
      <c r="E134" s="3">
        <v>760.2</v>
      </c>
      <c r="F134" s="3">
        <v>276.6</v>
      </c>
      <c r="G134" s="3">
        <v>8.0</v>
      </c>
      <c r="H134" s="3">
        <v>26.4</v>
      </c>
    </row>
    <row r="135" ht="15.75" customHeight="1">
      <c r="A135" s="3" t="s">
        <v>16</v>
      </c>
      <c r="B135" s="3">
        <v>2021.0</v>
      </c>
      <c r="C135" s="3" t="s">
        <v>13</v>
      </c>
      <c r="D135" s="3">
        <v>286.1</v>
      </c>
      <c r="E135" s="3">
        <v>746.2</v>
      </c>
      <c r="F135" s="3">
        <v>304.9</v>
      </c>
      <c r="G135" s="3">
        <v>7.0</v>
      </c>
      <c r="H135" s="3">
        <v>17.4</v>
      </c>
    </row>
    <row r="136" ht="15.75" customHeight="1">
      <c r="A136" s="3" t="s">
        <v>16</v>
      </c>
      <c r="B136" s="3">
        <v>2021.0</v>
      </c>
      <c r="C136" s="3" t="s">
        <v>14</v>
      </c>
      <c r="D136" s="3">
        <v>325.3</v>
      </c>
      <c r="E136" s="3">
        <v>687.7</v>
      </c>
      <c r="F136" s="3">
        <v>354.6</v>
      </c>
      <c r="G136" s="3">
        <v>9.0</v>
      </c>
      <c r="H136" s="3">
        <v>18.0</v>
      </c>
    </row>
    <row r="137" ht="15.75" customHeight="1">
      <c r="A137" s="3" t="s">
        <v>16</v>
      </c>
      <c r="B137" s="3">
        <v>2022.0</v>
      </c>
      <c r="C137" s="3" t="s">
        <v>9</v>
      </c>
      <c r="D137" s="3">
        <v>362.6</v>
      </c>
      <c r="E137" s="3">
        <v>1058.1</v>
      </c>
      <c r="F137" s="3">
        <v>439.0</v>
      </c>
      <c r="G137" s="3">
        <v>6.0</v>
      </c>
      <c r="H137" s="3">
        <v>13.2</v>
      </c>
    </row>
    <row r="138" ht="15.75" customHeight="1">
      <c r="A138" s="3" t="s">
        <v>16</v>
      </c>
      <c r="B138" s="3">
        <v>2022.0</v>
      </c>
      <c r="C138" s="3" t="s">
        <v>10</v>
      </c>
      <c r="D138" s="3">
        <v>233.1</v>
      </c>
      <c r="E138" s="3">
        <v>679.4</v>
      </c>
      <c r="F138" s="3">
        <v>245.6</v>
      </c>
      <c r="G138" s="3">
        <v>8.0</v>
      </c>
      <c r="H138" s="3">
        <v>11.8</v>
      </c>
    </row>
    <row r="139" ht="15.75" customHeight="1">
      <c r="A139" s="3" t="s">
        <v>16</v>
      </c>
      <c r="B139" s="3">
        <v>2022.0</v>
      </c>
      <c r="C139" s="3" t="s">
        <v>11</v>
      </c>
      <c r="D139" s="3">
        <v>336.4</v>
      </c>
      <c r="E139" s="3">
        <v>732.6</v>
      </c>
      <c r="F139" s="3">
        <v>495.4</v>
      </c>
      <c r="G139" s="3">
        <v>4.0</v>
      </c>
      <c r="H139" s="3">
        <v>28.3</v>
      </c>
    </row>
    <row r="140" ht="15.75" customHeight="1">
      <c r="A140" s="3" t="s">
        <v>16</v>
      </c>
      <c r="B140" s="3">
        <v>2022.0</v>
      </c>
      <c r="C140" s="3" t="s">
        <v>13</v>
      </c>
      <c r="D140" s="3">
        <v>352.0</v>
      </c>
      <c r="E140" s="3">
        <v>913.6</v>
      </c>
      <c r="F140" s="3">
        <v>298.1</v>
      </c>
      <c r="G140" s="3">
        <v>10.0</v>
      </c>
      <c r="H140" s="3">
        <v>21.9</v>
      </c>
    </row>
    <row r="141" ht="15.75" customHeight="1">
      <c r="A141" s="3" t="s">
        <v>16</v>
      </c>
      <c r="B141" s="3">
        <v>2022.0</v>
      </c>
      <c r="C141" s="3" t="s">
        <v>14</v>
      </c>
      <c r="D141" s="3">
        <v>349.7</v>
      </c>
      <c r="E141" s="3">
        <v>1013.6</v>
      </c>
      <c r="F141" s="3">
        <v>330.0</v>
      </c>
      <c r="G141" s="3">
        <v>4.0</v>
      </c>
      <c r="H141" s="3">
        <v>2.8</v>
      </c>
    </row>
    <row r="142" ht="15.75" customHeight="1">
      <c r="A142" s="3" t="s">
        <v>16</v>
      </c>
      <c r="B142" s="3">
        <v>2023.0</v>
      </c>
      <c r="C142" s="3" t="s">
        <v>9</v>
      </c>
      <c r="D142" s="3">
        <v>358.1</v>
      </c>
      <c r="E142" s="3">
        <v>821.5</v>
      </c>
      <c r="F142" s="3">
        <v>465.5</v>
      </c>
      <c r="G142" s="3">
        <v>5.0</v>
      </c>
      <c r="H142" s="3">
        <v>26.7</v>
      </c>
    </row>
    <row r="143" ht="15.75" customHeight="1">
      <c r="A143" s="3" t="s">
        <v>16</v>
      </c>
      <c r="B143" s="3">
        <v>2023.0</v>
      </c>
      <c r="C143" s="3" t="s">
        <v>10</v>
      </c>
      <c r="D143" s="3">
        <v>392.0</v>
      </c>
      <c r="E143" s="3">
        <v>1084.0</v>
      </c>
      <c r="F143" s="3">
        <v>341.9</v>
      </c>
      <c r="G143" s="3">
        <v>11.0</v>
      </c>
      <c r="H143" s="3">
        <v>43.2</v>
      </c>
    </row>
    <row r="144" ht="15.75" customHeight="1">
      <c r="A144" s="3" t="s">
        <v>16</v>
      </c>
      <c r="B144" s="3">
        <v>2023.0</v>
      </c>
      <c r="C144" s="3" t="s">
        <v>11</v>
      </c>
      <c r="D144" s="3">
        <v>279.8</v>
      </c>
      <c r="E144" s="3">
        <v>739.7</v>
      </c>
      <c r="F144" s="3">
        <v>303.9</v>
      </c>
      <c r="G144" s="3">
        <v>9.0</v>
      </c>
      <c r="H144" s="3">
        <v>49.0</v>
      </c>
    </row>
    <row r="145" ht="15.75" customHeight="1">
      <c r="A145" s="3" t="s">
        <v>16</v>
      </c>
      <c r="B145" s="3">
        <v>2023.0</v>
      </c>
      <c r="C145" s="3" t="s">
        <v>13</v>
      </c>
      <c r="D145" s="3">
        <v>327.7</v>
      </c>
      <c r="E145" s="3">
        <v>889.9</v>
      </c>
      <c r="F145" s="3">
        <v>413.3</v>
      </c>
      <c r="G145" s="3">
        <v>4.0</v>
      </c>
      <c r="H145" s="3">
        <v>28.0</v>
      </c>
    </row>
    <row r="146" ht="15.75" customHeight="1">
      <c r="A146" s="3" t="s">
        <v>16</v>
      </c>
      <c r="B146" s="3">
        <v>2023.0</v>
      </c>
      <c r="C146" s="3" t="s">
        <v>14</v>
      </c>
      <c r="D146" s="3">
        <v>407.7</v>
      </c>
      <c r="E146" s="3">
        <v>823.3</v>
      </c>
      <c r="F146" s="3">
        <v>355.8</v>
      </c>
      <c r="G146" s="3">
        <v>9.0</v>
      </c>
      <c r="H146" s="3">
        <v>9.7</v>
      </c>
    </row>
    <row r="147" ht="15.75" customHeight="1">
      <c r="A147" s="3" t="s">
        <v>16</v>
      </c>
      <c r="B147" s="3">
        <v>2024.0</v>
      </c>
      <c r="C147" s="3" t="s">
        <v>9</v>
      </c>
      <c r="D147" s="3">
        <v>323.1</v>
      </c>
      <c r="E147" s="3">
        <v>678.4</v>
      </c>
      <c r="F147" s="3">
        <v>313.5</v>
      </c>
      <c r="G147" s="3">
        <v>11.0</v>
      </c>
      <c r="H147" s="3">
        <v>40.5</v>
      </c>
    </row>
    <row r="148" ht="15.75" customHeight="1">
      <c r="A148" s="3" t="s">
        <v>16</v>
      </c>
      <c r="B148" s="3">
        <v>2024.0</v>
      </c>
      <c r="C148" s="3" t="s">
        <v>10</v>
      </c>
      <c r="D148" s="3">
        <v>414.4</v>
      </c>
      <c r="E148" s="3">
        <v>913.7</v>
      </c>
      <c r="F148" s="3">
        <v>416.5</v>
      </c>
      <c r="G148" s="3">
        <v>6.0</v>
      </c>
      <c r="H148" s="3">
        <v>1.6</v>
      </c>
    </row>
    <row r="149" ht="15.75" customHeight="1">
      <c r="A149" s="3" t="s">
        <v>16</v>
      </c>
      <c r="B149" s="3">
        <v>2024.0</v>
      </c>
      <c r="C149" s="3" t="s">
        <v>11</v>
      </c>
      <c r="D149" s="3">
        <v>325.8</v>
      </c>
      <c r="E149" s="3">
        <v>891.3</v>
      </c>
      <c r="F149" s="3">
        <v>454.0</v>
      </c>
      <c r="G149" s="3">
        <v>6.0</v>
      </c>
      <c r="H149" s="3">
        <v>29.6</v>
      </c>
    </row>
    <row r="150" ht="15.75" customHeight="1">
      <c r="A150" s="3" t="s">
        <v>16</v>
      </c>
      <c r="B150" s="3">
        <v>2024.0</v>
      </c>
      <c r="C150" s="3" t="s">
        <v>13</v>
      </c>
      <c r="D150" s="3">
        <v>424.8</v>
      </c>
      <c r="E150" s="3">
        <v>1115.1</v>
      </c>
      <c r="F150" s="3">
        <v>439.7</v>
      </c>
      <c r="G150" s="3">
        <v>6.0</v>
      </c>
      <c r="H150" s="3">
        <v>18.8</v>
      </c>
    </row>
    <row r="151" ht="15.75" customHeight="1">
      <c r="A151" s="3" t="s">
        <v>16</v>
      </c>
      <c r="B151" s="3">
        <v>2024.0</v>
      </c>
      <c r="C151" s="3" t="s">
        <v>14</v>
      </c>
      <c r="D151" s="3">
        <v>442.9</v>
      </c>
      <c r="E151" s="3">
        <v>1044.1</v>
      </c>
      <c r="F151" s="3">
        <v>384.2</v>
      </c>
      <c r="G151" s="3">
        <v>12.0</v>
      </c>
      <c r="H151" s="3">
        <v>22.4</v>
      </c>
    </row>
    <row r="152" ht="15.75" customHeight="1">
      <c r="A152" s="3" t="s">
        <v>19</v>
      </c>
      <c r="B152" s="3">
        <v>2015.0</v>
      </c>
      <c r="C152" s="3" t="s">
        <v>9</v>
      </c>
      <c r="D152" s="3">
        <v>112.3</v>
      </c>
      <c r="E152" s="3">
        <v>288.3</v>
      </c>
      <c r="F152" s="3">
        <v>167.4</v>
      </c>
      <c r="G152" s="3">
        <v>8.0</v>
      </c>
      <c r="H152" s="3">
        <v>40.2</v>
      </c>
    </row>
    <row r="153" ht="15.75" customHeight="1">
      <c r="A153" s="3" t="s">
        <v>19</v>
      </c>
      <c r="B153" s="3">
        <v>2015.0</v>
      </c>
      <c r="C153" s="3" t="s">
        <v>10</v>
      </c>
      <c r="D153" s="3">
        <v>100.7</v>
      </c>
      <c r="E153" s="3">
        <v>276.2</v>
      </c>
      <c r="F153" s="3">
        <v>129.9</v>
      </c>
      <c r="G153" s="3">
        <v>10.0</v>
      </c>
      <c r="H153" s="3">
        <v>13.6</v>
      </c>
    </row>
    <row r="154" ht="15.75" customHeight="1">
      <c r="A154" s="3" t="s">
        <v>19</v>
      </c>
      <c r="B154" s="3">
        <v>2015.0</v>
      </c>
      <c r="C154" s="3" t="s">
        <v>11</v>
      </c>
      <c r="D154" s="3">
        <v>62.3</v>
      </c>
      <c r="E154" s="3">
        <v>141.7</v>
      </c>
      <c r="F154" s="3">
        <v>50.7</v>
      </c>
      <c r="G154" s="3">
        <v>2.0</v>
      </c>
      <c r="H154" s="3">
        <v>27.0</v>
      </c>
    </row>
    <row r="155" ht="15.75" customHeight="1">
      <c r="A155" s="3" t="s">
        <v>19</v>
      </c>
      <c r="B155" s="3">
        <v>2015.0</v>
      </c>
      <c r="C155" s="3" t="s">
        <v>13</v>
      </c>
      <c r="D155" s="3">
        <v>124.0</v>
      </c>
      <c r="E155" s="3">
        <v>319.6</v>
      </c>
      <c r="F155" s="3">
        <v>123.0</v>
      </c>
      <c r="G155" s="3">
        <v>2.0</v>
      </c>
      <c r="H155" s="3">
        <v>20.9</v>
      </c>
    </row>
    <row r="156" ht="15.75" customHeight="1">
      <c r="A156" s="3" t="s">
        <v>19</v>
      </c>
      <c r="B156" s="3">
        <v>2015.0</v>
      </c>
      <c r="C156" s="3" t="s">
        <v>14</v>
      </c>
      <c r="D156" s="3">
        <v>154.6</v>
      </c>
      <c r="E156" s="3">
        <v>412.1</v>
      </c>
      <c r="F156" s="3">
        <v>142.7</v>
      </c>
      <c r="G156" s="3">
        <v>2.0</v>
      </c>
      <c r="H156" s="3">
        <v>21.5</v>
      </c>
    </row>
    <row r="157" ht="15.75" customHeight="1">
      <c r="A157" s="3" t="s">
        <v>19</v>
      </c>
      <c r="B157" s="3">
        <v>2016.0</v>
      </c>
      <c r="C157" s="3" t="s">
        <v>9</v>
      </c>
      <c r="D157" s="3">
        <v>218.1</v>
      </c>
      <c r="E157" s="3">
        <v>549.4</v>
      </c>
      <c r="F157" s="3">
        <v>181.7</v>
      </c>
      <c r="G157" s="3">
        <v>8.0</v>
      </c>
      <c r="H157" s="3">
        <v>37.2</v>
      </c>
    </row>
    <row r="158" ht="15.75" customHeight="1">
      <c r="A158" s="3" t="s">
        <v>19</v>
      </c>
      <c r="B158" s="3">
        <v>2016.0</v>
      </c>
      <c r="C158" s="3" t="s">
        <v>10</v>
      </c>
      <c r="D158" s="3">
        <v>164.4</v>
      </c>
      <c r="E158" s="3">
        <v>340.1</v>
      </c>
      <c r="F158" s="3">
        <v>227.9</v>
      </c>
      <c r="G158" s="3">
        <v>5.0</v>
      </c>
      <c r="H158" s="3">
        <v>36.2</v>
      </c>
    </row>
    <row r="159" ht="15.75" customHeight="1">
      <c r="A159" s="3" t="s">
        <v>19</v>
      </c>
      <c r="B159" s="3">
        <v>2016.0</v>
      </c>
      <c r="C159" s="3" t="s">
        <v>11</v>
      </c>
      <c r="D159" s="3">
        <v>141.3</v>
      </c>
      <c r="E159" s="3">
        <v>368.9</v>
      </c>
      <c r="F159" s="3">
        <v>207.0</v>
      </c>
      <c r="G159" s="3">
        <v>8.0</v>
      </c>
      <c r="H159" s="3">
        <v>33.5</v>
      </c>
    </row>
    <row r="160" ht="15.75" customHeight="1">
      <c r="A160" s="3" t="s">
        <v>19</v>
      </c>
      <c r="B160" s="3">
        <v>2016.0</v>
      </c>
      <c r="C160" s="3" t="s">
        <v>13</v>
      </c>
      <c r="D160" s="3">
        <v>105.2</v>
      </c>
      <c r="E160" s="3">
        <v>213.8</v>
      </c>
      <c r="F160" s="3">
        <v>103.5</v>
      </c>
      <c r="G160" s="3">
        <v>4.0</v>
      </c>
      <c r="H160" s="3">
        <v>42.2</v>
      </c>
    </row>
    <row r="161" ht="15.75" customHeight="1">
      <c r="A161" s="3" t="s">
        <v>19</v>
      </c>
      <c r="B161" s="3">
        <v>2016.0</v>
      </c>
      <c r="C161" s="3" t="s">
        <v>14</v>
      </c>
      <c r="D161" s="3">
        <v>192.0</v>
      </c>
      <c r="E161" s="3">
        <v>567.4</v>
      </c>
      <c r="F161" s="3">
        <v>174.4</v>
      </c>
      <c r="G161" s="3">
        <v>10.0</v>
      </c>
      <c r="H161" s="3">
        <v>38.8</v>
      </c>
    </row>
    <row r="162" ht="15.75" customHeight="1">
      <c r="A162" s="3" t="s">
        <v>19</v>
      </c>
      <c r="B162" s="3">
        <v>2017.0</v>
      </c>
      <c r="C162" s="3" t="s">
        <v>9</v>
      </c>
      <c r="D162" s="3">
        <v>178.0</v>
      </c>
      <c r="E162" s="3">
        <v>478.4</v>
      </c>
      <c r="F162" s="3">
        <v>196.5</v>
      </c>
      <c r="G162" s="3">
        <v>8.0</v>
      </c>
      <c r="H162" s="3">
        <v>4.7</v>
      </c>
    </row>
    <row r="163" ht="15.75" customHeight="1">
      <c r="A163" s="3" t="s">
        <v>19</v>
      </c>
      <c r="B163" s="3">
        <v>2017.0</v>
      </c>
      <c r="C163" s="3" t="s">
        <v>10</v>
      </c>
      <c r="D163" s="3">
        <v>236.1</v>
      </c>
      <c r="E163" s="3">
        <v>700.7</v>
      </c>
      <c r="F163" s="3">
        <v>189.8</v>
      </c>
      <c r="G163" s="3">
        <v>5.0</v>
      </c>
      <c r="H163" s="3">
        <v>16.4</v>
      </c>
    </row>
    <row r="164" ht="15.75" customHeight="1">
      <c r="A164" s="3" t="s">
        <v>19</v>
      </c>
      <c r="B164" s="3">
        <v>2017.0</v>
      </c>
      <c r="C164" s="3" t="s">
        <v>11</v>
      </c>
      <c r="D164" s="3">
        <v>195.8</v>
      </c>
      <c r="E164" s="3">
        <v>427.8</v>
      </c>
      <c r="F164" s="3">
        <v>230.9</v>
      </c>
      <c r="G164" s="3">
        <v>9.0</v>
      </c>
      <c r="H164" s="3">
        <v>38.2</v>
      </c>
    </row>
    <row r="165" ht="15.75" customHeight="1">
      <c r="A165" s="3" t="s">
        <v>19</v>
      </c>
      <c r="B165" s="3">
        <v>2017.0</v>
      </c>
      <c r="C165" s="3" t="s">
        <v>13</v>
      </c>
      <c r="D165" s="3">
        <v>178.6</v>
      </c>
      <c r="E165" s="3">
        <v>492.8</v>
      </c>
      <c r="F165" s="3">
        <v>233.4</v>
      </c>
      <c r="G165" s="3">
        <v>7.0</v>
      </c>
      <c r="H165" s="3">
        <v>49.0</v>
      </c>
    </row>
    <row r="166" ht="15.75" customHeight="1">
      <c r="A166" s="3" t="s">
        <v>19</v>
      </c>
      <c r="B166" s="3">
        <v>2017.0</v>
      </c>
      <c r="C166" s="3" t="s">
        <v>14</v>
      </c>
      <c r="D166" s="3">
        <v>163.9</v>
      </c>
      <c r="E166" s="3">
        <v>357.4</v>
      </c>
      <c r="F166" s="3">
        <v>196.3</v>
      </c>
      <c r="G166" s="3">
        <v>8.0</v>
      </c>
      <c r="H166" s="3">
        <v>2.7</v>
      </c>
    </row>
    <row r="167" ht="15.75" customHeight="1">
      <c r="A167" s="3" t="s">
        <v>19</v>
      </c>
      <c r="B167" s="3">
        <v>2018.0</v>
      </c>
      <c r="C167" s="3" t="s">
        <v>9</v>
      </c>
      <c r="D167" s="3">
        <v>182.2</v>
      </c>
      <c r="E167" s="3">
        <v>418.6</v>
      </c>
      <c r="F167" s="3">
        <v>263.7</v>
      </c>
      <c r="G167" s="3">
        <v>3.0</v>
      </c>
      <c r="H167" s="3">
        <v>21.7</v>
      </c>
    </row>
    <row r="168" ht="15.75" customHeight="1">
      <c r="A168" s="3" t="s">
        <v>19</v>
      </c>
      <c r="B168" s="3">
        <v>2018.0</v>
      </c>
      <c r="C168" s="3" t="s">
        <v>10</v>
      </c>
      <c r="D168" s="3">
        <v>248.7</v>
      </c>
      <c r="E168" s="3">
        <v>657.7</v>
      </c>
      <c r="F168" s="3">
        <v>312.1</v>
      </c>
      <c r="G168" s="3">
        <v>10.0</v>
      </c>
      <c r="H168" s="3">
        <v>12.3</v>
      </c>
    </row>
    <row r="169" ht="15.75" customHeight="1">
      <c r="A169" s="3" t="s">
        <v>19</v>
      </c>
      <c r="B169" s="3">
        <v>2018.0</v>
      </c>
      <c r="C169" s="3" t="s">
        <v>11</v>
      </c>
      <c r="D169" s="3">
        <v>147.6</v>
      </c>
      <c r="E169" s="3">
        <v>366.3</v>
      </c>
      <c r="F169" s="3">
        <v>209.6</v>
      </c>
      <c r="G169" s="3">
        <v>9.0</v>
      </c>
      <c r="H169" s="3">
        <v>22.6</v>
      </c>
    </row>
    <row r="170" ht="15.75" customHeight="1">
      <c r="A170" s="3" t="s">
        <v>19</v>
      </c>
      <c r="B170" s="3">
        <v>2018.0</v>
      </c>
      <c r="C170" s="3" t="s">
        <v>13</v>
      </c>
      <c r="D170" s="3">
        <v>220.4</v>
      </c>
      <c r="E170" s="3">
        <v>615.0</v>
      </c>
      <c r="F170" s="3">
        <v>225.5</v>
      </c>
      <c r="G170" s="3">
        <v>4.0</v>
      </c>
      <c r="H170" s="3">
        <v>26.5</v>
      </c>
    </row>
    <row r="171" ht="15.75" customHeight="1">
      <c r="A171" s="3" t="s">
        <v>19</v>
      </c>
      <c r="B171" s="3">
        <v>2018.0</v>
      </c>
      <c r="C171" s="3" t="s">
        <v>14</v>
      </c>
      <c r="D171" s="3">
        <v>153.1</v>
      </c>
      <c r="E171" s="3">
        <v>440.4</v>
      </c>
      <c r="F171" s="3">
        <v>167.2</v>
      </c>
      <c r="G171" s="3">
        <v>4.0</v>
      </c>
      <c r="H171" s="3">
        <v>43.6</v>
      </c>
    </row>
    <row r="172" ht="15.75" customHeight="1">
      <c r="A172" s="3" t="s">
        <v>19</v>
      </c>
      <c r="B172" s="3">
        <v>2019.0</v>
      </c>
      <c r="C172" s="3" t="s">
        <v>9</v>
      </c>
      <c r="D172" s="3">
        <v>248.2</v>
      </c>
      <c r="E172" s="3">
        <v>513.8</v>
      </c>
      <c r="F172" s="3">
        <v>200.2</v>
      </c>
      <c r="G172" s="3">
        <v>3.0</v>
      </c>
      <c r="H172" s="3">
        <v>20.7</v>
      </c>
    </row>
    <row r="173" ht="15.75" customHeight="1">
      <c r="A173" s="3" t="s">
        <v>19</v>
      </c>
      <c r="B173" s="3">
        <v>2019.0</v>
      </c>
      <c r="C173" s="3" t="s">
        <v>10</v>
      </c>
      <c r="D173" s="3">
        <v>250.8</v>
      </c>
      <c r="E173" s="3">
        <v>647.4</v>
      </c>
      <c r="F173" s="3">
        <v>248.4</v>
      </c>
      <c r="G173" s="3">
        <v>11.0</v>
      </c>
      <c r="H173" s="3">
        <v>38.6</v>
      </c>
    </row>
    <row r="174" ht="15.75" customHeight="1">
      <c r="A174" s="3" t="s">
        <v>19</v>
      </c>
      <c r="B174" s="3">
        <v>2019.0</v>
      </c>
      <c r="C174" s="3" t="s">
        <v>11</v>
      </c>
      <c r="D174" s="3">
        <v>232.6</v>
      </c>
      <c r="E174" s="3">
        <v>635.6</v>
      </c>
      <c r="F174" s="3">
        <v>186.6</v>
      </c>
      <c r="G174" s="3">
        <v>10.0</v>
      </c>
      <c r="H174" s="3">
        <v>15.1</v>
      </c>
    </row>
    <row r="175" ht="15.75" customHeight="1">
      <c r="A175" s="3" t="s">
        <v>19</v>
      </c>
      <c r="B175" s="3">
        <v>2019.0</v>
      </c>
      <c r="C175" s="3" t="s">
        <v>13</v>
      </c>
      <c r="D175" s="3">
        <v>204.4</v>
      </c>
      <c r="E175" s="3">
        <v>555.2</v>
      </c>
      <c r="F175" s="3">
        <v>247.9</v>
      </c>
      <c r="G175" s="3">
        <v>3.0</v>
      </c>
      <c r="H175" s="3">
        <v>45.6</v>
      </c>
    </row>
    <row r="176" ht="15.75" customHeight="1">
      <c r="A176" s="3" t="s">
        <v>19</v>
      </c>
      <c r="B176" s="3">
        <v>2019.0</v>
      </c>
      <c r="C176" s="3" t="s">
        <v>14</v>
      </c>
      <c r="D176" s="3">
        <v>260.5</v>
      </c>
      <c r="E176" s="3">
        <v>577.9</v>
      </c>
      <c r="F176" s="3">
        <v>381.6</v>
      </c>
      <c r="G176" s="3">
        <v>7.0</v>
      </c>
      <c r="H176" s="3">
        <v>5.4</v>
      </c>
    </row>
    <row r="177" ht="15.75" customHeight="1">
      <c r="A177" s="3" t="s">
        <v>19</v>
      </c>
      <c r="B177" s="3">
        <v>2020.0</v>
      </c>
      <c r="C177" s="3" t="s">
        <v>9</v>
      </c>
      <c r="D177" s="3">
        <v>269.0</v>
      </c>
      <c r="E177" s="3">
        <v>802.4</v>
      </c>
      <c r="F177" s="3">
        <v>381.8</v>
      </c>
      <c r="G177" s="3">
        <v>10.0</v>
      </c>
      <c r="H177" s="3">
        <v>23.9</v>
      </c>
    </row>
    <row r="178" ht="15.75" customHeight="1">
      <c r="A178" s="3" t="s">
        <v>19</v>
      </c>
      <c r="B178" s="3">
        <v>2020.0</v>
      </c>
      <c r="C178" s="3" t="s">
        <v>10</v>
      </c>
      <c r="D178" s="3">
        <v>251.1</v>
      </c>
      <c r="E178" s="3">
        <v>603.0</v>
      </c>
      <c r="F178" s="3">
        <v>348.1</v>
      </c>
      <c r="G178" s="3">
        <v>8.0</v>
      </c>
      <c r="H178" s="3">
        <v>30.8</v>
      </c>
    </row>
    <row r="179" ht="15.75" customHeight="1">
      <c r="A179" s="3" t="s">
        <v>19</v>
      </c>
      <c r="B179" s="3">
        <v>2020.0</v>
      </c>
      <c r="C179" s="3" t="s">
        <v>11</v>
      </c>
      <c r="D179" s="3">
        <v>287.6</v>
      </c>
      <c r="E179" s="3">
        <v>638.7</v>
      </c>
      <c r="F179" s="3">
        <v>267.6</v>
      </c>
      <c r="G179" s="3">
        <v>5.0</v>
      </c>
      <c r="H179" s="3">
        <v>41.5</v>
      </c>
    </row>
    <row r="180" ht="15.75" customHeight="1">
      <c r="A180" s="3" t="s">
        <v>19</v>
      </c>
      <c r="B180" s="3">
        <v>2020.0</v>
      </c>
      <c r="C180" s="3" t="s">
        <v>13</v>
      </c>
      <c r="D180" s="3">
        <v>276.6</v>
      </c>
      <c r="E180" s="3">
        <v>745.8</v>
      </c>
      <c r="F180" s="3">
        <v>251.1</v>
      </c>
      <c r="G180" s="3">
        <v>5.0</v>
      </c>
      <c r="H180" s="3">
        <v>12.0</v>
      </c>
    </row>
    <row r="181" ht="15.75" customHeight="1">
      <c r="A181" s="3" t="s">
        <v>19</v>
      </c>
      <c r="B181" s="3">
        <v>2020.0</v>
      </c>
      <c r="C181" s="3" t="s">
        <v>14</v>
      </c>
      <c r="D181" s="3">
        <v>279.9</v>
      </c>
      <c r="E181" s="3">
        <v>722.1</v>
      </c>
      <c r="F181" s="3">
        <v>241.8</v>
      </c>
      <c r="G181" s="3">
        <v>11.0</v>
      </c>
      <c r="H181" s="3">
        <v>20.2</v>
      </c>
    </row>
    <row r="182" ht="15.75" customHeight="1">
      <c r="A182" s="3" t="s">
        <v>19</v>
      </c>
      <c r="B182" s="3">
        <v>2021.0</v>
      </c>
      <c r="C182" s="3" t="s">
        <v>9</v>
      </c>
      <c r="D182" s="3">
        <v>296.6</v>
      </c>
      <c r="E182" s="3">
        <v>787.5</v>
      </c>
      <c r="F182" s="3">
        <v>351.6</v>
      </c>
      <c r="G182" s="3">
        <v>4.0</v>
      </c>
      <c r="H182" s="3">
        <v>21.0</v>
      </c>
    </row>
    <row r="183" ht="15.75" customHeight="1">
      <c r="A183" s="3" t="s">
        <v>19</v>
      </c>
      <c r="B183" s="3">
        <v>2021.0</v>
      </c>
      <c r="C183" s="3" t="s">
        <v>10</v>
      </c>
      <c r="D183" s="3">
        <v>307.0</v>
      </c>
      <c r="E183" s="3">
        <v>693.8</v>
      </c>
      <c r="F183" s="3">
        <v>401.1</v>
      </c>
      <c r="G183" s="3">
        <v>5.0</v>
      </c>
      <c r="H183" s="3">
        <v>5.0</v>
      </c>
    </row>
    <row r="184" ht="15.75" customHeight="1">
      <c r="A184" s="3" t="s">
        <v>19</v>
      </c>
      <c r="B184" s="3">
        <v>2021.0</v>
      </c>
      <c r="C184" s="3" t="s">
        <v>11</v>
      </c>
      <c r="D184" s="3">
        <v>320.3</v>
      </c>
      <c r="E184" s="3">
        <v>931.0</v>
      </c>
      <c r="F184" s="3">
        <v>384.3</v>
      </c>
      <c r="G184" s="3">
        <v>11.0</v>
      </c>
      <c r="H184" s="3">
        <v>34.2</v>
      </c>
    </row>
    <row r="185" ht="15.75" customHeight="1">
      <c r="A185" s="3" t="s">
        <v>19</v>
      </c>
      <c r="B185" s="3">
        <v>2021.0</v>
      </c>
      <c r="C185" s="3" t="s">
        <v>13</v>
      </c>
      <c r="D185" s="3">
        <v>322.9</v>
      </c>
      <c r="E185" s="3">
        <v>929.6</v>
      </c>
      <c r="F185" s="3">
        <v>438.6</v>
      </c>
      <c r="G185" s="3">
        <v>11.0</v>
      </c>
      <c r="H185" s="3">
        <v>13.0</v>
      </c>
    </row>
    <row r="186" ht="15.75" customHeight="1">
      <c r="A186" s="3" t="s">
        <v>19</v>
      </c>
      <c r="B186" s="3">
        <v>2021.0</v>
      </c>
      <c r="C186" s="3" t="s">
        <v>14</v>
      </c>
      <c r="D186" s="3">
        <v>330.2</v>
      </c>
      <c r="E186" s="3">
        <v>936.7</v>
      </c>
      <c r="F186" s="3">
        <v>425.3</v>
      </c>
      <c r="G186" s="3">
        <v>7.0</v>
      </c>
      <c r="H186" s="3">
        <v>31.3</v>
      </c>
    </row>
    <row r="187" ht="15.75" customHeight="1">
      <c r="A187" s="3" t="s">
        <v>19</v>
      </c>
      <c r="B187" s="3">
        <v>2022.0</v>
      </c>
      <c r="C187" s="3" t="s">
        <v>9</v>
      </c>
      <c r="D187" s="3">
        <v>348.5</v>
      </c>
      <c r="E187" s="3">
        <v>762.8</v>
      </c>
      <c r="F187" s="3">
        <v>493.8</v>
      </c>
      <c r="G187" s="3">
        <v>12.0</v>
      </c>
      <c r="H187" s="3">
        <v>2.4</v>
      </c>
    </row>
    <row r="188" ht="15.75" customHeight="1">
      <c r="A188" s="3" t="s">
        <v>19</v>
      </c>
      <c r="B188" s="3">
        <v>2022.0</v>
      </c>
      <c r="C188" s="3" t="s">
        <v>10</v>
      </c>
      <c r="D188" s="3">
        <v>318.9</v>
      </c>
      <c r="E188" s="3">
        <v>638.1</v>
      </c>
      <c r="F188" s="3">
        <v>379.3</v>
      </c>
      <c r="G188" s="3">
        <v>10.0</v>
      </c>
      <c r="H188" s="3">
        <v>10.5</v>
      </c>
    </row>
    <row r="189" ht="15.75" customHeight="1">
      <c r="A189" s="3" t="s">
        <v>19</v>
      </c>
      <c r="B189" s="3">
        <v>2022.0</v>
      </c>
      <c r="C189" s="3" t="s">
        <v>11</v>
      </c>
      <c r="D189" s="3">
        <v>297.4</v>
      </c>
      <c r="E189" s="3">
        <v>778.3</v>
      </c>
      <c r="F189" s="3">
        <v>442.2</v>
      </c>
      <c r="G189" s="3">
        <v>3.0</v>
      </c>
      <c r="H189" s="3">
        <v>6.7</v>
      </c>
    </row>
    <row r="190" ht="15.75" customHeight="1">
      <c r="A190" s="3" t="s">
        <v>19</v>
      </c>
      <c r="B190" s="3">
        <v>2022.0</v>
      </c>
      <c r="C190" s="3" t="s">
        <v>13</v>
      </c>
      <c r="D190" s="3">
        <v>337.3</v>
      </c>
      <c r="E190" s="3">
        <v>680.8</v>
      </c>
      <c r="F190" s="3">
        <v>371.9</v>
      </c>
      <c r="G190" s="3">
        <v>5.0</v>
      </c>
      <c r="H190" s="3">
        <v>17.8</v>
      </c>
    </row>
    <row r="191" ht="15.75" customHeight="1">
      <c r="A191" s="3" t="s">
        <v>19</v>
      </c>
      <c r="B191" s="3">
        <v>2022.0</v>
      </c>
      <c r="C191" s="3" t="s">
        <v>14</v>
      </c>
      <c r="D191" s="3">
        <v>328.9</v>
      </c>
      <c r="E191" s="3">
        <v>716.8</v>
      </c>
      <c r="F191" s="3">
        <v>436.6</v>
      </c>
      <c r="G191" s="3">
        <v>9.0</v>
      </c>
      <c r="H191" s="3">
        <v>46.9</v>
      </c>
    </row>
    <row r="192" ht="15.75" customHeight="1">
      <c r="A192" s="3" t="s">
        <v>19</v>
      </c>
      <c r="B192" s="3">
        <v>2023.0</v>
      </c>
      <c r="C192" s="3" t="s">
        <v>9</v>
      </c>
      <c r="D192" s="3">
        <v>419.2</v>
      </c>
      <c r="E192" s="3">
        <v>866.7</v>
      </c>
      <c r="F192" s="3">
        <v>506.2</v>
      </c>
      <c r="G192" s="3">
        <v>5.0</v>
      </c>
      <c r="H192" s="3">
        <v>3.8</v>
      </c>
    </row>
    <row r="193" ht="15.75" customHeight="1">
      <c r="A193" s="3" t="s">
        <v>19</v>
      </c>
      <c r="B193" s="3">
        <v>2023.0</v>
      </c>
      <c r="C193" s="3" t="s">
        <v>10</v>
      </c>
      <c r="D193" s="3">
        <v>338.2</v>
      </c>
      <c r="E193" s="3">
        <v>1011.3</v>
      </c>
      <c r="F193" s="3">
        <v>430.6</v>
      </c>
      <c r="G193" s="3">
        <v>7.0</v>
      </c>
      <c r="H193" s="3">
        <v>32.7</v>
      </c>
    </row>
    <row r="194" ht="15.75" customHeight="1">
      <c r="A194" s="3" t="s">
        <v>19</v>
      </c>
      <c r="B194" s="3">
        <v>2023.0</v>
      </c>
      <c r="C194" s="3" t="s">
        <v>11</v>
      </c>
      <c r="D194" s="3">
        <v>418.0</v>
      </c>
      <c r="E194" s="3">
        <v>1121.5</v>
      </c>
      <c r="F194" s="3">
        <v>464.8</v>
      </c>
      <c r="G194" s="3">
        <v>6.0</v>
      </c>
      <c r="H194" s="3">
        <v>49.9</v>
      </c>
    </row>
    <row r="195" ht="15.75" customHeight="1">
      <c r="A195" s="3" t="s">
        <v>19</v>
      </c>
      <c r="B195" s="3">
        <v>2023.0</v>
      </c>
      <c r="C195" s="3" t="s">
        <v>13</v>
      </c>
      <c r="D195" s="3">
        <v>330.0</v>
      </c>
      <c r="E195" s="3">
        <v>942.0</v>
      </c>
      <c r="F195" s="3">
        <v>385.8</v>
      </c>
      <c r="G195" s="3">
        <v>7.0</v>
      </c>
      <c r="H195" s="3">
        <v>42.2</v>
      </c>
    </row>
    <row r="196" ht="15.75" customHeight="1">
      <c r="A196" s="3" t="s">
        <v>19</v>
      </c>
      <c r="B196" s="3">
        <v>2023.0</v>
      </c>
      <c r="C196" s="3" t="s">
        <v>14</v>
      </c>
      <c r="D196" s="3">
        <v>399.7</v>
      </c>
      <c r="E196" s="3">
        <v>908.5</v>
      </c>
      <c r="F196" s="3">
        <v>585.7</v>
      </c>
      <c r="G196" s="3">
        <v>11.0</v>
      </c>
      <c r="H196" s="3">
        <v>22.2</v>
      </c>
    </row>
    <row r="197" ht="15.75" customHeight="1">
      <c r="A197" s="3" t="s">
        <v>19</v>
      </c>
      <c r="B197" s="3">
        <v>2024.0</v>
      </c>
      <c r="C197" s="3" t="s">
        <v>9</v>
      </c>
      <c r="D197" s="3">
        <v>409.3</v>
      </c>
      <c r="E197" s="3">
        <v>1190.9</v>
      </c>
      <c r="F197" s="3">
        <v>573.1</v>
      </c>
      <c r="G197" s="3">
        <v>8.0</v>
      </c>
      <c r="H197" s="3">
        <v>20.5</v>
      </c>
    </row>
    <row r="198" ht="15.75" customHeight="1">
      <c r="A198" s="3" t="s">
        <v>19</v>
      </c>
      <c r="B198" s="3">
        <v>2024.0</v>
      </c>
      <c r="C198" s="3" t="s">
        <v>10</v>
      </c>
      <c r="D198" s="3">
        <v>350.6</v>
      </c>
      <c r="E198" s="3">
        <v>813.6</v>
      </c>
      <c r="F198" s="3">
        <v>458.3</v>
      </c>
      <c r="G198" s="3">
        <v>5.0</v>
      </c>
      <c r="H198" s="3">
        <v>11.4</v>
      </c>
    </row>
    <row r="199" ht="15.75" customHeight="1">
      <c r="A199" s="3" t="s">
        <v>19</v>
      </c>
      <c r="B199" s="3">
        <v>2024.0</v>
      </c>
      <c r="C199" s="3" t="s">
        <v>11</v>
      </c>
      <c r="D199" s="3">
        <v>396.0</v>
      </c>
      <c r="E199" s="3">
        <v>1135.8</v>
      </c>
      <c r="F199" s="3">
        <v>515.0</v>
      </c>
      <c r="G199" s="3">
        <v>5.0</v>
      </c>
      <c r="H199" s="3">
        <v>43.4</v>
      </c>
    </row>
    <row r="200" ht="15.75" customHeight="1">
      <c r="A200" s="3" t="s">
        <v>19</v>
      </c>
      <c r="B200" s="3">
        <v>2024.0</v>
      </c>
      <c r="C200" s="3" t="s">
        <v>13</v>
      </c>
      <c r="D200" s="3">
        <v>386.3</v>
      </c>
      <c r="E200" s="3">
        <v>1070.4</v>
      </c>
      <c r="F200" s="3">
        <v>537.5</v>
      </c>
      <c r="G200" s="3">
        <v>7.0</v>
      </c>
      <c r="H200" s="3">
        <v>1.9</v>
      </c>
    </row>
    <row r="201" ht="15.75" customHeight="1">
      <c r="A201" s="3" t="s">
        <v>19</v>
      </c>
      <c r="B201" s="3">
        <v>2024.0</v>
      </c>
      <c r="C201" s="3" t="s">
        <v>14</v>
      </c>
      <c r="D201" s="3">
        <v>438.0</v>
      </c>
      <c r="E201" s="3">
        <v>978.9</v>
      </c>
      <c r="F201" s="3">
        <v>613.7</v>
      </c>
      <c r="G201" s="3">
        <v>7.0</v>
      </c>
      <c r="H201" s="3">
        <v>10.1</v>
      </c>
    </row>
    <row r="202" ht="15.75" customHeight="1">
      <c r="A202" s="3" t="s">
        <v>12</v>
      </c>
      <c r="B202" s="3">
        <v>2015.0</v>
      </c>
      <c r="C202" s="3" t="s">
        <v>9</v>
      </c>
      <c r="D202" s="3">
        <v>63.1</v>
      </c>
      <c r="E202" s="3">
        <v>134.1</v>
      </c>
      <c r="F202" s="3">
        <v>80.7</v>
      </c>
      <c r="G202" s="3">
        <v>4.0</v>
      </c>
      <c r="H202" s="3">
        <v>28.4</v>
      </c>
    </row>
    <row r="203" ht="15.75" customHeight="1">
      <c r="A203" s="3" t="s">
        <v>12</v>
      </c>
      <c r="B203" s="3">
        <v>2015.0</v>
      </c>
      <c r="C203" s="3" t="s">
        <v>10</v>
      </c>
      <c r="D203" s="3">
        <v>125.5</v>
      </c>
      <c r="E203" s="3">
        <v>312.7</v>
      </c>
      <c r="F203" s="3">
        <v>106.0</v>
      </c>
      <c r="G203" s="3">
        <v>7.0</v>
      </c>
      <c r="H203" s="3">
        <v>17.0</v>
      </c>
    </row>
    <row r="204" ht="15.75" customHeight="1">
      <c r="A204" s="3" t="s">
        <v>12</v>
      </c>
      <c r="B204" s="3">
        <v>2015.0</v>
      </c>
      <c r="C204" s="3" t="s">
        <v>11</v>
      </c>
      <c r="D204" s="3">
        <v>62.0</v>
      </c>
      <c r="E204" s="3">
        <v>152.1</v>
      </c>
      <c r="F204" s="3">
        <v>50.1</v>
      </c>
      <c r="G204" s="3">
        <v>2.0</v>
      </c>
      <c r="H204" s="3">
        <v>34.3</v>
      </c>
    </row>
    <row r="205" ht="15.75" customHeight="1">
      <c r="A205" s="3" t="s">
        <v>12</v>
      </c>
      <c r="B205" s="3">
        <v>2015.0</v>
      </c>
      <c r="C205" s="3" t="s">
        <v>13</v>
      </c>
      <c r="D205" s="3">
        <v>146.9</v>
      </c>
      <c r="E205" s="3">
        <v>336.6</v>
      </c>
      <c r="F205" s="3">
        <v>188.9</v>
      </c>
      <c r="G205" s="3">
        <v>2.0</v>
      </c>
      <c r="H205" s="3">
        <v>47.7</v>
      </c>
    </row>
    <row r="206" ht="15.75" customHeight="1">
      <c r="A206" s="3" t="s">
        <v>12</v>
      </c>
      <c r="B206" s="3">
        <v>2015.0</v>
      </c>
      <c r="C206" s="3" t="s">
        <v>14</v>
      </c>
      <c r="D206" s="3">
        <v>119.3</v>
      </c>
      <c r="E206" s="3">
        <v>251.1</v>
      </c>
      <c r="F206" s="3">
        <v>115.6</v>
      </c>
      <c r="G206" s="3">
        <v>10.0</v>
      </c>
      <c r="H206" s="3">
        <v>29.0</v>
      </c>
    </row>
    <row r="207" ht="15.75" customHeight="1">
      <c r="A207" s="3" t="s">
        <v>12</v>
      </c>
      <c r="B207" s="3">
        <v>2016.0</v>
      </c>
      <c r="C207" s="3" t="s">
        <v>9</v>
      </c>
      <c r="D207" s="3">
        <v>145.9</v>
      </c>
      <c r="E207" s="3">
        <v>381.9</v>
      </c>
      <c r="F207" s="3">
        <v>188.4</v>
      </c>
      <c r="G207" s="3">
        <v>9.0</v>
      </c>
      <c r="H207" s="3">
        <v>1.5</v>
      </c>
    </row>
    <row r="208" ht="15.75" customHeight="1">
      <c r="A208" s="3" t="s">
        <v>12</v>
      </c>
      <c r="B208" s="3">
        <v>2016.0</v>
      </c>
      <c r="C208" s="3" t="s">
        <v>10</v>
      </c>
      <c r="D208" s="3">
        <v>141.7</v>
      </c>
      <c r="E208" s="3">
        <v>295.1</v>
      </c>
      <c r="F208" s="3">
        <v>195.1</v>
      </c>
      <c r="G208" s="3">
        <v>7.0</v>
      </c>
      <c r="H208" s="3">
        <v>16.8</v>
      </c>
    </row>
    <row r="209" ht="15.75" customHeight="1">
      <c r="A209" s="3" t="s">
        <v>12</v>
      </c>
      <c r="B209" s="3">
        <v>2016.0</v>
      </c>
      <c r="C209" s="3" t="s">
        <v>11</v>
      </c>
      <c r="D209" s="3">
        <v>149.7</v>
      </c>
      <c r="E209" s="3">
        <v>384.5</v>
      </c>
      <c r="F209" s="3">
        <v>192.1</v>
      </c>
      <c r="G209" s="3">
        <v>3.0</v>
      </c>
      <c r="H209" s="3">
        <v>41.3</v>
      </c>
    </row>
    <row r="210" ht="15.75" customHeight="1">
      <c r="A210" s="3" t="s">
        <v>12</v>
      </c>
      <c r="B210" s="3">
        <v>2016.0</v>
      </c>
      <c r="C210" s="3" t="s">
        <v>13</v>
      </c>
      <c r="D210" s="3">
        <v>161.3</v>
      </c>
      <c r="E210" s="3">
        <v>436.5</v>
      </c>
      <c r="F210" s="3">
        <v>132.6</v>
      </c>
      <c r="G210" s="3">
        <v>7.0</v>
      </c>
      <c r="H210" s="3">
        <v>31.2</v>
      </c>
    </row>
    <row r="211" ht="15.75" customHeight="1">
      <c r="A211" s="3" t="s">
        <v>12</v>
      </c>
      <c r="B211" s="3">
        <v>2016.0</v>
      </c>
      <c r="C211" s="3" t="s">
        <v>14</v>
      </c>
      <c r="D211" s="3">
        <v>117.0</v>
      </c>
      <c r="E211" s="3">
        <v>269.1</v>
      </c>
      <c r="F211" s="3">
        <v>170.3</v>
      </c>
      <c r="G211" s="3">
        <v>9.0</v>
      </c>
      <c r="H211" s="3">
        <v>36.0</v>
      </c>
    </row>
    <row r="212" ht="15.75" customHeight="1">
      <c r="A212" s="3" t="s">
        <v>12</v>
      </c>
      <c r="B212" s="3">
        <v>2017.0</v>
      </c>
      <c r="C212" s="3" t="s">
        <v>9</v>
      </c>
      <c r="D212" s="3">
        <v>216.5</v>
      </c>
      <c r="E212" s="3">
        <v>538.0</v>
      </c>
      <c r="F212" s="3">
        <v>273.4</v>
      </c>
      <c r="G212" s="3">
        <v>6.0</v>
      </c>
      <c r="H212" s="3">
        <v>30.3</v>
      </c>
    </row>
    <row r="213" ht="15.75" customHeight="1">
      <c r="A213" s="3" t="s">
        <v>12</v>
      </c>
      <c r="B213" s="3">
        <v>2017.0</v>
      </c>
      <c r="C213" s="3" t="s">
        <v>10</v>
      </c>
      <c r="D213" s="3">
        <v>200.2</v>
      </c>
      <c r="E213" s="3">
        <v>491.1</v>
      </c>
      <c r="F213" s="3">
        <v>250.4</v>
      </c>
      <c r="G213" s="3">
        <v>11.0</v>
      </c>
      <c r="H213" s="3">
        <v>9.0</v>
      </c>
    </row>
    <row r="214" ht="15.75" customHeight="1">
      <c r="A214" s="3" t="s">
        <v>12</v>
      </c>
      <c r="B214" s="3">
        <v>2017.0</v>
      </c>
      <c r="C214" s="3" t="s">
        <v>11</v>
      </c>
      <c r="D214" s="3">
        <v>133.5</v>
      </c>
      <c r="E214" s="3">
        <v>383.3</v>
      </c>
      <c r="F214" s="3">
        <v>127.2</v>
      </c>
      <c r="G214" s="3">
        <v>8.0</v>
      </c>
      <c r="H214" s="3">
        <v>24.0</v>
      </c>
    </row>
    <row r="215" ht="15.75" customHeight="1">
      <c r="A215" s="3" t="s">
        <v>12</v>
      </c>
      <c r="B215" s="3">
        <v>2017.0</v>
      </c>
      <c r="C215" s="3" t="s">
        <v>13</v>
      </c>
      <c r="D215" s="3">
        <v>169.5</v>
      </c>
      <c r="E215" s="3">
        <v>369.8</v>
      </c>
      <c r="F215" s="3">
        <v>229.3</v>
      </c>
      <c r="G215" s="3">
        <v>8.0</v>
      </c>
      <c r="H215" s="3">
        <v>3.1</v>
      </c>
    </row>
    <row r="216" ht="15.75" customHeight="1">
      <c r="A216" s="3" t="s">
        <v>12</v>
      </c>
      <c r="B216" s="3">
        <v>2017.0</v>
      </c>
      <c r="C216" s="3" t="s">
        <v>14</v>
      </c>
      <c r="D216" s="3">
        <v>234.8</v>
      </c>
      <c r="E216" s="3">
        <v>523.3</v>
      </c>
      <c r="F216" s="3">
        <v>351.6</v>
      </c>
      <c r="G216" s="3">
        <v>11.0</v>
      </c>
      <c r="H216" s="3">
        <v>25.2</v>
      </c>
    </row>
    <row r="217" ht="15.75" customHeight="1">
      <c r="A217" s="3" t="s">
        <v>12</v>
      </c>
      <c r="B217" s="3">
        <v>2018.0</v>
      </c>
      <c r="C217" s="3" t="s">
        <v>9</v>
      </c>
      <c r="D217" s="3">
        <v>210.1</v>
      </c>
      <c r="E217" s="3">
        <v>462.1</v>
      </c>
      <c r="F217" s="3">
        <v>268.1</v>
      </c>
      <c r="G217" s="3">
        <v>8.0</v>
      </c>
      <c r="H217" s="3">
        <v>2.5</v>
      </c>
    </row>
    <row r="218" ht="15.75" customHeight="1">
      <c r="A218" s="3" t="s">
        <v>12</v>
      </c>
      <c r="B218" s="3">
        <v>2018.0</v>
      </c>
      <c r="C218" s="3" t="s">
        <v>10</v>
      </c>
      <c r="D218" s="3">
        <v>208.7</v>
      </c>
      <c r="E218" s="3">
        <v>569.2</v>
      </c>
      <c r="F218" s="3">
        <v>275.5</v>
      </c>
      <c r="G218" s="3">
        <v>6.0</v>
      </c>
      <c r="H218" s="3">
        <v>31.8</v>
      </c>
    </row>
    <row r="219" ht="15.75" customHeight="1">
      <c r="A219" s="3" t="s">
        <v>12</v>
      </c>
      <c r="B219" s="3">
        <v>2018.0</v>
      </c>
      <c r="C219" s="3" t="s">
        <v>11</v>
      </c>
      <c r="D219" s="3">
        <v>185.7</v>
      </c>
      <c r="E219" s="3">
        <v>465.1</v>
      </c>
      <c r="F219" s="3">
        <v>219.2</v>
      </c>
      <c r="G219" s="3">
        <v>4.0</v>
      </c>
      <c r="H219" s="3">
        <v>29.4</v>
      </c>
    </row>
    <row r="220" ht="15.75" customHeight="1">
      <c r="A220" s="3" t="s">
        <v>12</v>
      </c>
      <c r="B220" s="3">
        <v>2018.0</v>
      </c>
      <c r="C220" s="3" t="s">
        <v>13</v>
      </c>
      <c r="D220" s="3">
        <v>202.5</v>
      </c>
      <c r="E220" s="3">
        <v>527.8</v>
      </c>
      <c r="F220" s="3">
        <v>246.7</v>
      </c>
      <c r="G220" s="3">
        <v>6.0</v>
      </c>
      <c r="H220" s="3">
        <v>21.7</v>
      </c>
    </row>
    <row r="221" ht="15.75" customHeight="1">
      <c r="A221" s="3" t="s">
        <v>12</v>
      </c>
      <c r="B221" s="3">
        <v>2018.0</v>
      </c>
      <c r="C221" s="3" t="s">
        <v>14</v>
      </c>
      <c r="D221" s="3">
        <v>199.8</v>
      </c>
      <c r="E221" s="3">
        <v>597.8</v>
      </c>
      <c r="F221" s="3">
        <v>199.5</v>
      </c>
      <c r="G221" s="3">
        <v>4.0</v>
      </c>
      <c r="H221" s="3">
        <v>31.5</v>
      </c>
    </row>
    <row r="222" ht="15.75" customHeight="1">
      <c r="A222" s="3" t="s">
        <v>12</v>
      </c>
      <c r="B222" s="3">
        <v>2019.0</v>
      </c>
      <c r="C222" s="3" t="s">
        <v>9</v>
      </c>
      <c r="D222" s="3">
        <v>224.3</v>
      </c>
      <c r="E222" s="3">
        <v>622.7</v>
      </c>
      <c r="F222" s="3">
        <v>243.1</v>
      </c>
      <c r="G222" s="3">
        <v>9.0</v>
      </c>
      <c r="H222" s="3">
        <v>32.0</v>
      </c>
    </row>
    <row r="223" ht="15.75" customHeight="1">
      <c r="A223" s="3" t="s">
        <v>12</v>
      </c>
      <c r="B223" s="3">
        <v>2019.0</v>
      </c>
      <c r="C223" s="3" t="s">
        <v>10</v>
      </c>
      <c r="D223" s="3">
        <v>231.7</v>
      </c>
      <c r="E223" s="3">
        <v>688.4</v>
      </c>
      <c r="F223" s="3">
        <v>214.7</v>
      </c>
      <c r="G223" s="3">
        <v>7.0</v>
      </c>
      <c r="H223" s="3">
        <v>4.4</v>
      </c>
    </row>
    <row r="224" ht="15.75" customHeight="1">
      <c r="A224" s="3" t="s">
        <v>12</v>
      </c>
      <c r="B224" s="3">
        <v>2019.0</v>
      </c>
      <c r="C224" s="3" t="s">
        <v>11</v>
      </c>
      <c r="D224" s="3">
        <v>256.3</v>
      </c>
      <c r="E224" s="3">
        <v>626.8</v>
      </c>
      <c r="F224" s="3">
        <v>297.4</v>
      </c>
      <c r="G224" s="3">
        <v>11.0</v>
      </c>
      <c r="H224" s="3">
        <v>33.5</v>
      </c>
    </row>
    <row r="225" ht="15.75" customHeight="1">
      <c r="A225" s="3" t="s">
        <v>12</v>
      </c>
      <c r="B225" s="3">
        <v>2019.0</v>
      </c>
      <c r="C225" s="3" t="s">
        <v>13</v>
      </c>
      <c r="D225" s="3">
        <v>257.9</v>
      </c>
      <c r="E225" s="3">
        <v>683.9</v>
      </c>
      <c r="F225" s="3">
        <v>262.7</v>
      </c>
      <c r="G225" s="3">
        <v>4.0</v>
      </c>
      <c r="H225" s="3">
        <v>43.0</v>
      </c>
    </row>
    <row r="226" ht="15.75" customHeight="1">
      <c r="A226" s="3" t="s">
        <v>12</v>
      </c>
      <c r="B226" s="3">
        <v>2019.0</v>
      </c>
      <c r="C226" s="3" t="s">
        <v>14</v>
      </c>
      <c r="D226" s="3">
        <v>237.2</v>
      </c>
      <c r="E226" s="3">
        <v>505.5</v>
      </c>
      <c r="F226" s="3">
        <v>350.8</v>
      </c>
      <c r="G226" s="3">
        <v>5.0</v>
      </c>
      <c r="H226" s="3">
        <v>22.7</v>
      </c>
    </row>
    <row r="227" ht="15.75" customHeight="1">
      <c r="A227" s="3" t="s">
        <v>12</v>
      </c>
      <c r="B227" s="3">
        <v>2020.0</v>
      </c>
      <c r="C227" s="3" t="s">
        <v>9</v>
      </c>
      <c r="D227" s="3">
        <v>217.8</v>
      </c>
      <c r="E227" s="3">
        <v>581.3</v>
      </c>
      <c r="F227" s="3">
        <v>196.4</v>
      </c>
      <c r="G227" s="3">
        <v>7.0</v>
      </c>
      <c r="H227" s="3">
        <v>13.2</v>
      </c>
    </row>
    <row r="228" ht="15.75" customHeight="1">
      <c r="A228" s="3" t="s">
        <v>12</v>
      </c>
      <c r="B228" s="3">
        <v>2020.0</v>
      </c>
      <c r="C228" s="3" t="s">
        <v>10</v>
      </c>
      <c r="D228" s="3">
        <v>233.1</v>
      </c>
      <c r="E228" s="3">
        <v>607.4</v>
      </c>
      <c r="F228" s="3">
        <v>244.7</v>
      </c>
      <c r="G228" s="3">
        <v>7.0</v>
      </c>
      <c r="H228" s="3">
        <v>39.3</v>
      </c>
    </row>
    <row r="229" ht="15.75" customHeight="1">
      <c r="A229" s="3" t="s">
        <v>12</v>
      </c>
      <c r="B229" s="3">
        <v>2020.0</v>
      </c>
      <c r="C229" s="3" t="s">
        <v>11</v>
      </c>
      <c r="D229" s="3">
        <v>227.6</v>
      </c>
      <c r="E229" s="3">
        <v>556.8</v>
      </c>
      <c r="F229" s="3">
        <v>319.8</v>
      </c>
      <c r="G229" s="3">
        <v>8.0</v>
      </c>
      <c r="H229" s="3">
        <v>11.1</v>
      </c>
    </row>
    <row r="230" ht="15.75" customHeight="1">
      <c r="A230" s="3" t="s">
        <v>12</v>
      </c>
      <c r="B230" s="3">
        <v>2020.0</v>
      </c>
      <c r="C230" s="3" t="s">
        <v>13</v>
      </c>
      <c r="D230" s="3">
        <v>280.4</v>
      </c>
      <c r="E230" s="3">
        <v>575.2</v>
      </c>
      <c r="F230" s="3">
        <v>349.9</v>
      </c>
      <c r="G230" s="3">
        <v>5.0</v>
      </c>
      <c r="H230" s="3">
        <v>23.2</v>
      </c>
    </row>
    <row r="231" ht="15.75" customHeight="1">
      <c r="A231" s="3" t="s">
        <v>12</v>
      </c>
      <c r="B231" s="3">
        <v>2020.0</v>
      </c>
      <c r="C231" s="3" t="s">
        <v>14</v>
      </c>
      <c r="D231" s="3">
        <v>274.5</v>
      </c>
      <c r="E231" s="3">
        <v>635.7</v>
      </c>
      <c r="F231" s="3">
        <v>317.0</v>
      </c>
      <c r="G231" s="3">
        <v>6.0</v>
      </c>
      <c r="H231" s="3">
        <v>49.3</v>
      </c>
    </row>
    <row r="232" ht="15.75" customHeight="1">
      <c r="A232" s="3" t="s">
        <v>12</v>
      </c>
      <c r="B232" s="3">
        <v>2021.0</v>
      </c>
      <c r="C232" s="3" t="s">
        <v>9</v>
      </c>
      <c r="D232" s="3">
        <v>304.0</v>
      </c>
      <c r="E232" s="3">
        <v>685.4</v>
      </c>
      <c r="F232" s="3">
        <v>354.3</v>
      </c>
      <c r="G232" s="3">
        <v>10.0</v>
      </c>
      <c r="H232" s="3">
        <v>33.7</v>
      </c>
    </row>
    <row r="233" ht="15.75" customHeight="1">
      <c r="A233" s="3" t="s">
        <v>12</v>
      </c>
      <c r="B233" s="3">
        <v>2021.0</v>
      </c>
      <c r="C233" s="3" t="s">
        <v>10</v>
      </c>
      <c r="D233" s="3">
        <v>294.0</v>
      </c>
      <c r="E233" s="3">
        <v>596.8</v>
      </c>
      <c r="F233" s="3">
        <v>298.6</v>
      </c>
      <c r="G233" s="3">
        <v>4.0</v>
      </c>
      <c r="H233" s="3">
        <v>10.9</v>
      </c>
    </row>
    <row r="234" ht="15.75" customHeight="1">
      <c r="A234" s="3" t="s">
        <v>12</v>
      </c>
      <c r="B234" s="3">
        <v>2021.0</v>
      </c>
      <c r="C234" s="3" t="s">
        <v>11</v>
      </c>
      <c r="D234" s="3">
        <v>248.3</v>
      </c>
      <c r="E234" s="3">
        <v>712.1</v>
      </c>
      <c r="F234" s="3">
        <v>229.4</v>
      </c>
      <c r="G234" s="3">
        <v>4.0</v>
      </c>
      <c r="H234" s="3">
        <v>33.4</v>
      </c>
    </row>
    <row r="235" ht="15.75" customHeight="1">
      <c r="A235" s="3" t="s">
        <v>12</v>
      </c>
      <c r="B235" s="3">
        <v>2021.0</v>
      </c>
      <c r="C235" s="3" t="s">
        <v>13</v>
      </c>
      <c r="D235" s="3">
        <v>359.4</v>
      </c>
      <c r="E235" s="3">
        <v>964.4</v>
      </c>
      <c r="F235" s="3">
        <v>412.6</v>
      </c>
      <c r="G235" s="3">
        <v>4.0</v>
      </c>
      <c r="H235" s="3">
        <v>41.7</v>
      </c>
    </row>
    <row r="236" ht="15.75" customHeight="1">
      <c r="A236" s="3" t="s">
        <v>12</v>
      </c>
      <c r="B236" s="3">
        <v>2021.0</v>
      </c>
      <c r="C236" s="3" t="s">
        <v>14</v>
      </c>
      <c r="D236" s="3">
        <v>292.5</v>
      </c>
      <c r="E236" s="3">
        <v>857.4</v>
      </c>
      <c r="F236" s="3">
        <v>375.2</v>
      </c>
      <c r="G236" s="3">
        <v>3.0</v>
      </c>
      <c r="H236" s="3">
        <v>30.4</v>
      </c>
    </row>
    <row r="237" ht="15.75" customHeight="1">
      <c r="A237" s="3" t="s">
        <v>12</v>
      </c>
      <c r="B237" s="3">
        <v>2022.0</v>
      </c>
      <c r="C237" s="3" t="s">
        <v>9</v>
      </c>
      <c r="D237" s="3">
        <v>322.0</v>
      </c>
      <c r="E237" s="3">
        <v>856.2</v>
      </c>
      <c r="F237" s="3">
        <v>346.4</v>
      </c>
      <c r="G237" s="3">
        <v>8.0</v>
      </c>
      <c r="H237" s="3">
        <v>29.3</v>
      </c>
    </row>
    <row r="238" ht="15.75" customHeight="1">
      <c r="A238" s="3" t="s">
        <v>12</v>
      </c>
      <c r="B238" s="3">
        <v>2022.0</v>
      </c>
      <c r="C238" s="3" t="s">
        <v>10</v>
      </c>
      <c r="D238" s="3">
        <v>381.2</v>
      </c>
      <c r="E238" s="3">
        <v>1060.5</v>
      </c>
      <c r="F238" s="3">
        <v>456.2</v>
      </c>
      <c r="G238" s="3">
        <v>12.0</v>
      </c>
      <c r="H238" s="3">
        <v>6.3</v>
      </c>
    </row>
    <row r="239" ht="15.75" customHeight="1">
      <c r="A239" s="3" t="s">
        <v>12</v>
      </c>
      <c r="B239" s="3">
        <v>2022.0</v>
      </c>
      <c r="C239" s="3" t="s">
        <v>11</v>
      </c>
      <c r="D239" s="3">
        <v>285.4</v>
      </c>
      <c r="E239" s="3">
        <v>761.4</v>
      </c>
      <c r="F239" s="3">
        <v>389.8</v>
      </c>
      <c r="G239" s="3">
        <v>4.0</v>
      </c>
      <c r="H239" s="3">
        <v>44.0</v>
      </c>
    </row>
    <row r="240" ht="15.75" customHeight="1">
      <c r="A240" s="3" t="s">
        <v>12</v>
      </c>
      <c r="B240" s="3">
        <v>2022.0</v>
      </c>
      <c r="C240" s="3" t="s">
        <v>13</v>
      </c>
      <c r="D240" s="3">
        <v>350.7</v>
      </c>
      <c r="E240" s="3">
        <v>743.5</v>
      </c>
      <c r="F240" s="3">
        <v>414.2</v>
      </c>
      <c r="G240" s="3">
        <v>12.0</v>
      </c>
      <c r="H240" s="3">
        <v>17.1</v>
      </c>
    </row>
    <row r="241" ht="15.75" customHeight="1">
      <c r="A241" s="3" t="s">
        <v>12</v>
      </c>
      <c r="B241" s="3">
        <v>2022.0</v>
      </c>
      <c r="C241" s="3" t="s">
        <v>14</v>
      </c>
      <c r="D241" s="3">
        <v>346.2</v>
      </c>
      <c r="E241" s="3">
        <v>819.2</v>
      </c>
      <c r="F241" s="3">
        <v>372.9</v>
      </c>
      <c r="G241" s="3">
        <v>8.0</v>
      </c>
      <c r="H241" s="3">
        <v>19.6</v>
      </c>
    </row>
    <row r="242" ht="15.75" customHeight="1">
      <c r="A242" s="3" t="s">
        <v>12</v>
      </c>
      <c r="B242" s="3">
        <v>2023.0</v>
      </c>
      <c r="C242" s="3" t="s">
        <v>9</v>
      </c>
      <c r="D242" s="3">
        <v>332.8</v>
      </c>
      <c r="E242" s="3">
        <v>741.3</v>
      </c>
      <c r="F242" s="3">
        <v>283.3</v>
      </c>
      <c r="G242" s="3">
        <v>6.0</v>
      </c>
      <c r="H242" s="3">
        <v>9.3</v>
      </c>
    </row>
    <row r="243" ht="15.75" customHeight="1">
      <c r="A243" s="3" t="s">
        <v>12</v>
      </c>
      <c r="B243" s="3">
        <v>2023.0</v>
      </c>
      <c r="C243" s="3" t="s">
        <v>10</v>
      </c>
      <c r="D243" s="3">
        <v>345.3</v>
      </c>
      <c r="E243" s="3">
        <v>850.7</v>
      </c>
      <c r="F243" s="3">
        <v>368.0</v>
      </c>
      <c r="G243" s="3">
        <v>11.0</v>
      </c>
      <c r="H243" s="3">
        <v>26.4</v>
      </c>
    </row>
    <row r="244" ht="15.75" customHeight="1">
      <c r="A244" s="3" t="s">
        <v>12</v>
      </c>
      <c r="B244" s="3">
        <v>2023.0</v>
      </c>
      <c r="C244" s="3" t="s">
        <v>11</v>
      </c>
      <c r="D244" s="3">
        <v>340.1</v>
      </c>
      <c r="E244" s="3">
        <v>842.3</v>
      </c>
      <c r="F244" s="3">
        <v>365.9</v>
      </c>
      <c r="G244" s="3">
        <v>10.0</v>
      </c>
      <c r="H244" s="3">
        <v>40.8</v>
      </c>
    </row>
    <row r="245" ht="15.75" customHeight="1">
      <c r="A245" s="3" t="s">
        <v>12</v>
      </c>
      <c r="B245" s="3">
        <v>2023.0</v>
      </c>
      <c r="C245" s="3" t="s">
        <v>13</v>
      </c>
      <c r="D245" s="3">
        <v>367.1</v>
      </c>
      <c r="E245" s="3">
        <v>741.0</v>
      </c>
      <c r="F245" s="3">
        <v>344.0</v>
      </c>
      <c r="G245" s="3">
        <v>10.0</v>
      </c>
      <c r="H245" s="3">
        <v>44.9</v>
      </c>
    </row>
    <row r="246" ht="15.75" customHeight="1">
      <c r="A246" s="3" t="s">
        <v>12</v>
      </c>
      <c r="B246" s="3">
        <v>2023.0</v>
      </c>
      <c r="C246" s="3" t="s">
        <v>14</v>
      </c>
      <c r="D246" s="3">
        <v>337.1</v>
      </c>
      <c r="E246" s="3">
        <v>694.6</v>
      </c>
      <c r="F246" s="3">
        <v>490.2</v>
      </c>
      <c r="G246" s="3">
        <v>9.0</v>
      </c>
      <c r="H246" s="3">
        <v>10.5</v>
      </c>
    </row>
    <row r="247" ht="15.75" customHeight="1">
      <c r="A247" s="3" t="s">
        <v>12</v>
      </c>
      <c r="B247" s="3">
        <v>2024.0</v>
      </c>
      <c r="C247" s="3" t="s">
        <v>9</v>
      </c>
      <c r="D247" s="3">
        <v>415.1</v>
      </c>
      <c r="E247" s="3">
        <v>936.8</v>
      </c>
      <c r="F247" s="3">
        <v>414.9</v>
      </c>
      <c r="G247" s="3">
        <v>7.0</v>
      </c>
      <c r="H247" s="3">
        <v>29.5</v>
      </c>
    </row>
    <row r="248" ht="15.75" customHeight="1">
      <c r="A248" s="3" t="s">
        <v>12</v>
      </c>
      <c r="B248" s="3">
        <v>2024.0</v>
      </c>
      <c r="C248" s="3" t="s">
        <v>10</v>
      </c>
      <c r="D248" s="3">
        <v>363.5</v>
      </c>
      <c r="E248" s="3">
        <v>1082.0</v>
      </c>
      <c r="F248" s="3">
        <v>500.2</v>
      </c>
      <c r="G248" s="3">
        <v>10.0</v>
      </c>
      <c r="H248" s="3">
        <v>34.4</v>
      </c>
    </row>
    <row r="249" ht="15.75" customHeight="1">
      <c r="A249" s="3" t="s">
        <v>12</v>
      </c>
      <c r="B249" s="3">
        <v>2024.0</v>
      </c>
      <c r="C249" s="3" t="s">
        <v>11</v>
      </c>
      <c r="D249" s="3">
        <v>434.8</v>
      </c>
      <c r="E249" s="3">
        <v>1097.8</v>
      </c>
      <c r="F249" s="3">
        <v>563.6</v>
      </c>
      <c r="G249" s="3">
        <v>12.0</v>
      </c>
      <c r="H249" s="3">
        <v>39.9</v>
      </c>
    </row>
    <row r="250" ht="15.75" customHeight="1">
      <c r="A250" s="3" t="s">
        <v>12</v>
      </c>
      <c r="B250" s="3">
        <v>2024.0</v>
      </c>
      <c r="C250" s="3" t="s">
        <v>13</v>
      </c>
      <c r="D250" s="3">
        <v>451.9</v>
      </c>
      <c r="E250" s="3">
        <v>1152.5</v>
      </c>
      <c r="F250" s="3">
        <v>375.3</v>
      </c>
      <c r="G250" s="3">
        <v>11.0</v>
      </c>
      <c r="H250" s="3">
        <v>32.3</v>
      </c>
    </row>
    <row r="251" ht="15.75" customHeight="1">
      <c r="A251" s="3" t="s">
        <v>12</v>
      </c>
      <c r="B251" s="3">
        <v>2024.0</v>
      </c>
      <c r="C251" s="3" t="s">
        <v>14</v>
      </c>
      <c r="D251" s="3">
        <v>428.9</v>
      </c>
      <c r="E251" s="3">
        <v>1060.7</v>
      </c>
      <c r="F251" s="3">
        <v>352.9</v>
      </c>
      <c r="G251" s="3">
        <v>12.0</v>
      </c>
      <c r="H251" s="3">
        <v>32.7</v>
      </c>
    </row>
    <row r="252" ht="15.75" customHeight="1">
      <c r="A252" s="3" t="s">
        <v>26</v>
      </c>
      <c r="B252" s="3">
        <v>2015.0</v>
      </c>
      <c r="C252" s="3" t="s">
        <v>9</v>
      </c>
      <c r="D252" s="3">
        <v>112.7</v>
      </c>
      <c r="E252" s="3">
        <v>252.2</v>
      </c>
      <c r="F252" s="3">
        <v>151.8</v>
      </c>
      <c r="G252" s="3">
        <v>3.0</v>
      </c>
      <c r="H252" s="3">
        <v>36.9</v>
      </c>
    </row>
    <row r="253" ht="15.75" customHeight="1">
      <c r="A253" s="3" t="s">
        <v>26</v>
      </c>
      <c r="B253" s="3">
        <v>2015.0</v>
      </c>
      <c r="C253" s="3" t="s">
        <v>10</v>
      </c>
      <c r="D253" s="3">
        <v>161.5</v>
      </c>
      <c r="E253" s="3">
        <v>431.5</v>
      </c>
      <c r="F253" s="3">
        <v>220.8</v>
      </c>
      <c r="G253" s="3">
        <v>4.0</v>
      </c>
      <c r="H253" s="3">
        <v>31.6</v>
      </c>
    </row>
    <row r="254" ht="15.75" customHeight="1">
      <c r="A254" s="3" t="s">
        <v>26</v>
      </c>
      <c r="B254" s="3">
        <v>2015.0</v>
      </c>
      <c r="C254" s="3" t="s">
        <v>11</v>
      </c>
      <c r="D254" s="3">
        <v>98.4</v>
      </c>
      <c r="E254" s="3">
        <v>269.2</v>
      </c>
      <c r="F254" s="3">
        <v>138.1</v>
      </c>
      <c r="G254" s="3">
        <v>7.0</v>
      </c>
      <c r="H254" s="3">
        <v>27.2</v>
      </c>
    </row>
    <row r="255" ht="15.75" customHeight="1">
      <c r="A255" s="3" t="s">
        <v>26</v>
      </c>
      <c r="B255" s="3">
        <v>2015.0</v>
      </c>
      <c r="C255" s="3" t="s">
        <v>13</v>
      </c>
      <c r="D255" s="3">
        <v>110.3</v>
      </c>
      <c r="E255" s="3">
        <v>223.2</v>
      </c>
      <c r="F255" s="3">
        <v>137.8</v>
      </c>
      <c r="G255" s="3">
        <v>8.0</v>
      </c>
      <c r="H255" s="3">
        <v>27.8</v>
      </c>
    </row>
    <row r="256" ht="15.75" customHeight="1">
      <c r="A256" s="3" t="s">
        <v>26</v>
      </c>
      <c r="B256" s="3">
        <v>2015.0</v>
      </c>
      <c r="C256" s="3" t="s">
        <v>14</v>
      </c>
      <c r="D256" s="3">
        <v>111.0</v>
      </c>
      <c r="E256" s="3">
        <v>228.5</v>
      </c>
      <c r="F256" s="3">
        <v>99.8</v>
      </c>
      <c r="G256" s="3">
        <v>4.0</v>
      </c>
      <c r="H256" s="3">
        <v>30.3</v>
      </c>
    </row>
    <row r="257" ht="15.75" customHeight="1">
      <c r="A257" s="3" t="s">
        <v>26</v>
      </c>
      <c r="B257" s="3">
        <v>2016.0</v>
      </c>
      <c r="C257" s="3" t="s">
        <v>9</v>
      </c>
      <c r="D257" s="3">
        <v>86.4</v>
      </c>
      <c r="E257" s="3">
        <v>207.8</v>
      </c>
      <c r="F257" s="3">
        <v>95.1</v>
      </c>
      <c r="G257" s="3">
        <v>7.0</v>
      </c>
      <c r="H257" s="3">
        <v>36.5</v>
      </c>
    </row>
    <row r="258" ht="15.75" customHeight="1">
      <c r="A258" s="3" t="s">
        <v>26</v>
      </c>
      <c r="B258" s="3">
        <v>2016.0</v>
      </c>
      <c r="C258" s="3" t="s">
        <v>10</v>
      </c>
      <c r="D258" s="3">
        <v>150.1</v>
      </c>
      <c r="E258" s="3">
        <v>341.3</v>
      </c>
      <c r="F258" s="3">
        <v>128.4</v>
      </c>
      <c r="G258" s="3">
        <v>9.0</v>
      </c>
      <c r="H258" s="3">
        <v>32.6</v>
      </c>
    </row>
    <row r="259" ht="15.75" customHeight="1">
      <c r="A259" s="3" t="s">
        <v>26</v>
      </c>
      <c r="B259" s="3">
        <v>2016.0</v>
      </c>
      <c r="C259" s="3" t="s">
        <v>11</v>
      </c>
      <c r="D259" s="3">
        <v>193.9</v>
      </c>
      <c r="E259" s="3">
        <v>424.9</v>
      </c>
      <c r="F259" s="3">
        <v>199.0</v>
      </c>
      <c r="G259" s="3">
        <v>7.0</v>
      </c>
      <c r="H259" s="3">
        <v>18.4</v>
      </c>
    </row>
    <row r="260" ht="15.75" customHeight="1">
      <c r="A260" s="3" t="s">
        <v>26</v>
      </c>
      <c r="B260" s="3">
        <v>2016.0</v>
      </c>
      <c r="C260" s="3" t="s">
        <v>13</v>
      </c>
      <c r="D260" s="3">
        <v>214.2</v>
      </c>
      <c r="E260" s="3">
        <v>571.7</v>
      </c>
      <c r="F260" s="3">
        <v>181.8</v>
      </c>
      <c r="G260" s="3">
        <v>7.0</v>
      </c>
      <c r="H260" s="3">
        <v>14.3</v>
      </c>
    </row>
    <row r="261" ht="15.75" customHeight="1">
      <c r="A261" s="3" t="s">
        <v>26</v>
      </c>
      <c r="B261" s="3">
        <v>2016.0</v>
      </c>
      <c r="C261" s="3" t="s">
        <v>14</v>
      </c>
      <c r="D261" s="3">
        <v>152.6</v>
      </c>
      <c r="E261" s="3">
        <v>408.9</v>
      </c>
      <c r="F261" s="3">
        <v>146.7</v>
      </c>
      <c r="G261" s="3">
        <v>4.0</v>
      </c>
      <c r="H261" s="3">
        <v>10.3</v>
      </c>
    </row>
    <row r="262" ht="15.75" customHeight="1">
      <c r="A262" s="3" t="s">
        <v>26</v>
      </c>
      <c r="B262" s="3">
        <v>2017.0</v>
      </c>
      <c r="C262" s="3" t="s">
        <v>9</v>
      </c>
      <c r="D262" s="3">
        <v>191.2</v>
      </c>
      <c r="E262" s="3">
        <v>471.3</v>
      </c>
      <c r="F262" s="3">
        <v>161.0</v>
      </c>
      <c r="G262" s="3">
        <v>5.0</v>
      </c>
      <c r="H262" s="3">
        <v>48.1</v>
      </c>
    </row>
    <row r="263" ht="15.75" customHeight="1">
      <c r="A263" s="3" t="s">
        <v>26</v>
      </c>
      <c r="B263" s="3">
        <v>2017.0</v>
      </c>
      <c r="C263" s="3" t="s">
        <v>10</v>
      </c>
      <c r="D263" s="3">
        <v>182.6</v>
      </c>
      <c r="E263" s="3">
        <v>503.0</v>
      </c>
      <c r="F263" s="3">
        <v>167.8</v>
      </c>
      <c r="G263" s="3">
        <v>10.0</v>
      </c>
      <c r="H263" s="3">
        <v>41.3</v>
      </c>
    </row>
    <row r="264" ht="15.75" customHeight="1">
      <c r="A264" s="3" t="s">
        <v>26</v>
      </c>
      <c r="B264" s="3">
        <v>2017.0</v>
      </c>
      <c r="C264" s="3" t="s">
        <v>11</v>
      </c>
      <c r="D264" s="3">
        <v>190.4</v>
      </c>
      <c r="E264" s="3">
        <v>532.3</v>
      </c>
      <c r="F264" s="3">
        <v>275.9</v>
      </c>
      <c r="G264" s="3">
        <v>8.0</v>
      </c>
      <c r="H264" s="3">
        <v>20.6</v>
      </c>
    </row>
    <row r="265" ht="15.75" customHeight="1">
      <c r="A265" s="3" t="s">
        <v>26</v>
      </c>
      <c r="B265" s="3">
        <v>2017.0</v>
      </c>
      <c r="C265" s="3" t="s">
        <v>13</v>
      </c>
      <c r="D265" s="3">
        <v>107.6</v>
      </c>
      <c r="E265" s="3">
        <v>294.4</v>
      </c>
      <c r="F265" s="3">
        <v>143.9</v>
      </c>
      <c r="G265" s="3">
        <v>2.0</v>
      </c>
      <c r="H265" s="3">
        <v>42.3</v>
      </c>
    </row>
    <row r="266" ht="15.75" customHeight="1">
      <c r="A266" s="3" t="s">
        <v>26</v>
      </c>
      <c r="B266" s="3">
        <v>2017.0</v>
      </c>
      <c r="C266" s="3" t="s">
        <v>14</v>
      </c>
      <c r="D266" s="3">
        <v>152.9</v>
      </c>
      <c r="E266" s="3">
        <v>426.3</v>
      </c>
      <c r="F266" s="3">
        <v>214.9</v>
      </c>
      <c r="G266" s="3">
        <v>6.0</v>
      </c>
      <c r="H266" s="3">
        <v>41.5</v>
      </c>
    </row>
    <row r="267" ht="15.75" customHeight="1">
      <c r="A267" s="3" t="s">
        <v>26</v>
      </c>
      <c r="B267" s="3">
        <v>2018.0</v>
      </c>
      <c r="C267" s="3" t="s">
        <v>9</v>
      </c>
      <c r="D267" s="3">
        <v>195.1</v>
      </c>
      <c r="E267" s="3">
        <v>421.3</v>
      </c>
      <c r="F267" s="3">
        <v>164.7</v>
      </c>
      <c r="G267" s="3">
        <v>5.0</v>
      </c>
      <c r="H267" s="3">
        <v>15.9</v>
      </c>
    </row>
    <row r="268" ht="15.75" customHeight="1">
      <c r="A268" s="3" t="s">
        <v>26</v>
      </c>
      <c r="B268" s="3">
        <v>2018.0</v>
      </c>
      <c r="C268" s="3" t="s">
        <v>10</v>
      </c>
      <c r="D268" s="3">
        <v>188.9</v>
      </c>
      <c r="E268" s="3">
        <v>423.0</v>
      </c>
      <c r="F268" s="3">
        <v>218.5</v>
      </c>
      <c r="G268" s="3">
        <v>4.0</v>
      </c>
      <c r="H268" s="3">
        <v>20.5</v>
      </c>
    </row>
    <row r="269" ht="15.75" customHeight="1">
      <c r="A269" s="3" t="s">
        <v>26</v>
      </c>
      <c r="B269" s="3">
        <v>2018.0</v>
      </c>
      <c r="C269" s="3" t="s">
        <v>11</v>
      </c>
      <c r="D269" s="3">
        <v>156.3</v>
      </c>
      <c r="E269" s="3">
        <v>459.8</v>
      </c>
      <c r="F269" s="3">
        <v>220.6</v>
      </c>
      <c r="G269" s="3">
        <v>7.0</v>
      </c>
      <c r="H269" s="3">
        <v>46.1</v>
      </c>
    </row>
    <row r="270" ht="15.75" customHeight="1">
      <c r="A270" s="3" t="s">
        <v>26</v>
      </c>
      <c r="B270" s="3">
        <v>2018.0</v>
      </c>
      <c r="C270" s="3" t="s">
        <v>13</v>
      </c>
      <c r="D270" s="3">
        <v>262.7</v>
      </c>
      <c r="E270" s="3">
        <v>628.1</v>
      </c>
      <c r="F270" s="3">
        <v>302.3</v>
      </c>
      <c r="G270" s="3">
        <v>3.0</v>
      </c>
      <c r="H270" s="3">
        <v>6.7</v>
      </c>
    </row>
    <row r="271" ht="15.75" customHeight="1">
      <c r="A271" s="3" t="s">
        <v>26</v>
      </c>
      <c r="B271" s="3">
        <v>2018.0</v>
      </c>
      <c r="C271" s="3" t="s">
        <v>14</v>
      </c>
      <c r="D271" s="3">
        <v>270.8</v>
      </c>
      <c r="E271" s="3">
        <v>644.7</v>
      </c>
      <c r="F271" s="3">
        <v>383.1</v>
      </c>
      <c r="G271" s="3">
        <v>8.0</v>
      </c>
      <c r="H271" s="3">
        <v>7.9</v>
      </c>
    </row>
    <row r="272" ht="15.75" customHeight="1">
      <c r="A272" s="3" t="s">
        <v>26</v>
      </c>
      <c r="B272" s="3">
        <v>2019.0</v>
      </c>
      <c r="C272" s="3" t="s">
        <v>9</v>
      </c>
      <c r="D272" s="3">
        <v>190.8</v>
      </c>
      <c r="E272" s="3">
        <v>458.5</v>
      </c>
      <c r="F272" s="3">
        <v>175.8</v>
      </c>
      <c r="G272" s="3">
        <v>3.0</v>
      </c>
      <c r="H272" s="3">
        <v>12.0</v>
      </c>
    </row>
    <row r="273" ht="15.75" customHeight="1">
      <c r="A273" s="3" t="s">
        <v>26</v>
      </c>
      <c r="B273" s="3">
        <v>2019.0</v>
      </c>
      <c r="C273" s="3" t="s">
        <v>10</v>
      </c>
      <c r="D273" s="3">
        <v>211.9</v>
      </c>
      <c r="E273" s="3">
        <v>545.3</v>
      </c>
      <c r="F273" s="3">
        <v>307.9</v>
      </c>
      <c r="G273" s="3">
        <v>4.0</v>
      </c>
      <c r="H273" s="3">
        <v>7.5</v>
      </c>
    </row>
    <row r="274" ht="15.75" customHeight="1">
      <c r="A274" s="3" t="s">
        <v>26</v>
      </c>
      <c r="B274" s="3">
        <v>2019.0</v>
      </c>
      <c r="C274" s="3" t="s">
        <v>11</v>
      </c>
      <c r="D274" s="3">
        <v>280.4</v>
      </c>
      <c r="E274" s="3">
        <v>599.8</v>
      </c>
      <c r="F274" s="3">
        <v>400.6</v>
      </c>
      <c r="G274" s="3">
        <v>6.0</v>
      </c>
      <c r="H274" s="3">
        <v>25.6</v>
      </c>
    </row>
    <row r="275" ht="15.75" customHeight="1">
      <c r="A275" s="3" t="s">
        <v>26</v>
      </c>
      <c r="B275" s="3">
        <v>2019.0</v>
      </c>
      <c r="C275" s="3" t="s">
        <v>13</v>
      </c>
      <c r="D275" s="3">
        <v>192.1</v>
      </c>
      <c r="E275" s="3">
        <v>542.6</v>
      </c>
      <c r="F275" s="3">
        <v>243.2</v>
      </c>
      <c r="G275" s="3">
        <v>3.0</v>
      </c>
      <c r="H275" s="3">
        <v>4.3</v>
      </c>
    </row>
    <row r="276" ht="15.75" customHeight="1">
      <c r="A276" s="3" t="s">
        <v>26</v>
      </c>
      <c r="B276" s="3">
        <v>2019.0</v>
      </c>
      <c r="C276" s="3" t="s">
        <v>14</v>
      </c>
      <c r="D276" s="3">
        <v>282.2</v>
      </c>
      <c r="E276" s="3">
        <v>686.5</v>
      </c>
      <c r="F276" s="3">
        <v>287.4</v>
      </c>
      <c r="G276" s="3">
        <v>6.0</v>
      </c>
      <c r="H276" s="3">
        <v>22.5</v>
      </c>
    </row>
    <row r="277" ht="15.75" customHeight="1">
      <c r="A277" s="3" t="s">
        <v>26</v>
      </c>
      <c r="B277" s="3">
        <v>2020.0</v>
      </c>
      <c r="C277" s="3" t="s">
        <v>9</v>
      </c>
      <c r="D277" s="3">
        <v>290.6</v>
      </c>
      <c r="E277" s="3">
        <v>828.7</v>
      </c>
      <c r="F277" s="3">
        <v>232.6</v>
      </c>
      <c r="G277" s="3">
        <v>4.0</v>
      </c>
      <c r="H277" s="3">
        <v>32.9</v>
      </c>
    </row>
    <row r="278" ht="15.75" customHeight="1">
      <c r="A278" s="3" t="s">
        <v>26</v>
      </c>
      <c r="B278" s="3">
        <v>2020.0</v>
      </c>
      <c r="C278" s="3" t="s">
        <v>10</v>
      </c>
      <c r="D278" s="3">
        <v>239.3</v>
      </c>
      <c r="E278" s="3">
        <v>716.8</v>
      </c>
      <c r="F278" s="3">
        <v>201.2</v>
      </c>
      <c r="G278" s="3">
        <v>10.0</v>
      </c>
      <c r="H278" s="3">
        <v>15.6</v>
      </c>
    </row>
    <row r="279" ht="15.75" customHeight="1">
      <c r="A279" s="3" t="s">
        <v>26</v>
      </c>
      <c r="B279" s="3">
        <v>2020.0</v>
      </c>
      <c r="C279" s="3" t="s">
        <v>11</v>
      </c>
      <c r="D279" s="3">
        <v>236.1</v>
      </c>
      <c r="E279" s="3">
        <v>505.8</v>
      </c>
      <c r="F279" s="3">
        <v>209.0</v>
      </c>
      <c r="G279" s="3">
        <v>5.0</v>
      </c>
      <c r="H279" s="3">
        <v>9.7</v>
      </c>
    </row>
    <row r="280" ht="15.75" customHeight="1">
      <c r="A280" s="3" t="s">
        <v>26</v>
      </c>
      <c r="B280" s="3">
        <v>2020.0</v>
      </c>
      <c r="C280" s="3" t="s">
        <v>13</v>
      </c>
      <c r="D280" s="3">
        <v>245.5</v>
      </c>
      <c r="E280" s="3">
        <v>735.6</v>
      </c>
      <c r="F280" s="3">
        <v>336.2</v>
      </c>
      <c r="G280" s="3">
        <v>9.0</v>
      </c>
      <c r="H280" s="3">
        <v>11.8</v>
      </c>
    </row>
    <row r="281" ht="15.75" customHeight="1">
      <c r="A281" s="3" t="s">
        <v>26</v>
      </c>
      <c r="B281" s="3">
        <v>2020.0</v>
      </c>
      <c r="C281" s="3" t="s">
        <v>14</v>
      </c>
      <c r="D281" s="3">
        <v>259.1</v>
      </c>
      <c r="E281" s="3">
        <v>688.2</v>
      </c>
      <c r="F281" s="3">
        <v>361.1</v>
      </c>
      <c r="G281" s="3">
        <v>4.0</v>
      </c>
      <c r="H281" s="3">
        <v>7.4</v>
      </c>
    </row>
    <row r="282" ht="15.75" customHeight="1">
      <c r="A282" s="3" t="s">
        <v>26</v>
      </c>
      <c r="B282" s="3">
        <v>2021.0</v>
      </c>
      <c r="C282" s="3" t="s">
        <v>9</v>
      </c>
      <c r="D282" s="3">
        <v>281.0</v>
      </c>
      <c r="E282" s="3">
        <v>665.3</v>
      </c>
      <c r="F282" s="3">
        <v>306.3</v>
      </c>
      <c r="G282" s="3">
        <v>9.0</v>
      </c>
      <c r="H282" s="3">
        <v>36.9</v>
      </c>
    </row>
    <row r="283" ht="15.75" customHeight="1">
      <c r="A283" s="3" t="s">
        <v>26</v>
      </c>
      <c r="B283" s="3">
        <v>2021.0</v>
      </c>
      <c r="C283" s="3" t="s">
        <v>10</v>
      </c>
      <c r="D283" s="3">
        <v>257.3</v>
      </c>
      <c r="E283" s="3">
        <v>517.4</v>
      </c>
      <c r="F283" s="3">
        <v>280.7</v>
      </c>
      <c r="G283" s="3">
        <v>7.0</v>
      </c>
      <c r="H283" s="3">
        <v>1.9</v>
      </c>
    </row>
    <row r="284" ht="15.75" customHeight="1">
      <c r="A284" s="3" t="s">
        <v>26</v>
      </c>
      <c r="B284" s="3">
        <v>2021.0</v>
      </c>
      <c r="C284" s="3" t="s">
        <v>11</v>
      </c>
      <c r="D284" s="3">
        <v>263.6</v>
      </c>
      <c r="E284" s="3">
        <v>668.3</v>
      </c>
      <c r="F284" s="3">
        <v>250.6</v>
      </c>
      <c r="G284" s="3">
        <v>7.0</v>
      </c>
      <c r="H284" s="3">
        <v>41.9</v>
      </c>
    </row>
    <row r="285" ht="15.75" customHeight="1">
      <c r="A285" s="3" t="s">
        <v>26</v>
      </c>
      <c r="B285" s="3">
        <v>2021.0</v>
      </c>
      <c r="C285" s="3" t="s">
        <v>13</v>
      </c>
      <c r="D285" s="3">
        <v>323.8</v>
      </c>
      <c r="E285" s="3">
        <v>907.0</v>
      </c>
      <c r="F285" s="3">
        <v>476.5</v>
      </c>
      <c r="G285" s="3">
        <v>7.0</v>
      </c>
      <c r="H285" s="3">
        <v>19.2</v>
      </c>
    </row>
    <row r="286" ht="15.75" customHeight="1">
      <c r="A286" s="3" t="s">
        <v>26</v>
      </c>
      <c r="B286" s="3">
        <v>2021.0</v>
      </c>
      <c r="C286" s="3" t="s">
        <v>14</v>
      </c>
      <c r="D286" s="3">
        <v>318.7</v>
      </c>
      <c r="E286" s="3">
        <v>722.2</v>
      </c>
      <c r="F286" s="3">
        <v>288.3</v>
      </c>
      <c r="G286" s="3">
        <v>7.0</v>
      </c>
      <c r="H286" s="3">
        <v>43.4</v>
      </c>
    </row>
    <row r="287" ht="15.75" customHeight="1">
      <c r="A287" s="3" t="s">
        <v>26</v>
      </c>
      <c r="B287" s="3">
        <v>2022.0</v>
      </c>
      <c r="C287" s="3" t="s">
        <v>9</v>
      </c>
      <c r="D287" s="3">
        <v>407.6</v>
      </c>
      <c r="E287" s="3">
        <v>1165.4</v>
      </c>
      <c r="F287" s="3">
        <v>438.0</v>
      </c>
      <c r="G287" s="3">
        <v>5.0</v>
      </c>
      <c r="H287" s="3">
        <v>47.8</v>
      </c>
    </row>
    <row r="288" ht="15.75" customHeight="1">
      <c r="A288" s="3" t="s">
        <v>26</v>
      </c>
      <c r="B288" s="3">
        <v>2022.0</v>
      </c>
      <c r="C288" s="3" t="s">
        <v>10</v>
      </c>
      <c r="D288" s="3">
        <v>320.0</v>
      </c>
      <c r="E288" s="3">
        <v>898.7</v>
      </c>
      <c r="F288" s="3">
        <v>273.1</v>
      </c>
      <c r="G288" s="3">
        <v>4.0</v>
      </c>
      <c r="H288" s="3">
        <v>42.2</v>
      </c>
    </row>
    <row r="289" ht="15.75" customHeight="1">
      <c r="A289" s="3" t="s">
        <v>26</v>
      </c>
      <c r="B289" s="3">
        <v>2022.0</v>
      </c>
      <c r="C289" s="3" t="s">
        <v>11</v>
      </c>
      <c r="D289" s="3">
        <v>352.0</v>
      </c>
      <c r="E289" s="3">
        <v>793.1</v>
      </c>
      <c r="F289" s="3">
        <v>474.1</v>
      </c>
      <c r="G289" s="3">
        <v>10.0</v>
      </c>
      <c r="H289" s="3">
        <v>33.3</v>
      </c>
    </row>
    <row r="290" ht="15.75" customHeight="1">
      <c r="A290" s="3" t="s">
        <v>26</v>
      </c>
      <c r="B290" s="3">
        <v>2022.0</v>
      </c>
      <c r="C290" s="3" t="s">
        <v>13</v>
      </c>
      <c r="D290" s="3">
        <v>302.7</v>
      </c>
      <c r="E290" s="3">
        <v>874.7</v>
      </c>
      <c r="F290" s="3">
        <v>337.7</v>
      </c>
      <c r="G290" s="3">
        <v>6.0</v>
      </c>
      <c r="H290" s="3">
        <v>6.2</v>
      </c>
    </row>
    <row r="291" ht="15.75" customHeight="1">
      <c r="A291" s="3" t="s">
        <v>26</v>
      </c>
      <c r="B291" s="3">
        <v>2022.0</v>
      </c>
      <c r="C291" s="3" t="s">
        <v>14</v>
      </c>
      <c r="D291" s="3">
        <v>324.7</v>
      </c>
      <c r="E291" s="3">
        <v>815.8</v>
      </c>
      <c r="F291" s="3">
        <v>414.4</v>
      </c>
      <c r="G291" s="3">
        <v>11.0</v>
      </c>
      <c r="H291" s="3">
        <v>5.2</v>
      </c>
    </row>
    <row r="292" ht="15.75" customHeight="1">
      <c r="A292" s="3" t="s">
        <v>26</v>
      </c>
      <c r="B292" s="3">
        <v>2023.0</v>
      </c>
      <c r="C292" s="3" t="s">
        <v>9</v>
      </c>
      <c r="D292" s="3">
        <v>394.8</v>
      </c>
      <c r="E292" s="3">
        <v>831.2</v>
      </c>
      <c r="F292" s="3">
        <v>325.7</v>
      </c>
      <c r="G292" s="3">
        <v>7.0</v>
      </c>
      <c r="H292" s="3">
        <v>37.1</v>
      </c>
    </row>
    <row r="293" ht="15.75" customHeight="1">
      <c r="A293" s="3" t="s">
        <v>26</v>
      </c>
      <c r="B293" s="3">
        <v>2023.0</v>
      </c>
      <c r="C293" s="3" t="s">
        <v>10</v>
      </c>
      <c r="D293" s="3">
        <v>394.3</v>
      </c>
      <c r="E293" s="3">
        <v>970.6</v>
      </c>
      <c r="F293" s="3">
        <v>589.1</v>
      </c>
      <c r="G293" s="3">
        <v>7.0</v>
      </c>
      <c r="H293" s="3">
        <v>39.0</v>
      </c>
    </row>
    <row r="294" ht="15.75" customHeight="1">
      <c r="A294" s="3" t="s">
        <v>26</v>
      </c>
      <c r="B294" s="3">
        <v>2023.0</v>
      </c>
      <c r="C294" s="3" t="s">
        <v>11</v>
      </c>
      <c r="D294" s="3">
        <v>307.7</v>
      </c>
      <c r="E294" s="3">
        <v>742.1</v>
      </c>
      <c r="F294" s="3">
        <v>364.5</v>
      </c>
      <c r="G294" s="3">
        <v>9.0</v>
      </c>
      <c r="H294" s="3">
        <v>38.5</v>
      </c>
    </row>
    <row r="295" ht="15.75" customHeight="1">
      <c r="A295" s="3" t="s">
        <v>26</v>
      </c>
      <c r="B295" s="3">
        <v>2023.0</v>
      </c>
      <c r="C295" s="3" t="s">
        <v>13</v>
      </c>
      <c r="D295" s="3">
        <v>418.8</v>
      </c>
      <c r="E295" s="3">
        <v>1015.4</v>
      </c>
      <c r="F295" s="3">
        <v>359.3</v>
      </c>
      <c r="G295" s="3">
        <v>5.0</v>
      </c>
      <c r="H295" s="3">
        <v>15.5</v>
      </c>
    </row>
    <row r="296" ht="15.75" customHeight="1">
      <c r="A296" s="3" t="s">
        <v>26</v>
      </c>
      <c r="B296" s="3">
        <v>2023.0</v>
      </c>
      <c r="C296" s="3" t="s">
        <v>14</v>
      </c>
      <c r="D296" s="3">
        <v>337.7</v>
      </c>
      <c r="E296" s="3">
        <v>999.4</v>
      </c>
      <c r="F296" s="3">
        <v>383.2</v>
      </c>
      <c r="G296" s="3">
        <v>5.0</v>
      </c>
      <c r="H296" s="3">
        <v>16.8</v>
      </c>
    </row>
    <row r="297" ht="15.75" customHeight="1">
      <c r="A297" s="3" t="s">
        <v>26</v>
      </c>
      <c r="B297" s="3">
        <v>2024.0</v>
      </c>
      <c r="C297" s="3" t="s">
        <v>9</v>
      </c>
      <c r="D297" s="3">
        <v>381.5</v>
      </c>
      <c r="E297" s="3">
        <v>874.7</v>
      </c>
      <c r="F297" s="3">
        <v>566.9</v>
      </c>
      <c r="G297" s="3">
        <v>9.0</v>
      </c>
      <c r="H297" s="3">
        <v>24.8</v>
      </c>
    </row>
    <row r="298" ht="15.75" customHeight="1">
      <c r="A298" s="3" t="s">
        <v>26</v>
      </c>
      <c r="B298" s="3">
        <v>2024.0</v>
      </c>
      <c r="C298" s="3" t="s">
        <v>10</v>
      </c>
      <c r="D298" s="3">
        <v>403.4</v>
      </c>
      <c r="E298" s="3">
        <v>1071.6</v>
      </c>
      <c r="F298" s="3">
        <v>358.9</v>
      </c>
      <c r="G298" s="3">
        <v>5.0</v>
      </c>
      <c r="H298" s="3">
        <v>46.5</v>
      </c>
    </row>
    <row r="299" ht="15.75" customHeight="1">
      <c r="A299" s="3" t="s">
        <v>26</v>
      </c>
      <c r="B299" s="3">
        <v>2024.0</v>
      </c>
      <c r="C299" s="3" t="s">
        <v>11</v>
      </c>
      <c r="D299" s="3">
        <v>421.8</v>
      </c>
      <c r="E299" s="3">
        <v>883.7</v>
      </c>
      <c r="F299" s="3">
        <v>448.5</v>
      </c>
      <c r="G299" s="3">
        <v>13.0</v>
      </c>
      <c r="H299" s="3">
        <v>9.0</v>
      </c>
    </row>
    <row r="300" ht="15.75" customHeight="1">
      <c r="A300" s="3" t="s">
        <v>26</v>
      </c>
      <c r="B300" s="3">
        <v>2024.0</v>
      </c>
      <c r="C300" s="3" t="s">
        <v>13</v>
      </c>
      <c r="D300" s="3">
        <v>385.3</v>
      </c>
      <c r="E300" s="3">
        <v>961.8</v>
      </c>
      <c r="F300" s="3">
        <v>311.7</v>
      </c>
      <c r="G300" s="3">
        <v>8.0</v>
      </c>
      <c r="H300" s="3">
        <v>15.0</v>
      </c>
    </row>
    <row r="301" ht="15.75" customHeight="1">
      <c r="A301" s="3" t="s">
        <v>26</v>
      </c>
      <c r="B301" s="3">
        <v>2024.0</v>
      </c>
      <c r="C301" s="3" t="s">
        <v>14</v>
      </c>
      <c r="D301" s="3">
        <v>428.3</v>
      </c>
      <c r="E301" s="3">
        <v>918.4</v>
      </c>
      <c r="F301" s="3">
        <v>561.1</v>
      </c>
      <c r="G301" s="3">
        <v>12.0</v>
      </c>
      <c r="H301" s="3">
        <v>27.7</v>
      </c>
    </row>
    <row r="302" ht="15.75" customHeight="1">
      <c r="A302" s="3" t="s">
        <v>27</v>
      </c>
      <c r="B302" s="3">
        <v>2015.0</v>
      </c>
      <c r="C302" s="3" t="s">
        <v>9</v>
      </c>
      <c r="D302" s="3">
        <v>92.5</v>
      </c>
      <c r="E302" s="3">
        <v>263.0</v>
      </c>
      <c r="F302" s="3">
        <v>121.2</v>
      </c>
      <c r="G302" s="3">
        <v>7.0</v>
      </c>
      <c r="H302" s="3">
        <v>9.8</v>
      </c>
    </row>
    <row r="303" ht="15.75" customHeight="1">
      <c r="A303" s="3" t="s">
        <v>27</v>
      </c>
      <c r="B303" s="3">
        <v>2015.0</v>
      </c>
      <c r="C303" s="3" t="s">
        <v>10</v>
      </c>
      <c r="D303" s="3">
        <v>149.2</v>
      </c>
      <c r="E303" s="3">
        <v>445.4</v>
      </c>
      <c r="F303" s="3">
        <v>217.3</v>
      </c>
      <c r="G303" s="3">
        <v>3.0</v>
      </c>
      <c r="H303" s="3">
        <v>6.3</v>
      </c>
    </row>
    <row r="304" ht="15.75" customHeight="1">
      <c r="A304" s="3" t="s">
        <v>27</v>
      </c>
      <c r="B304" s="3">
        <v>2015.0</v>
      </c>
      <c r="C304" s="3" t="s">
        <v>11</v>
      </c>
      <c r="D304" s="3">
        <v>115.1</v>
      </c>
      <c r="E304" s="3">
        <v>288.5</v>
      </c>
      <c r="F304" s="3">
        <v>159.9</v>
      </c>
      <c r="G304" s="3">
        <v>7.0</v>
      </c>
      <c r="H304" s="3">
        <v>27.6</v>
      </c>
    </row>
    <row r="305" ht="15.75" customHeight="1">
      <c r="A305" s="3" t="s">
        <v>27</v>
      </c>
      <c r="B305" s="3">
        <v>2015.0</v>
      </c>
      <c r="C305" s="3" t="s">
        <v>13</v>
      </c>
      <c r="D305" s="3">
        <v>157.6</v>
      </c>
      <c r="E305" s="3">
        <v>432.3</v>
      </c>
      <c r="F305" s="3">
        <v>193.6</v>
      </c>
      <c r="G305" s="3">
        <v>7.0</v>
      </c>
      <c r="H305" s="3">
        <v>28.7</v>
      </c>
    </row>
    <row r="306" ht="15.75" customHeight="1">
      <c r="A306" s="3" t="s">
        <v>27</v>
      </c>
      <c r="B306" s="3">
        <v>2015.0</v>
      </c>
      <c r="C306" s="3" t="s">
        <v>14</v>
      </c>
      <c r="D306" s="3">
        <v>112.9</v>
      </c>
      <c r="E306" s="3">
        <v>324.8</v>
      </c>
      <c r="F306" s="3">
        <v>124.6</v>
      </c>
      <c r="G306" s="3">
        <v>9.0</v>
      </c>
      <c r="H306" s="3">
        <v>23.6</v>
      </c>
    </row>
    <row r="307" ht="15.75" customHeight="1">
      <c r="A307" s="3" t="s">
        <v>27</v>
      </c>
      <c r="B307" s="3">
        <v>2016.0</v>
      </c>
      <c r="C307" s="3" t="s">
        <v>9</v>
      </c>
      <c r="D307" s="3">
        <v>99.3</v>
      </c>
      <c r="E307" s="3">
        <v>279.2</v>
      </c>
      <c r="F307" s="3">
        <v>131.0</v>
      </c>
      <c r="G307" s="3">
        <v>3.0</v>
      </c>
      <c r="H307" s="3">
        <v>49.6</v>
      </c>
    </row>
    <row r="308" ht="15.75" customHeight="1">
      <c r="A308" s="3" t="s">
        <v>27</v>
      </c>
      <c r="B308" s="3">
        <v>2016.0</v>
      </c>
      <c r="C308" s="3" t="s">
        <v>10</v>
      </c>
      <c r="D308" s="3">
        <v>155.6</v>
      </c>
      <c r="E308" s="3">
        <v>397.5</v>
      </c>
      <c r="F308" s="3">
        <v>204.3</v>
      </c>
      <c r="G308" s="3">
        <v>8.0</v>
      </c>
      <c r="H308" s="3">
        <v>31.1</v>
      </c>
    </row>
    <row r="309" ht="15.75" customHeight="1">
      <c r="A309" s="3" t="s">
        <v>27</v>
      </c>
      <c r="B309" s="3">
        <v>2016.0</v>
      </c>
      <c r="C309" s="3" t="s">
        <v>11</v>
      </c>
      <c r="D309" s="3">
        <v>192.7</v>
      </c>
      <c r="E309" s="3">
        <v>453.8</v>
      </c>
      <c r="F309" s="3">
        <v>259.8</v>
      </c>
      <c r="G309" s="3">
        <v>5.0</v>
      </c>
      <c r="H309" s="3">
        <v>26.7</v>
      </c>
    </row>
    <row r="310" ht="15.75" customHeight="1">
      <c r="A310" s="3" t="s">
        <v>27</v>
      </c>
      <c r="B310" s="3">
        <v>2016.0</v>
      </c>
      <c r="C310" s="3" t="s">
        <v>13</v>
      </c>
      <c r="D310" s="3">
        <v>123.5</v>
      </c>
      <c r="E310" s="3">
        <v>265.4</v>
      </c>
      <c r="F310" s="3">
        <v>125.2</v>
      </c>
      <c r="G310" s="3">
        <v>9.0</v>
      </c>
      <c r="H310" s="3">
        <v>25.6</v>
      </c>
    </row>
    <row r="311" ht="15.75" customHeight="1">
      <c r="A311" s="3" t="s">
        <v>27</v>
      </c>
      <c r="B311" s="3">
        <v>2016.0</v>
      </c>
      <c r="C311" s="3" t="s">
        <v>14</v>
      </c>
      <c r="D311" s="3">
        <v>133.8</v>
      </c>
      <c r="E311" s="3">
        <v>316.9</v>
      </c>
      <c r="F311" s="3">
        <v>149.1</v>
      </c>
      <c r="G311" s="3">
        <v>5.0</v>
      </c>
      <c r="H311" s="3">
        <v>39.2</v>
      </c>
    </row>
    <row r="312" ht="15.75" customHeight="1">
      <c r="A312" s="3" t="s">
        <v>27</v>
      </c>
      <c r="B312" s="3">
        <v>2017.0</v>
      </c>
      <c r="C312" s="3" t="s">
        <v>9</v>
      </c>
      <c r="D312" s="3">
        <v>122.4</v>
      </c>
      <c r="E312" s="3">
        <v>330.1</v>
      </c>
      <c r="F312" s="3">
        <v>98.2</v>
      </c>
      <c r="G312" s="3">
        <v>7.0</v>
      </c>
      <c r="H312" s="3">
        <v>9.2</v>
      </c>
    </row>
    <row r="313" ht="15.75" customHeight="1">
      <c r="A313" s="3" t="s">
        <v>27</v>
      </c>
      <c r="B313" s="3">
        <v>2017.0</v>
      </c>
      <c r="C313" s="3" t="s">
        <v>10</v>
      </c>
      <c r="D313" s="3">
        <v>146.2</v>
      </c>
      <c r="E313" s="3">
        <v>408.4</v>
      </c>
      <c r="F313" s="3">
        <v>126.5</v>
      </c>
      <c r="G313" s="3">
        <v>8.0</v>
      </c>
      <c r="H313" s="3">
        <v>43.8</v>
      </c>
    </row>
    <row r="314" ht="15.75" customHeight="1">
      <c r="A314" s="3" t="s">
        <v>27</v>
      </c>
      <c r="B314" s="3">
        <v>2017.0</v>
      </c>
      <c r="C314" s="3" t="s">
        <v>11</v>
      </c>
      <c r="D314" s="3">
        <v>136.9</v>
      </c>
      <c r="E314" s="3">
        <v>304.6</v>
      </c>
      <c r="F314" s="3">
        <v>176.8</v>
      </c>
      <c r="G314" s="3">
        <v>9.0</v>
      </c>
      <c r="H314" s="3">
        <v>30.6</v>
      </c>
    </row>
    <row r="315" ht="15.75" customHeight="1">
      <c r="A315" s="3" t="s">
        <v>27</v>
      </c>
      <c r="B315" s="3">
        <v>2017.0</v>
      </c>
      <c r="C315" s="3" t="s">
        <v>13</v>
      </c>
      <c r="D315" s="3">
        <v>182.1</v>
      </c>
      <c r="E315" s="3">
        <v>473.4</v>
      </c>
      <c r="F315" s="3">
        <v>222.4</v>
      </c>
      <c r="G315" s="3">
        <v>4.0</v>
      </c>
      <c r="H315" s="3">
        <v>25.4</v>
      </c>
    </row>
    <row r="316" ht="15.75" customHeight="1">
      <c r="A316" s="3" t="s">
        <v>27</v>
      </c>
      <c r="B316" s="3">
        <v>2017.0</v>
      </c>
      <c r="C316" s="3" t="s">
        <v>14</v>
      </c>
      <c r="D316" s="3">
        <v>193.0</v>
      </c>
      <c r="E316" s="3">
        <v>575.6</v>
      </c>
      <c r="F316" s="3">
        <v>182.8</v>
      </c>
      <c r="G316" s="3">
        <v>5.0</v>
      </c>
      <c r="H316" s="3">
        <v>26.3</v>
      </c>
    </row>
    <row r="317" ht="15.75" customHeight="1">
      <c r="A317" s="3" t="s">
        <v>27</v>
      </c>
      <c r="B317" s="3">
        <v>2018.0</v>
      </c>
      <c r="C317" s="3" t="s">
        <v>9</v>
      </c>
      <c r="D317" s="3">
        <v>242.4</v>
      </c>
      <c r="E317" s="3">
        <v>575.4</v>
      </c>
      <c r="F317" s="3">
        <v>214.7</v>
      </c>
      <c r="G317" s="3">
        <v>3.0</v>
      </c>
      <c r="H317" s="3">
        <v>22.3</v>
      </c>
    </row>
    <row r="318" ht="15.75" customHeight="1">
      <c r="A318" s="3" t="s">
        <v>27</v>
      </c>
      <c r="B318" s="3">
        <v>2018.0</v>
      </c>
      <c r="C318" s="3" t="s">
        <v>10</v>
      </c>
      <c r="D318" s="3">
        <v>169.5</v>
      </c>
      <c r="E318" s="3">
        <v>474.9</v>
      </c>
      <c r="F318" s="3">
        <v>226.6</v>
      </c>
      <c r="G318" s="3">
        <v>10.0</v>
      </c>
      <c r="H318" s="3">
        <v>46.7</v>
      </c>
    </row>
    <row r="319" ht="15.75" customHeight="1">
      <c r="A319" s="3" t="s">
        <v>27</v>
      </c>
      <c r="B319" s="3">
        <v>2018.0</v>
      </c>
      <c r="C319" s="3" t="s">
        <v>11</v>
      </c>
      <c r="D319" s="3">
        <v>208.9</v>
      </c>
      <c r="E319" s="3">
        <v>454.0</v>
      </c>
      <c r="F319" s="3">
        <v>260.3</v>
      </c>
      <c r="G319" s="3">
        <v>6.0</v>
      </c>
      <c r="H319" s="3">
        <v>39.5</v>
      </c>
    </row>
    <row r="320" ht="15.75" customHeight="1">
      <c r="A320" s="3" t="s">
        <v>27</v>
      </c>
      <c r="B320" s="3">
        <v>2018.0</v>
      </c>
      <c r="C320" s="3" t="s">
        <v>13</v>
      </c>
      <c r="D320" s="3">
        <v>218.4</v>
      </c>
      <c r="E320" s="3">
        <v>520.7</v>
      </c>
      <c r="F320" s="3">
        <v>262.2</v>
      </c>
      <c r="G320" s="3">
        <v>7.0</v>
      </c>
      <c r="H320" s="3">
        <v>10.0</v>
      </c>
    </row>
    <row r="321" ht="15.75" customHeight="1">
      <c r="A321" s="3" t="s">
        <v>27</v>
      </c>
      <c r="B321" s="3">
        <v>2018.0</v>
      </c>
      <c r="C321" s="3" t="s">
        <v>14</v>
      </c>
      <c r="D321" s="3">
        <v>220.9</v>
      </c>
      <c r="E321" s="3">
        <v>658.1</v>
      </c>
      <c r="F321" s="3">
        <v>202.3</v>
      </c>
      <c r="G321" s="3">
        <v>3.0</v>
      </c>
      <c r="H321" s="3">
        <v>29.7</v>
      </c>
    </row>
    <row r="322" ht="15.75" customHeight="1">
      <c r="A322" s="3" t="s">
        <v>27</v>
      </c>
      <c r="B322" s="3">
        <v>2019.0</v>
      </c>
      <c r="C322" s="3" t="s">
        <v>9</v>
      </c>
      <c r="D322" s="3">
        <v>212.1</v>
      </c>
      <c r="E322" s="3">
        <v>623.8</v>
      </c>
      <c r="F322" s="3">
        <v>208.2</v>
      </c>
      <c r="G322" s="3">
        <v>5.0</v>
      </c>
      <c r="H322" s="3">
        <v>19.5</v>
      </c>
    </row>
    <row r="323" ht="15.75" customHeight="1">
      <c r="A323" s="3" t="s">
        <v>27</v>
      </c>
      <c r="B323" s="3">
        <v>2019.0</v>
      </c>
      <c r="C323" s="3" t="s">
        <v>10</v>
      </c>
      <c r="D323" s="3">
        <v>268.1</v>
      </c>
      <c r="E323" s="3">
        <v>586.1</v>
      </c>
      <c r="F323" s="3">
        <v>365.1</v>
      </c>
      <c r="G323" s="3">
        <v>7.0</v>
      </c>
      <c r="H323" s="3">
        <v>35.6</v>
      </c>
    </row>
    <row r="324" ht="15.75" customHeight="1">
      <c r="A324" s="3" t="s">
        <v>27</v>
      </c>
      <c r="B324" s="3">
        <v>2019.0</v>
      </c>
      <c r="C324" s="3" t="s">
        <v>11</v>
      </c>
      <c r="D324" s="3">
        <v>206.0</v>
      </c>
      <c r="E324" s="3">
        <v>413.4</v>
      </c>
      <c r="F324" s="3">
        <v>173.1</v>
      </c>
      <c r="G324" s="3">
        <v>11.0</v>
      </c>
      <c r="H324" s="3">
        <v>37.8</v>
      </c>
    </row>
    <row r="325" ht="15.75" customHeight="1">
      <c r="A325" s="3" t="s">
        <v>27</v>
      </c>
      <c r="B325" s="3">
        <v>2019.0</v>
      </c>
      <c r="C325" s="3" t="s">
        <v>13</v>
      </c>
      <c r="D325" s="3">
        <v>227.4</v>
      </c>
      <c r="E325" s="3">
        <v>562.1</v>
      </c>
      <c r="F325" s="3">
        <v>184.0</v>
      </c>
      <c r="G325" s="3">
        <v>10.0</v>
      </c>
      <c r="H325" s="3">
        <v>3.8</v>
      </c>
    </row>
    <row r="326" ht="15.75" customHeight="1">
      <c r="A326" s="3" t="s">
        <v>27</v>
      </c>
      <c r="B326" s="3">
        <v>2019.0</v>
      </c>
      <c r="C326" s="3" t="s">
        <v>14</v>
      </c>
      <c r="D326" s="3">
        <v>255.6</v>
      </c>
      <c r="E326" s="3">
        <v>760.3</v>
      </c>
      <c r="F326" s="3">
        <v>270.9</v>
      </c>
      <c r="G326" s="3">
        <v>11.0</v>
      </c>
      <c r="H326" s="3">
        <v>39.1</v>
      </c>
    </row>
    <row r="327" ht="15.75" customHeight="1">
      <c r="A327" s="3" t="s">
        <v>27</v>
      </c>
      <c r="B327" s="3">
        <v>2020.0</v>
      </c>
      <c r="C327" s="3" t="s">
        <v>9</v>
      </c>
      <c r="D327" s="3">
        <v>252.2</v>
      </c>
      <c r="E327" s="3">
        <v>543.9</v>
      </c>
      <c r="F327" s="3">
        <v>352.4</v>
      </c>
      <c r="G327" s="3">
        <v>6.0</v>
      </c>
      <c r="H327" s="3">
        <v>31.4</v>
      </c>
    </row>
    <row r="328" ht="15.75" customHeight="1">
      <c r="A328" s="3" t="s">
        <v>27</v>
      </c>
      <c r="B328" s="3">
        <v>2020.0</v>
      </c>
      <c r="C328" s="3" t="s">
        <v>10</v>
      </c>
      <c r="D328" s="3">
        <v>246.6</v>
      </c>
      <c r="E328" s="3">
        <v>683.5</v>
      </c>
      <c r="F328" s="3">
        <v>212.2</v>
      </c>
      <c r="G328" s="3">
        <v>4.0</v>
      </c>
      <c r="H328" s="3">
        <v>36.9</v>
      </c>
    </row>
    <row r="329" ht="15.75" customHeight="1">
      <c r="A329" s="3" t="s">
        <v>27</v>
      </c>
      <c r="B329" s="3">
        <v>2020.0</v>
      </c>
      <c r="C329" s="3" t="s">
        <v>11</v>
      </c>
      <c r="D329" s="3">
        <v>216.1</v>
      </c>
      <c r="E329" s="3">
        <v>459.9</v>
      </c>
      <c r="F329" s="3">
        <v>306.4</v>
      </c>
      <c r="G329" s="3">
        <v>7.0</v>
      </c>
      <c r="H329" s="3">
        <v>3.6</v>
      </c>
    </row>
    <row r="330" ht="15.75" customHeight="1">
      <c r="A330" s="3" t="s">
        <v>27</v>
      </c>
      <c r="B330" s="3">
        <v>2020.0</v>
      </c>
      <c r="C330" s="3" t="s">
        <v>13</v>
      </c>
      <c r="D330" s="3">
        <v>266.8</v>
      </c>
      <c r="E330" s="3">
        <v>586.5</v>
      </c>
      <c r="F330" s="3">
        <v>319.1</v>
      </c>
      <c r="G330" s="3">
        <v>5.0</v>
      </c>
      <c r="H330" s="3">
        <v>16.1</v>
      </c>
    </row>
    <row r="331" ht="15.75" customHeight="1">
      <c r="A331" s="3" t="s">
        <v>27</v>
      </c>
      <c r="B331" s="3">
        <v>2020.0</v>
      </c>
      <c r="C331" s="3" t="s">
        <v>14</v>
      </c>
      <c r="D331" s="3">
        <v>203.4</v>
      </c>
      <c r="E331" s="3">
        <v>477.8</v>
      </c>
      <c r="F331" s="3">
        <v>178.9</v>
      </c>
      <c r="G331" s="3">
        <v>4.0</v>
      </c>
      <c r="H331" s="3">
        <v>36.3</v>
      </c>
    </row>
    <row r="332" ht="15.75" customHeight="1">
      <c r="A332" s="3" t="s">
        <v>27</v>
      </c>
      <c r="B332" s="3">
        <v>2021.0</v>
      </c>
      <c r="C332" s="3" t="s">
        <v>9</v>
      </c>
      <c r="D332" s="3">
        <v>261.5</v>
      </c>
      <c r="E332" s="3">
        <v>748.0</v>
      </c>
      <c r="F332" s="3">
        <v>341.5</v>
      </c>
      <c r="G332" s="3">
        <v>11.0</v>
      </c>
      <c r="H332" s="3">
        <v>39.8</v>
      </c>
    </row>
    <row r="333" ht="15.75" customHeight="1">
      <c r="A333" s="3" t="s">
        <v>27</v>
      </c>
      <c r="B333" s="3">
        <v>2021.0</v>
      </c>
      <c r="C333" s="3" t="s">
        <v>10</v>
      </c>
      <c r="D333" s="3">
        <v>309.9</v>
      </c>
      <c r="E333" s="3">
        <v>788.1</v>
      </c>
      <c r="F333" s="3">
        <v>265.6</v>
      </c>
      <c r="G333" s="3">
        <v>9.0</v>
      </c>
      <c r="H333" s="3">
        <v>42.5</v>
      </c>
    </row>
    <row r="334" ht="15.75" customHeight="1">
      <c r="A334" s="3" t="s">
        <v>27</v>
      </c>
      <c r="B334" s="3">
        <v>2021.0</v>
      </c>
      <c r="C334" s="3" t="s">
        <v>11</v>
      </c>
      <c r="D334" s="3">
        <v>250.5</v>
      </c>
      <c r="E334" s="3">
        <v>604.3</v>
      </c>
      <c r="F334" s="3">
        <v>314.6</v>
      </c>
      <c r="G334" s="3">
        <v>8.0</v>
      </c>
      <c r="H334" s="3">
        <v>15.2</v>
      </c>
    </row>
    <row r="335" ht="15.75" customHeight="1">
      <c r="A335" s="3" t="s">
        <v>27</v>
      </c>
      <c r="B335" s="3">
        <v>2021.0</v>
      </c>
      <c r="C335" s="3" t="s">
        <v>13</v>
      </c>
      <c r="D335" s="3">
        <v>359.3</v>
      </c>
      <c r="E335" s="3">
        <v>758.8</v>
      </c>
      <c r="F335" s="3">
        <v>377.0</v>
      </c>
      <c r="G335" s="3">
        <v>6.0</v>
      </c>
      <c r="H335" s="3">
        <v>3.5</v>
      </c>
    </row>
    <row r="336" ht="15.75" customHeight="1">
      <c r="A336" s="3" t="s">
        <v>27</v>
      </c>
      <c r="B336" s="3">
        <v>2021.0</v>
      </c>
      <c r="C336" s="3" t="s">
        <v>14</v>
      </c>
      <c r="D336" s="3">
        <v>258.0</v>
      </c>
      <c r="E336" s="3">
        <v>741.0</v>
      </c>
      <c r="F336" s="3">
        <v>304.8</v>
      </c>
      <c r="G336" s="3">
        <v>6.0</v>
      </c>
      <c r="H336" s="3">
        <v>38.1</v>
      </c>
    </row>
    <row r="337" ht="15.75" customHeight="1">
      <c r="A337" s="3" t="s">
        <v>27</v>
      </c>
      <c r="B337" s="3">
        <v>2022.0</v>
      </c>
      <c r="C337" s="3" t="s">
        <v>9</v>
      </c>
      <c r="D337" s="3">
        <v>302.9</v>
      </c>
      <c r="E337" s="3">
        <v>667.9</v>
      </c>
      <c r="F337" s="3">
        <v>428.5</v>
      </c>
      <c r="G337" s="3">
        <v>9.0</v>
      </c>
      <c r="H337" s="3">
        <v>8.9</v>
      </c>
    </row>
    <row r="338" ht="15.75" customHeight="1">
      <c r="A338" s="3" t="s">
        <v>27</v>
      </c>
      <c r="B338" s="3">
        <v>2022.0</v>
      </c>
      <c r="C338" s="3" t="s">
        <v>10</v>
      </c>
      <c r="D338" s="3">
        <v>294.2</v>
      </c>
      <c r="E338" s="3">
        <v>878.3</v>
      </c>
      <c r="F338" s="3">
        <v>394.4</v>
      </c>
      <c r="G338" s="3">
        <v>4.0</v>
      </c>
      <c r="H338" s="3">
        <v>4.2</v>
      </c>
    </row>
    <row r="339" ht="15.75" customHeight="1">
      <c r="A339" s="3" t="s">
        <v>27</v>
      </c>
      <c r="B339" s="3">
        <v>2022.0</v>
      </c>
      <c r="C339" s="3" t="s">
        <v>11</v>
      </c>
      <c r="D339" s="3">
        <v>245.1</v>
      </c>
      <c r="E339" s="3">
        <v>713.1</v>
      </c>
      <c r="F339" s="3">
        <v>288.5</v>
      </c>
      <c r="G339" s="3">
        <v>6.0</v>
      </c>
      <c r="H339" s="3">
        <v>40.1</v>
      </c>
    </row>
    <row r="340" ht="15.75" customHeight="1">
      <c r="A340" s="3" t="s">
        <v>27</v>
      </c>
      <c r="B340" s="3">
        <v>2022.0</v>
      </c>
      <c r="C340" s="3" t="s">
        <v>13</v>
      </c>
      <c r="D340" s="3">
        <v>359.2</v>
      </c>
      <c r="E340" s="3">
        <v>854.9</v>
      </c>
      <c r="F340" s="3">
        <v>482.3</v>
      </c>
      <c r="G340" s="3">
        <v>6.0</v>
      </c>
      <c r="H340" s="3">
        <v>10.6</v>
      </c>
    </row>
    <row r="341" ht="15.75" customHeight="1">
      <c r="A341" s="3" t="s">
        <v>27</v>
      </c>
      <c r="B341" s="3">
        <v>2022.0</v>
      </c>
      <c r="C341" s="3" t="s">
        <v>14</v>
      </c>
      <c r="D341" s="3">
        <v>316.2</v>
      </c>
      <c r="E341" s="3">
        <v>797.8</v>
      </c>
      <c r="F341" s="3">
        <v>316.5</v>
      </c>
      <c r="G341" s="3">
        <v>12.0</v>
      </c>
      <c r="H341" s="3">
        <v>29.3</v>
      </c>
    </row>
    <row r="342" ht="15.75" customHeight="1">
      <c r="A342" s="3" t="s">
        <v>27</v>
      </c>
      <c r="B342" s="3">
        <v>2023.0</v>
      </c>
      <c r="C342" s="3" t="s">
        <v>9</v>
      </c>
      <c r="D342" s="3">
        <v>339.7</v>
      </c>
      <c r="E342" s="3">
        <v>984.2</v>
      </c>
      <c r="F342" s="3">
        <v>395.5</v>
      </c>
      <c r="G342" s="3">
        <v>7.0</v>
      </c>
      <c r="H342" s="3">
        <v>28.3</v>
      </c>
    </row>
    <row r="343" ht="15.75" customHeight="1">
      <c r="A343" s="3" t="s">
        <v>27</v>
      </c>
      <c r="B343" s="3">
        <v>2023.0</v>
      </c>
      <c r="C343" s="3" t="s">
        <v>10</v>
      </c>
      <c r="D343" s="3">
        <v>337.1</v>
      </c>
      <c r="E343" s="3">
        <v>780.9</v>
      </c>
      <c r="F343" s="3">
        <v>471.9</v>
      </c>
      <c r="G343" s="3">
        <v>6.0</v>
      </c>
      <c r="H343" s="3">
        <v>45.0</v>
      </c>
    </row>
    <row r="344" ht="15.75" customHeight="1">
      <c r="A344" s="3" t="s">
        <v>27</v>
      </c>
      <c r="B344" s="3">
        <v>2023.0</v>
      </c>
      <c r="C344" s="3" t="s">
        <v>11</v>
      </c>
      <c r="D344" s="3">
        <v>435.3</v>
      </c>
      <c r="E344" s="3">
        <v>885.2</v>
      </c>
      <c r="F344" s="3">
        <v>459.1</v>
      </c>
      <c r="G344" s="3">
        <v>9.0</v>
      </c>
      <c r="H344" s="3">
        <v>22.6</v>
      </c>
    </row>
    <row r="345" ht="15.75" customHeight="1">
      <c r="A345" s="3" t="s">
        <v>27</v>
      </c>
      <c r="B345" s="3">
        <v>2023.0</v>
      </c>
      <c r="C345" s="3" t="s">
        <v>13</v>
      </c>
      <c r="D345" s="3">
        <v>394.5</v>
      </c>
      <c r="E345" s="3">
        <v>1170.7</v>
      </c>
      <c r="F345" s="3">
        <v>552.2</v>
      </c>
      <c r="G345" s="3">
        <v>12.0</v>
      </c>
      <c r="H345" s="3">
        <v>40.4</v>
      </c>
    </row>
    <row r="346" ht="15.75" customHeight="1">
      <c r="A346" s="3" t="s">
        <v>27</v>
      </c>
      <c r="B346" s="3">
        <v>2023.0</v>
      </c>
      <c r="C346" s="3" t="s">
        <v>14</v>
      </c>
      <c r="D346" s="3">
        <v>333.3</v>
      </c>
      <c r="E346" s="3">
        <v>908.2</v>
      </c>
      <c r="F346" s="3">
        <v>342.0</v>
      </c>
      <c r="G346" s="3">
        <v>9.0</v>
      </c>
      <c r="H346" s="3">
        <v>49.0</v>
      </c>
    </row>
    <row r="347" ht="15.75" customHeight="1">
      <c r="A347" s="3" t="s">
        <v>27</v>
      </c>
      <c r="B347" s="3">
        <v>2024.0</v>
      </c>
      <c r="C347" s="3" t="s">
        <v>9</v>
      </c>
      <c r="D347" s="3">
        <v>406.8</v>
      </c>
      <c r="E347" s="3">
        <v>879.5</v>
      </c>
      <c r="F347" s="3">
        <v>329.0</v>
      </c>
      <c r="G347" s="3">
        <v>13.0</v>
      </c>
      <c r="H347" s="3">
        <v>5.6</v>
      </c>
    </row>
    <row r="348" ht="15.75" customHeight="1">
      <c r="A348" s="3" t="s">
        <v>27</v>
      </c>
      <c r="B348" s="3">
        <v>2024.0</v>
      </c>
      <c r="C348" s="3" t="s">
        <v>10</v>
      </c>
      <c r="D348" s="3">
        <v>434.4</v>
      </c>
      <c r="E348" s="3">
        <v>903.3</v>
      </c>
      <c r="F348" s="3">
        <v>569.9</v>
      </c>
      <c r="G348" s="3">
        <v>13.0</v>
      </c>
      <c r="H348" s="3">
        <v>41.1</v>
      </c>
    </row>
    <row r="349" ht="15.75" customHeight="1">
      <c r="A349" s="3" t="s">
        <v>27</v>
      </c>
      <c r="B349" s="3">
        <v>2024.0</v>
      </c>
      <c r="C349" s="3" t="s">
        <v>11</v>
      </c>
      <c r="D349" s="3">
        <v>408.8</v>
      </c>
      <c r="E349" s="3">
        <v>862.8</v>
      </c>
      <c r="F349" s="3">
        <v>544.4</v>
      </c>
      <c r="G349" s="3">
        <v>13.0</v>
      </c>
      <c r="H349" s="3">
        <v>24.1</v>
      </c>
    </row>
    <row r="350" ht="15.75" customHeight="1">
      <c r="A350" s="3" t="s">
        <v>27</v>
      </c>
      <c r="B350" s="3">
        <v>2024.0</v>
      </c>
      <c r="C350" s="3" t="s">
        <v>13</v>
      </c>
      <c r="D350" s="3">
        <v>356.2</v>
      </c>
      <c r="E350" s="3">
        <v>802.9</v>
      </c>
      <c r="F350" s="3">
        <v>489.2</v>
      </c>
      <c r="G350" s="3">
        <v>8.0</v>
      </c>
      <c r="H350" s="3">
        <v>6.5</v>
      </c>
    </row>
    <row r="351" ht="15.75" customHeight="1">
      <c r="A351" s="3" t="s">
        <v>27</v>
      </c>
      <c r="B351" s="3">
        <v>2024.0</v>
      </c>
      <c r="C351" s="3" t="s">
        <v>14</v>
      </c>
      <c r="D351" s="3">
        <v>426.7</v>
      </c>
      <c r="E351" s="3">
        <v>1205.9</v>
      </c>
      <c r="F351" s="3">
        <v>485.2</v>
      </c>
      <c r="G351" s="3">
        <v>6.0</v>
      </c>
      <c r="H351" s="3">
        <v>18.0</v>
      </c>
    </row>
    <row r="352" ht="15.75" customHeight="1">
      <c r="A352" s="3" t="s">
        <v>28</v>
      </c>
      <c r="B352" s="3">
        <v>2015.0</v>
      </c>
      <c r="C352" s="3" t="s">
        <v>9</v>
      </c>
      <c r="D352" s="3">
        <v>139.4</v>
      </c>
      <c r="E352" s="3">
        <v>339.6</v>
      </c>
      <c r="F352" s="3">
        <v>167.9</v>
      </c>
      <c r="G352" s="3">
        <v>2.0</v>
      </c>
      <c r="H352" s="3">
        <v>42.2</v>
      </c>
    </row>
    <row r="353" ht="15.75" customHeight="1">
      <c r="A353" s="3" t="s">
        <v>28</v>
      </c>
      <c r="B353" s="3">
        <v>2015.0</v>
      </c>
      <c r="C353" s="3" t="s">
        <v>10</v>
      </c>
      <c r="D353" s="3">
        <v>53.6</v>
      </c>
      <c r="E353" s="3">
        <v>152.4</v>
      </c>
      <c r="F353" s="3">
        <v>52.4</v>
      </c>
      <c r="G353" s="3">
        <v>1.0</v>
      </c>
      <c r="H353" s="3">
        <v>7.2</v>
      </c>
    </row>
    <row r="354" ht="15.75" customHeight="1">
      <c r="A354" s="3" t="s">
        <v>28</v>
      </c>
      <c r="B354" s="3">
        <v>2015.0</v>
      </c>
      <c r="C354" s="3" t="s">
        <v>11</v>
      </c>
      <c r="D354" s="3">
        <v>85.5</v>
      </c>
      <c r="E354" s="3">
        <v>171.3</v>
      </c>
      <c r="F354" s="3">
        <v>109.2</v>
      </c>
      <c r="G354" s="3">
        <v>6.0</v>
      </c>
      <c r="H354" s="3">
        <v>42.9</v>
      </c>
    </row>
    <row r="355" ht="15.75" customHeight="1">
      <c r="A355" s="3" t="s">
        <v>28</v>
      </c>
      <c r="B355" s="3">
        <v>2015.0</v>
      </c>
      <c r="C355" s="3" t="s">
        <v>13</v>
      </c>
      <c r="D355" s="3">
        <v>59.7</v>
      </c>
      <c r="E355" s="3">
        <v>169.5</v>
      </c>
      <c r="F355" s="3">
        <v>59.5</v>
      </c>
      <c r="G355" s="3">
        <v>3.0</v>
      </c>
      <c r="H355" s="3">
        <v>35.0</v>
      </c>
    </row>
    <row r="356" ht="15.75" customHeight="1">
      <c r="A356" s="3" t="s">
        <v>28</v>
      </c>
      <c r="B356" s="3">
        <v>2015.0</v>
      </c>
      <c r="C356" s="3" t="s">
        <v>14</v>
      </c>
      <c r="D356" s="3">
        <v>86.1</v>
      </c>
      <c r="E356" s="3">
        <v>178.2</v>
      </c>
      <c r="F356" s="3">
        <v>114.9</v>
      </c>
      <c r="G356" s="3">
        <v>5.0</v>
      </c>
      <c r="H356" s="3">
        <v>33.0</v>
      </c>
    </row>
    <row r="357" ht="15.75" customHeight="1">
      <c r="A357" s="3" t="s">
        <v>28</v>
      </c>
      <c r="B357" s="3">
        <v>2016.0</v>
      </c>
      <c r="C357" s="3" t="s">
        <v>9</v>
      </c>
      <c r="D357" s="3">
        <v>86.6</v>
      </c>
      <c r="E357" s="3">
        <v>251.5</v>
      </c>
      <c r="F357" s="3">
        <v>83.4</v>
      </c>
      <c r="G357" s="3">
        <v>9.0</v>
      </c>
      <c r="H357" s="3">
        <v>39.6</v>
      </c>
    </row>
    <row r="358" ht="15.75" customHeight="1">
      <c r="A358" s="3" t="s">
        <v>28</v>
      </c>
      <c r="B358" s="3">
        <v>2016.0</v>
      </c>
      <c r="C358" s="3" t="s">
        <v>10</v>
      </c>
      <c r="D358" s="3">
        <v>135.2</v>
      </c>
      <c r="E358" s="3">
        <v>285.4</v>
      </c>
      <c r="F358" s="3">
        <v>150.4</v>
      </c>
      <c r="G358" s="3">
        <v>7.0</v>
      </c>
      <c r="H358" s="3">
        <v>12.1</v>
      </c>
    </row>
    <row r="359" ht="15.75" customHeight="1">
      <c r="A359" s="3" t="s">
        <v>28</v>
      </c>
      <c r="B359" s="3">
        <v>2016.0</v>
      </c>
      <c r="C359" s="3" t="s">
        <v>11</v>
      </c>
      <c r="D359" s="3">
        <v>228.0</v>
      </c>
      <c r="E359" s="3">
        <v>542.7</v>
      </c>
      <c r="F359" s="3">
        <v>338.3</v>
      </c>
      <c r="G359" s="3">
        <v>6.0</v>
      </c>
      <c r="H359" s="3">
        <v>1.9</v>
      </c>
    </row>
    <row r="360" ht="15.75" customHeight="1">
      <c r="A360" s="3" t="s">
        <v>28</v>
      </c>
      <c r="B360" s="3">
        <v>2016.0</v>
      </c>
      <c r="C360" s="3" t="s">
        <v>13</v>
      </c>
      <c r="D360" s="3">
        <v>159.0</v>
      </c>
      <c r="E360" s="3">
        <v>362.4</v>
      </c>
      <c r="F360" s="3">
        <v>222.7</v>
      </c>
      <c r="G360" s="3">
        <v>4.0</v>
      </c>
      <c r="H360" s="3">
        <v>48.7</v>
      </c>
    </row>
    <row r="361" ht="15.75" customHeight="1">
      <c r="A361" s="3" t="s">
        <v>28</v>
      </c>
      <c r="B361" s="3">
        <v>2016.0</v>
      </c>
      <c r="C361" s="3" t="s">
        <v>14</v>
      </c>
      <c r="D361" s="3">
        <v>117.7</v>
      </c>
      <c r="E361" s="3">
        <v>324.2</v>
      </c>
      <c r="F361" s="3">
        <v>160.5</v>
      </c>
      <c r="G361" s="3">
        <v>5.0</v>
      </c>
      <c r="H361" s="3">
        <v>49.1</v>
      </c>
    </row>
    <row r="362" ht="15.75" customHeight="1">
      <c r="A362" s="3" t="s">
        <v>28</v>
      </c>
      <c r="B362" s="3">
        <v>2017.0</v>
      </c>
      <c r="C362" s="3" t="s">
        <v>9</v>
      </c>
      <c r="D362" s="3">
        <v>263.3</v>
      </c>
      <c r="E362" s="3">
        <v>666.7</v>
      </c>
      <c r="F362" s="3">
        <v>327.6</v>
      </c>
      <c r="G362" s="3">
        <v>6.0</v>
      </c>
      <c r="H362" s="3">
        <v>6.5</v>
      </c>
    </row>
    <row r="363" ht="15.75" customHeight="1">
      <c r="A363" s="3" t="s">
        <v>28</v>
      </c>
      <c r="B363" s="3">
        <v>2017.0</v>
      </c>
      <c r="C363" s="3" t="s">
        <v>10</v>
      </c>
      <c r="D363" s="3">
        <v>205.3</v>
      </c>
      <c r="E363" s="3">
        <v>435.2</v>
      </c>
      <c r="F363" s="3">
        <v>174.0</v>
      </c>
      <c r="G363" s="3">
        <v>3.0</v>
      </c>
      <c r="H363" s="3">
        <v>12.9</v>
      </c>
    </row>
    <row r="364" ht="15.75" customHeight="1">
      <c r="A364" s="3" t="s">
        <v>28</v>
      </c>
      <c r="B364" s="3">
        <v>2017.0</v>
      </c>
      <c r="C364" s="3" t="s">
        <v>11</v>
      </c>
      <c r="D364" s="3">
        <v>152.0</v>
      </c>
      <c r="E364" s="3">
        <v>429.3</v>
      </c>
      <c r="F364" s="3">
        <v>129.5</v>
      </c>
      <c r="G364" s="3">
        <v>10.0</v>
      </c>
      <c r="H364" s="3">
        <v>15.7</v>
      </c>
    </row>
    <row r="365" ht="15.75" customHeight="1">
      <c r="A365" s="3" t="s">
        <v>28</v>
      </c>
      <c r="B365" s="3">
        <v>2017.0</v>
      </c>
      <c r="C365" s="3" t="s">
        <v>13</v>
      </c>
      <c r="D365" s="3">
        <v>195.8</v>
      </c>
      <c r="E365" s="3">
        <v>401.1</v>
      </c>
      <c r="F365" s="3">
        <v>280.5</v>
      </c>
      <c r="G365" s="3">
        <v>9.0</v>
      </c>
      <c r="H365" s="3">
        <v>44.0</v>
      </c>
    </row>
    <row r="366" ht="15.75" customHeight="1">
      <c r="A366" s="3" t="s">
        <v>28</v>
      </c>
      <c r="B366" s="3">
        <v>2017.0</v>
      </c>
      <c r="C366" s="3" t="s">
        <v>14</v>
      </c>
      <c r="D366" s="3">
        <v>217.2</v>
      </c>
      <c r="E366" s="3">
        <v>496.3</v>
      </c>
      <c r="F366" s="3">
        <v>239.0</v>
      </c>
      <c r="G366" s="3">
        <v>4.0</v>
      </c>
      <c r="H366" s="3">
        <v>29.1</v>
      </c>
    </row>
    <row r="367" ht="15.75" customHeight="1">
      <c r="A367" s="3" t="s">
        <v>28</v>
      </c>
      <c r="B367" s="3">
        <v>2018.0</v>
      </c>
      <c r="C367" s="3" t="s">
        <v>9</v>
      </c>
      <c r="D367" s="3">
        <v>193.4</v>
      </c>
      <c r="E367" s="3">
        <v>399.2</v>
      </c>
      <c r="F367" s="3">
        <v>267.3</v>
      </c>
      <c r="G367" s="3">
        <v>4.0</v>
      </c>
      <c r="H367" s="3">
        <v>24.9</v>
      </c>
    </row>
    <row r="368" ht="15.75" customHeight="1">
      <c r="A368" s="3" t="s">
        <v>28</v>
      </c>
      <c r="B368" s="3">
        <v>2018.0</v>
      </c>
      <c r="C368" s="3" t="s">
        <v>10</v>
      </c>
      <c r="D368" s="3">
        <v>196.4</v>
      </c>
      <c r="E368" s="3">
        <v>459.7</v>
      </c>
      <c r="F368" s="3">
        <v>179.8</v>
      </c>
      <c r="G368" s="3">
        <v>7.0</v>
      </c>
      <c r="H368" s="3">
        <v>30.7</v>
      </c>
    </row>
    <row r="369" ht="15.75" customHeight="1">
      <c r="A369" s="3" t="s">
        <v>28</v>
      </c>
      <c r="B369" s="3">
        <v>2018.0</v>
      </c>
      <c r="C369" s="3" t="s">
        <v>11</v>
      </c>
      <c r="D369" s="3">
        <v>216.7</v>
      </c>
      <c r="E369" s="3">
        <v>529.9</v>
      </c>
      <c r="F369" s="3">
        <v>293.0</v>
      </c>
      <c r="G369" s="3">
        <v>5.0</v>
      </c>
      <c r="H369" s="3">
        <v>12.6</v>
      </c>
    </row>
    <row r="370" ht="15.75" customHeight="1">
      <c r="A370" s="3" t="s">
        <v>28</v>
      </c>
      <c r="B370" s="3">
        <v>2018.0</v>
      </c>
      <c r="C370" s="3" t="s">
        <v>13</v>
      </c>
      <c r="D370" s="3">
        <v>218.8</v>
      </c>
      <c r="E370" s="3">
        <v>650.1</v>
      </c>
      <c r="F370" s="3">
        <v>215.3</v>
      </c>
      <c r="G370" s="3">
        <v>10.0</v>
      </c>
      <c r="H370" s="3">
        <v>30.4</v>
      </c>
    </row>
    <row r="371" ht="15.75" customHeight="1">
      <c r="A371" s="3" t="s">
        <v>28</v>
      </c>
      <c r="B371" s="3">
        <v>2018.0</v>
      </c>
      <c r="C371" s="3" t="s">
        <v>14</v>
      </c>
      <c r="D371" s="3">
        <v>203.8</v>
      </c>
      <c r="E371" s="3">
        <v>608.0</v>
      </c>
      <c r="F371" s="3">
        <v>201.4</v>
      </c>
      <c r="G371" s="3">
        <v>8.0</v>
      </c>
      <c r="H371" s="3">
        <v>4.5</v>
      </c>
    </row>
    <row r="372" ht="15.75" customHeight="1">
      <c r="A372" s="3" t="s">
        <v>28</v>
      </c>
      <c r="B372" s="3">
        <v>2019.0</v>
      </c>
      <c r="C372" s="3" t="s">
        <v>9</v>
      </c>
      <c r="D372" s="3">
        <v>248.2</v>
      </c>
      <c r="E372" s="3">
        <v>555.7</v>
      </c>
      <c r="F372" s="3">
        <v>280.2</v>
      </c>
      <c r="G372" s="3">
        <v>11.0</v>
      </c>
      <c r="H372" s="3">
        <v>17.2</v>
      </c>
    </row>
    <row r="373" ht="15.75" customHeight="1">
      <c r="A373" s="3" t="s">
        <v>28</v>
      </c>
      <c r="B373" s="3">
        <v>2019.0</v>
      </c>
      <c r="C373" s="3" t="s">
        <v>10</v>
      </c>
      <c r="D373" s="3">
        <v>245.2</v>
      </c>
      <c r="E373" s="3">
        <v>605.5</v>
      </c>
      <c r="F373" s="3">
        <v>272.9</v>
      </c>
      <c r="G373" s="3">
        <v>6.0</v>
      </c>
      <c r="H373" s="3">
        <v>11.1</v>
      </c>
    </row>
    <row r="374" ht="15.75" customHeight="1">
      <c r="A374" s="3" t="s">
        <v>28</v>
      </c>
      <c r="B374" s="3">
        <v>2019.0</v>
      </c>
      <c r="C374" s="3" t="s">
        <v>11</v>
      </c>
      <c r="D374" s="3">
        <v>246.8</v>
      </c>
      <c r="E374" s="3">
        <v>505.8</v>
      </c>
      <c r="F374" s="3">
        <v>341.4</v>
      </c>
      <c r="G374" s="3">
        <v>6.0</v>
      </c>
      <c r="H374" s="3">
        <v>6.3</v>
      </c>
    </row>
    <row r="375" ht="15.75" customHeight="1">
      <c r="A375" s="3" t="s">
        <v>28</v>
      </c>
      <c r="B375" s="3">
        <v>2019.0</v>
      </c>
      <c r="C375" s="3" t="s">
        <v>13</v>
      </c>
      <c r="D375" s="3">
        <v>241.6</v>
      </c>
      <c r="E375" s="3">
        <v>677.2</v>
      </c>
      <c r="F375" s="3">
        <v>290.1</v>
      </c>
      <c r="G375" s="3">
        <v>8.0</v>
      </c>
      <c r="H375" s="3">
        <v>46.7</v>
      </c>
    </row>
    <row r="376" ht="15.75" customHeight="1">
      <c r="A376" s="3" t="s">
        <v>28</v>
      </c>
      <c r="B376" s="3">
        <v>2019.0</v>
      </c>
      <c r="C376" s="3" t="s">
        <v>14</v>
      </c>
      <c r="D376" s="3">
        <v>190.6</v>
      </c>
      <c r="E376" s="3">
        <v>537.1</v>
      </c>
      <c r="F376" s="3">
        <v>223.4</v>
      </c>
      <c r="G376" s="3">
        <v>8.0</v>
      </c>
      <c r="H376" s="3">
        <v>29.2</v>
      </c>
    </row>
    <row r="377" ht="15.75" customHeight="1">
      <c r="A377" s="3" t="s">
        <v>28</v>
      </c>
      <c r="B377" s="3">
        <v>2020.0</v>
      </c>
      <c r="C377" s="3" t="s">
        <v>9</v>
      </c>
      <c r="D377" s="3">
        <v>293.6</v>
      </c>
      <c r="E377" s="3">
        <v>732.1</v>
      </c>
      <c r="F377" s="3">
        <v>379.2</v>
      </c>
      <c r="G377" s="3">
        <v>5.0</v>
      </c>
      <c r="H377" s="3">
        <v>23.1</v>
      </c>
    </row>
    <row r="378" ht="15.75" customHeight="1">
      <c r="A378" s="3" t="s">
        <v>28</v>
      </c>
      <c r="B378" s="3">
        <v>2020.0</v>
      </c>
      <c r="C378" s="3" t="s">
        <v>10</v>
      </c>
      <c r="D378" s="3">
        <v>263.9</v>
      </c>
      <c r="E378" s="3">
        <v>720.4</v>
      </c>
      <c r="F378" s="3">
        <v>374.1</v>
      </c>
      <c r="G378" s="3">
        <v>7.0</v>
      </c>
      <c r="H378" s="3">
        <v>13.7</v>
      </c>
    </row>
    <row r="379" ht="15.75" customHeight="1">
      <c r="A379" s="3" t="s">
        <v>28</v>
      </c>
      <c r="B379" s="3">
        <v>2020.0</v>
      </c>
      <c r="C379" s="3" t="s">
        <v>11</v>
      </c>
      <c r="D379" s="3">
        <v>256.3</v>
      </c>
      <c r="E379" s="3">
        <v>591.9</v>
      </c>
      <c r="F379" s="3">
        <v>352.8</v>
      </c>
      <c r="G379" s="3">
        <v>9.0</v>
      </c>
      <c r="H379" s="3">
        <v>47.7</v>
      </c>
    </row>
    <row r="380" ht="15.75" customHeight="1">
      <c r="A380" s="3" t="s">
        <v>28</v>
      </c>
      <c r="B380" s="3">
        <v>2020.0</v>
      </c>
      <c r="C380" s="3" t="s">
        <v>13</v>
      </c>
      <c r="D380" s="3">
        <v>302.3</v>
      </c>
      <c r="E380" s="3">
        <v>812.3</v>
      </c>
      <c r="F380" s="3">
        <v>266.1</v>
      </c>
      <c r="G380" s="3">
        <v>4.0</v>
      </c>
      <c r="H380" s="3">
        <v>23.4</v>
      </c>
    </row>
    <row r="381" ht="15.75" customHeight="1">
      <c r="A381" s="3" t="s">
        <v>28</v>
      </c>
      <c r="B381" s="3">
        <v>2020.0</v>
      </c>
      <c r="C381" s="3" t="s">
        <v>14</v>
      </c>
      <c r="D381" s="3">
        <v>229.6</v>
      </c>
      <c r="E381" s="3">
        <v>596.0</v>
      </c>
      <c r="F381" s="3">
        <v>272.0</v>
      </c>
      <c r="G381" s="3">
        <v>3.0</v>
      </c>
      <c r="H381" s="3">
        <v>4.5</v>
      </c>
    </row>
    <row r="382" ht="15.75" customHeight="1">
      <c r="A382" s="3" t="s">
        <v>28</v>
      </c>
      <c r="B382" s="3">
        <v>2021.0</v>
      </c>
      <c r="C382" s="3" t="s">
        <v>9</v>
      </c>
      <c r="D382" s="3">
        <v>258.2</v>
      </c>
      <c r="E382" s="3">
        <v>683.3</v>
      </c>
      <c r="F382" s="3">
        <v>323.4</v>
      </c>
      <c r="G382" s="3">
        <v>5.0</v>
      </c>
      <c r="H382" s="3">
        <v>30.1</v>
      </c>
    </row>
    <row r="383" ht="15.75" customHeight="1">
      <c r="A383" s="3" t="s">
        <v>28</v>
      </c>
      <c r="B383" s="3">
        <v>2021.0</v>
      </c>
      <c r="C383" s="3" t="s">
        <v>10</v>
      </c>
      <c r="D383" s="3">
        <v>314.2</v>
      </c>
      <c r="E383" s="3">
        <v>786.1</v>
      </c>
      <c r="F383" s="3">
        <v>281.9</v>
      </c>
      <c r="G383" s="3">
        <v>12.0</v>
      </c>
      <c r="H383" s="3">
        <v>31.0</v>
      </c>
    </row>
    <row r="384" ht="15.75" customHeight="1">
      <c r="A384" s="3" t="s">
        <v>28</v>
      </c>
      <c r="B384" s="3">
        <v>2021.0</v>
      </c>
      <c r="C384" s="3" t="s">
        <v>11</v>
      </c>
      <c r="D384" s="3">
        <v>300.5</v>
      </c>
      <c r="E384" s="3">
        <v>823.8</v>
      </c>
      <c r="F384" s="3">
        <v>351.9</v>
      </c>
      <c r="G384" s="3">
        <v>6.0</v>
      </c>
      <c r="H384" s="3">
        <v>27.2</v>
      </c>
    </row>
    <row r="385" ht="15.75" customHeight="1">
      <c r="A385" s="3" t="s">
        <v>28</v>
      </c>
      <c r="B385" s="3">
        <v>2021.0</v>
      </c>
      <c r="C385" s="3" t="s">
        <v>13</v>
      </c>
      <c r="D385" s="3">
        <v>266.8</v>
      </c>
      <c r="E385" s="3">
        <v>752.2</v>
      </c>
      <c r="F385" s="3">
        <v>343.2</v>
      </c>
      <c r="G385" s="3">
        <v>5.0</v>
      </c>
      <c r="H385" s="3">
        <v>23.0</v>
      </c>
    </row>
    <row r="386" ht="15.75" customHeight="1">
      <c r="A386" s="3" t="s">
        <v>28</v>
      </c>
      <c r="B386" s="3">
        <v>2021.0</v>
      </c>
      <c r="C386" s="3" t="s">
        <v>14</v>
      </c>
      <c r="D386" s="3">
        <v>297.5</v>
      </c>
      <c r="E386" s="3">
        <v>631.7</v>
      </c>
      <c r="F386" s="3">
        <v>354.4</v>
      </c>
      <c r="G386" s="3">
        <v>11.0</v>
      </c>
      <c r="H386" s="3">
        <v>36.7</v>
      </c>
    </row>
    <row r="387" ht="15.75" customHeight="1">
      <c r="A387" s="3" t="s">
        <v>28</v>
      </c>
      <c r="B387" s="3">
        <v>2022.0</v>
      </c>
      <c r="C387" s="3" t="s">
        <v>9</v>
      </c>
      <c r="D387" s="3">
        <v>329.8</v>
      </c>
      <c r="E387" s="3">
        <v>938.4</v>
      </c>
      <c r="F387" s="3">
        <v>423.7</v>
      </c>
      <c r="G387" s="3">
        <v>5.0</v>
      </c>
      <c r="H387" s="3">
        <v>20.8</v>
      </c>
    </row>
    <row r="388" ht="15.75" customHeight="1">
      <c r="A388" s="3" t="s">
        <v>28</v>
      </c>
      <c r="B388" s="3">
        <v>2022.0</v>
      </c>
      <c r="C388" s="3" t="s">
        <v>10</v>
      </c>
      <c r="D388" s="3">
        <v>305.7</v>
      </c>
      <c r="E388" s="3">
        <v>852.5</v>
      </c>
      <c r="F388" s="3">
        <v>340.1</v>
      </c>
      <c r="G388" s="3">
        <v>5.0</v>
      </c>
      <c r="H388" s="3">
        <v>19.8</v>
      </c>
    </row>
    <row r="389" ht="15.75" customHeight="1">
      <c r="A389" s="3" t="s">
        <v>28</v>
      </c>
      <c r="B389" s="3">
        <v>2022.0</v>
      </c>
      <c r="C389" s="3" t="s">
        <v>11</v>
      </c>
      <c r="D389" s="3">
        <v>323.2</v>
      </c>
      <c r="E389" s="3">
        <v>923.5</v>
      </c>
      <c r="F389" s="3">
        <v>465.9</v>
      </c>
      <c r="G389" s="3">
        <v>10.0</v>
      </c>
      <c r="H389" s="3">
        <v>16.6</v>
      </c>
    </row>
    <row r="390" ht="15.75" customHeight="1">
      <c r="A390" s="3" t="s">
        <v>28</v>
      </c>
      <c r="B390" s="3">
        <v>2022.0</v>
      </c>
      <c r="C390" s="3" t="s">
        <v>13</v>
      </c>
      <c r="D390" s="3">
        <v>334.7</v>
      </c>
      <c r="E390" s="3">
        <v>845.3</v>
      </c>
      <c r="F390" s="3">
        <v>387.6</v>
      </c>
      <c r="G390" s="3">
        <v>8.0</v>
      </c>
      <c r="H390" s="3">
        <v>32.6</v>
      </c>
    </row>
    <row r="391" ht="15.75" customHeight="1">
      <c r="A391" s="3" t="s">
        <v>28</v>
      </c>
      <c r="B391" s="3">
        <v>2022.0</v>
      </c>
      <c r="C391" s="3" t="s">
        <v>14</v>
      </c>
      <c r="D391" s="3">
        <v>315.6</v>
      </c>
      <c r="E391" s="3">
        <v>912.2</v>
      </c>
      <c r="F391" s="3">
        <v>328.9</v>
      </c>
      <c r="G391" s="3">
        <v>7.0</v>
      </c>
      <c r="H391" s="3">
        <v>17.6</v>
      </c>
    </row>
    <row r="392" ht="15.75" customHeight="1">
      <c r="A392" s="3" t="s">
        <v>28</v>
      </c>
      <c r="B392" s="3">
        <v>2023.0</v>
      </c>
      <c r="C392" s="3" t="s">
        <v>9</v>
      </c>
      <c r="D392" s="3">
        <v>417.2</v>
      </c>
      <c r="E392" s="3">
        <v>1083.1</v>
      </c>
      <c r="F392" s="3">
        <v>363.3</v>
      </c>
      <c r="G392" s="3">
        <v>9.0</v>
      </c>
      <c r="H392" s="3">
        <v>27.0</v>
      </c>
    </row>
    <row r="393" ht="15.75" customHeight="1">
      <c r="A393" s="3" t="s">
        <v>28</v>
      </c>
      <c r="B393" s="3">
        <v>2023.0</v>
      </c>
      <c r="C393" s="3" t="s">
        <v>10</v>
      </c>
      <c r="D393" s="3">
        <v>352.1</v>
      </c>
      <c r="E393" s="3">
        <v>780.8</v>
      </c>
      <c r="F393" s="3">
        <v>525.1</v>
      </c>
      <c r="G393" s="3">
        <v>4.0</v>
      </c>
      <c r="H393" s="3">
        <v>6.2</v>
      </c>
    </row>
    <row r="394" ht="15.75" customHeight="1">
      <c r="A394" s="3" t="s">
        <v>28</v>
      </c>
      <c r="B394" s="3">
        <v>2023.0</v>
      </c>
      <c r="C394" s="3" t="s">
        <v>11</v>
      </c>
      <c r="D394" s="3">
        <v>354.8</v>
      </c>
      <c r="E394" s="3">
        <v>888.9</v>
      </c>
      <c r="F394" s="3">
        <v>523.2</v>
      </c>
      <c r="G394" s="3">
        <v>7.0</v>
      </c>
      <c r="H394" s="3">
        <v>5.9</v>
      </c>
    </row>
    <row r="395" ht="15.75" customHeight="1">
      <c r="A395" s="3" t="s">
        <v>28</v>
      </c>
      <c r="B395" s="3">
        <v>2023.0</v>
      </c>
      <c r="C395" s="3" t="s">
        <v>13</v>
      </c>
      <c r="D395" s="3">
        <v>364.6</v>
      </c>
      <c r="E395" s="3">
        <v>740.4</v>
      </c>
      <c r="F395" s="3">
        <v>390.7</v>
      </c>
      <c r="G395" s="3">
        <v>6.0</v>
      </c>
      <c r="H395" s="3">
        <v>2.1</v>
      </c>
    </row>
    <row r="396" ht="15.75" customHeight="1">
      <c r="A396" s="3" t="s">
        <v>28</v>
      </c>
      <c r="B396" s="3">
        <v>2023.0</v>
      </c>
      <c r="C396" s="3" t="s">
        <v>14</v>
      </c>
      <c r="D396" s="3">
        <v>376.8</v>
      </c>
      <c r="E396" s="3">
        <v>802.6</v>
      </c>
      <c r="F396" s="3">
        <v>521.8</v>
      </c>
      <c r="G396" s="3">
        <v>8.0</v>
      </c>
      <c r="H396" s="3">
        <v>47.8</v>
      </c>
    </row>
    <row r="397" ht="15.75" customHeight="1">
      <c r="A397" s="3" t="s">
        <v>28</v>
      </c>
      <c r="B397" s="3">
        <v>2024.0</v>
      </c>
      <c r="C397" s="3" t="s">
        <v>9</v>
      </c>
      <c r="D397" s="3">
        <v>348.6</v>
      </c>
      <c r="E397" s="3">
        <v>1007.0</v>
      </c>
      <c r="F397" s="3">
        <v>426.1</v>
      </c>
      <c r="G397" s="3">
        <v>12.0</v>
      </c>
      <c r="H397" s="3">
        <v>49.2</v>
      </c>
    </row>
    <row r="398" ht="15.75" customHeight="1">
      <c r="A398" s="3" t="s">
        <v>28</v>
      </c>
      <c r="B398" s="3">
        <v>2024.0</v>
      </c>
      <c r="C398" s="3" t="s">
        <v>10</v>
      </c>
      <c r="D398" s="3">
        <v>404.8</v>
      </c>
      <c r="E398" s="3">
        <v>965.6</v>
      </c>
      <c r="F398" s="3">
        <v>420.3</v>
      </c>
      <c r="G398" s="3">
        <v>8.0</v>
      </c>
      <c r="H398" s="3">
        <v>49.0</v>
      </c>
    </row>
    <row r="399" ht="15.75" customHeight="1">
      <c r="A399" s="3" t="s">
        <v>28</v>
      </c>
      <c r="B399" s="3">
        <v>2024.0</v>
      </c>
      <c r="C399" s="3" t="s">
        <v>11</v>
      </c>
      <c r="D399" s="3">
        <v>411.4</v>
      </c>
      <c r="E399" s="3">
        <v>1041.9</v>
      </c>
      <c r="F399" s="3">
        <v>377.6</v>
      </c>
      <c r="G399" s="3">
        <v>9.0</v>
      </c>
      <c r="H399" s="3">
        <v>41.8</v>
      </c>
    </row>
    <row r="400" ht="15.75" customHeight="1">
      <c r="A400" s="3" t="s">
        <v>28</v>
      </c>
      <c r="B400" s="3">
        <v>2024.0</v>
      </c>
      <c r="C400" s="3" t="s">
        <v>13</v>
      </c>
      <c r="D400" s="3">
        <v>431.9</v>
      </c>
      <c r="E400" s="3">
        <v>1169.9</v>
      </c>
      <c r="F400" s="3">
        <v>399.1</v>
      </c>
      <c r="G400" s="3">
        <v>9.0</v>
      </c>
      <c r="H400" s="3">
        <v>17.8</v>
      </c>
    </row>
    <row r="401" ht="15.75" customHeight="1">
      <c r="A401" s="3" t="s">
        <v>28</v>
      </c>
      <c r="B401" s="3">
        <v>2024.0</v>
      </c>
      <c r="C401" s="3" t="s">
        <v>14</v>
      </c>
      <c r="D401" s="3">
        <v>421.7</v>
      </c>
      <c r="E401" s="3">
        <v>1056.0</v>
      </c>
      <c r="F401" s="3">
        <v>423.8</v>
      </c>
      <c r="G401" s="3">
        <v>6.0</v>
      </c>
      <c r="H401" s="3">
        <v>9.1</v>
      </c>
    </row>
    <row r="402" ht="15.75" customHeight="1">
      <c r="A402" s="3" t="s">
        <v>29</v>
      </c>
      <c r="B402" s="3">
        <v>2015.0</v>
      </c>
      <c r="C402" s="3" t="s">
        <v>9</v>
      </c>
      <c r="D402" s="3">
        <v>136.8</v>
      </c>
      <c r="E402" s="3">
        <v>359.4</v>
      </c>
      <c r="F402" s="3">
        <v>156.3</v>
      </c>
      <c r="G402" s="3">
        <v>4.0</v>
      </c>
      <c r="H402" s="3">
        <v>39.3</v>
      </c>
    </row>
    <row r="403" ht="15.75" customHeight="1">
      <c r="A403" s="3" t="s">
        <v>29</v>
      </c>
      <c r="B403" s="3">
        <v>2015.0</v>
      </c>
      <c r="C403" s="3" t="s">
        <v>10</v>
      </c>
      <c r="D403" s="3">
        <v>69.8</v>
      </c>
      <c r="E403" s="3">
        <v>182.8</v>
      </c>
      <c r="F403" s="3">
        <v>65.6</v>
      </c>
      <c r="G403" s="3">
        <v>5.0</v>
      </c>
      <c r="H403" s="3">
        <v>8.3</v>
      </c>
    </row>
    <row r="404" ht="15.75" customHeight="1">
      <c r="A404" s="3" t="s">
        <v>29</v>
      </c>
      <c r="B404" s="3">
        <v>2015.0</v>
      </c>
      <c r="C404" s="3" t="s">
        <v>11</v>
      </c>
      <c r="D404" s="3">
        <v>163.3</v>
      </c>
      <c r="E404" s="3">
        <v>363.9</v>
      </c>
      <c r="F404" s="3">
        <v>240.9</v>
      </c>
      <c r="G404" s="3">
        <v>6.0</v>
      </c>
      <c r="H404" s="3">
        <v>30.4</v>
      </c>
    </row>
    <row r="405" ht="15.75" customHeight="1">
      <c r="A405" s="3" t="s">
        <v>29</v>
      </c>
      <c r="B405" s="3">
        <v>2015.0</v>
      </c>
      <c r="C405" s="3" t="s">
        <v>13</v>
      </c>
      <c r="D405" s="3">
        <v>87.9</v>
      </c>
      <c r="E405" s="3">
        <v>222.7</v>
      </c>
      <c r="F405" s="3">
        <v>123.9</v>
      </c>
      <c r="G405" s="3">
        <v>5.0</v>
      </c>
      <c r="H405" s="3">
        <v>37.5</v>
      </c>
    </row>
    <row r="406" ht="15.75" customHeight="1">
      <c r="A406" s="3" t="s">
        <v>29</v>
      </c>
      <c r="B406" s="3">
        <v>2015.0</v>
      </c>
      <c r="C406" s="3" t="s">
        <v>14</v>
      </c>
      <c r="D406" s="3">
        <v>64.0</v>
      </c>
      <c r="E406" s="3">
        <v>184.2</v>
      </c>
      <c r="F406" s="3">
        <v>93.5</v>
      </c>
      <c r="G406" s="3">
        <v>1.0</v>
      </c>
      <c r="H406" s="3">
        <v>47.5</v>
      </c>
    </row>
    <row r="407" ht="15.75" customHeight="1">
      <c r="A407" s="3" t="s">
        <v>29</v>
      </c>
      <c r="B407" s="3">
        <v>2016.0</v>
      </c>
      <c r="C407" s="3" t="s">
        <v>9</v>
      </c>
      <c r="D407" s="3">
        <v>161.2</v>
      </c>
      <c r="E407" s="3">
        <v>480.5</v>
      </c>
      <c r="F407" s="3">
        <v>183.5</v>
      </c>
      <c r="G407" s="3">
        <v>7.0</v>
      </c>
      <c r="H407" s="3">
        <v>29.8</v>
      </c>
    </row>
    <row r="408" ht="15.75" customHeight="1">
      <c r="A408" s="3" t="s">
        <v>29</v>
      </c>
      <c r="B408" s="3">
        <v>2016.0</v>
      </c>
      <c r="C408" s="3" t="s">
        <v>10</v>
      </c>
      <c r="D408" s="3">
        <v>87.6</v>
      </c>
      <c r="E408" s="3">
        <v>228.1</v>
      </c>
      <c r="F408" s="3">
        <v>126.4</v>
      </c>
      <c r="G408" s="3">
        <v>3.0</v>
      </c>
      <c r="H408" s="3">
        <v>29.3</v>
      </c>
    </row>
    <row r="409" ht="15.75" customHeight="1">
      <c r="A409" s="3" t="s">
        <v>29</v>
      </c>
      <c r="B409" s="3">
        <v>2016.0</v>
      </c>
      <c r="C409" s="3" t="s">
        <v>11</v>
      </c>
      <c r="D409" s="3">
        <v>218.1</v>
      </c>
      <c r="E409" s="3">
        <v>631.3</v>
      </c>
      <c r="F409" s="3">
        <v>244.1</v>
      </c>
      <c r="G409" s="3">
        <v>5.0</v>
      </c>
      <c r="H409" s="3">
        <v>30.5</v>
      </c>
    </row>
    <row r="410" ht="15.75" customHeight="1">
      <c r="A410" s="3" t="s">
        <v>29</v>
      </c>
      <c r="B410" s="3">
        <v>2016.0</v>
      </c>
      <c r="C410" s="3" t="s">
        <v>13</v>
      </c>
      <c r="D410" s="3">
        <v>109.8</v>
      </c>
      <c r="E410" s="3">
        <v>329.0</v>
      </c>
      <c r="F410" s="3">
        <v>92.4</v>
      </c>
      <c r="G410" s="3">
        <v>2.0</v>
      </c>
      <c r="H410" s="3">
        <v>32.4</v>
      </c>
    </row>
    <row r="411" ht="15.75" customHeight="1">
      <c r="A411" s="3" t="s">
        <v>29</v>
      </c>
      <c r="B411" s="3">
        <v>2016.0</v>
      </c>
      <c r="C411" s="3" t="s">
        <v>14</v>
      </c>
      <c r="D411" s="3">
        <v>169.7</v>
      </c>
      <c r="E411" s="3">
        <v>392.4</v>
      </c>
      <c r="F411" s="3">
        <v>166.2</v>
      </c>
      <c r="G411" s="3">
        <v>6.0</v>
      </c>
      <c r="H411" s="3">
        <v>26.0</v>
      </c>
    </row>
    <row r="412" ht="15.75" customHeight="1">
      <c r="A412" s="3" t="s">
        <v>29</v>
      </c>
      <c r="B412" s="3">
        <v>2017.0</v>
      </c>
      <c r="C412" s="3" t="s">
        <v>9</v>
      </c>
      <c r="D412" s="3">
        <v>258.7</v>
      </c>
      <c r="E412" s="3">
        <v>704.4</v>
      </c>
      <c r="F412" s="3">
        <v>332.4</v>
      </c>
      <c r="G412" s="3">
        <v>7.0</v>
      </c>
      <c r="H412" s="3">
        <v>18.6</v>
      </c>
    </row>
    <row r="413" ht="15.75" customHeight="1">
      <c r="A413" s="3" t="s">
        <v>29</v>
      </c>
      <c r="B413" s="3">
        <v>2017.0</v>
      </c>
      <c r="C413" s="3" t="s">
        <v>10</v>
      </c>
      <c r="D413" s="3">
        <v>197.8</v>
      </c>
      <c r="E413" s="3">
        <v>461.4</v>
      </c>
      <c r="F413" s="3">
        <v>259.7</v>
      </c>
      <c r="G413" s="3">
        <v>10.0</v>
      </c>
      <c r="H413" s="3">
        <v>39.9</v>
      </c>
    </row>
    <row r="414" ht="15.75" customHeight="1">
      <c r="A414" s="3" t="s">
        <v>29</v>
      </c>
      <c r="B414" s="3">
        <v>2017.0</v>
      </c>
      <c r="C414" s="3" t="s">
        <v>11</v>
      </c>
      <c r="D414" s="3">
        <v>157.9</v>
      </c>
      <c r="E414" s="3">
        <v>318.1</v>
      </c>
      <c r="F414" s="3">
        <v>207.9</v>
      </c>
      <c r="G414" s="3">
        <v>10.0</v>
      </c>
      <c r="H414" s="3">
        <v>32.0</v>
      </c>
    </row>
    <row r="415" ht="15.75" customHeight="1">
      <c r="A415" s="3" t="s">
        <v>29</v>
      </c>
      <c r="B415" s="3">
        <v>2017.0</v>
      </c>
      <c r="C415" s="3" t="s">
        <v>13</v>
      </c>
      <c r="D415" s="3">
        <v>179.7</v>
      </c>
      <c r="E415" s="3">
        <v>385.1</v>
      </c>
      <c r="F415" s="3">
        <v>238.5</v>
      </c>
      <c r="G415" s="3">
        <v>6.0</v>
      </c>
      <c r="H415" s="3">
        <v>41.3</v>
      </c>
    </row>
    <row r="416" ht="15.75" customHeight="1">
      <c r="A416" s="3" t="s">
        <v>29</v>
      </c>
      <c r="B416" s="3">
        <v>2017.0</v>
      </c>
      <c r="C416" s="3" t="s">
        <v>14</v>
      </c>
      <c r="D416" s="3">
        <v>150.5</v>
      </c>
      <c r="E416" s="3">
        <v>314.4</v>
      </c>
      <c r="F416" s="3">
        <v>171.8</v>
      </c>
      <c r="G416" s="3">
        <v>5.0</v>
      </c>
      <c r="H416" s="3">
        <v>20.9</v>
      </c>
    </row>
    <row r="417" ht="15.75" customHeight="1">
      <c r="A417" s="3" t="s">
        <v>29</v>
      </c>
      <c r="B417" s="3">
        <v>2018.0</v>
      </c>
      <c r="C417" s="3" t="s">
        <v>9</v>
      </c>
      <c r="D417" s="3">
        <v>204.1</v>
      </c>
      <c r="E417" s="3">
        <v>537.2</v>
      </c>
      <c r="F417" s="3">
        <v>245.7</v>
      </c>
      <c r="G417" s="3">
        <v>4.0</v>
      </c>
      <c r="H417" s="3">
        <v>1.3</v>
      </c>
    </row>
    <row r="418" ht="15.75" customHeight="1">
      <c r="A418" s="3" t="s">
        <v>29</v>
      </c>
      <c r="B418" s="3">
        <v>2018.0</v>
      </c>
      <c r="C418" s="3" t="s">
        <v>10</v>
      </c>
      <c r="D418" s="3">
        <v>163.5</v>
      </c>
      <c r="E418" s="3">
        <v>464.7</v>
      </c>
      <c r="F418" s="3">
        <v>158.5</v>
      </c>
      <c r="G418" s="3">
        <v>7.0</v>
      </c>
      <c r="H418" s="3">
        <v>3.5</v>
      </c>
    </row>
    <row r="419" ht="15.75" customHeight="1">
      <c r="A419" s="3" t="s">
        <v>29</v>
      </c>
      <c r="B419" s="3">
        <v>2018.0</v>
      </c>
      <c r="C419" s="3" t="s">
        <v>11</v>
      </c>
      <c r="D419" s="3">
        <v>245.1</v>
      </c>
      <c r="E419" s="3">
        <v>664.2</v>
      </c>
      <c r="F419" s="3">
        <v>310.5</v>
      </c>
      <c r="G419" s="3">
        <v>4.0</v>
      </c>
      <c r="H419" s="3">
        <v>14.8</v>
      </c>
    </row>
    <row r="420" ht="15.75" customHeight="1">
      <c r="A420" s="3" t="s">
        <v>29</v>
      </c>
      <c r="B420" s="3">
        <v>2018.0</v>
      </c>
      <c r="C420" s="3" t="s">
        <v>13</v>
      </c>
      <c r="D420" s="3">
        <v>153.3</v>
      </c>
      <c r="E420" s="3">
        <v>347.5</v>
      </c>
      <c r="F420" s="3">
        <v>125.0</v>
      </c>
      <c r="G420" s="3">
        <v>8.0</v>
      </c>
      <c r="H420" s="3">
        <v>24.3</v>
      </c>
    </row>
    <row r="421" ht="15.75" customHeight="1">
      <c r="A421" s="3" t="s">
        <v>29</v>
      </c>
      <c r="B421" s="3">
        <v>2018.0</v>
      </c>
      <c r="C421" s="3" t="s">
        <v>14</v>
      </c>
      <c r="D421" s="3">
        <v>219.9</v>
      </c>
      <c r="E421" s="3">
        <v>560.5</v>
      </c>
      <c r="F421" s="3">
        <v>209.6</v>
      </c>
      <c r="G421" s="3">
        <v>7.0</v>
      </c>
      <c r="H421" s="3">
        <v>11.5</v>
      </c>
    </row>
    <row r="422" ht="15.75" customHeight="1">
      <c r="A422" s="3" t="s">
        <v>29</v>
      </c>
      <c r="B422" s="3">
        <v>2019.0</v>
      </c>
      <c r="C422" s="3" t="s">
        <v>9</v>
      </c>
      <c r="D422" s="3">
        <v>192.4</v>
      </c>
      <c r="E422" s="3">
        <v>555.7</v>
      </c>
      <c r="F422" s="3">
        <v>221.6</v>
      </c>
      <c r="G422" s="3">
        <v>5.0</v>
      </c>
      <c r="H422" s="3">
        <v>31.6</v>
      </c>
    </row>
    <row r="423" ht="15.75" customHeight="1">
      <c r="A423" s="3" t="s">
        <v>29</v>
      </c>
      <c r="B423" s="3">
        <v>2019.0</v>
      </c>
      <c r="C423" s="3" t="s">
        <v>10</v>
      </c>
      <c r="D423" s="3">
        <v>261.1</v>
      </c>
      <c r="E423" s="3">
        <v>688.4</v>
      </c>
      <c r="F423" s="3">
        <v>305.0</v>
      </c>
      <c r="G423" s="3">
        <v>4.0</v>
      </c>
      <c r="H423" s="3">
        <v>36.0</v>
      </c>
    </row>
    <row r="424" ht="15.75" customHeight="1">
      <c r="A424" s="3" t="s">
        <v>29</v>
      </c>
      <c r="B424" s="3">
        <v>2019.0</v>
      </c>
      <c r="C424" s="3" t="s">
        <v>11</v>
      </c>
      <c r="D424" s="3">
        <v>259.1</v>
      </c>
      <c r="E424" s="3">
        <v>653.0</v>
      </c>
      <c r="F424" s="3">
        <v>233.2</v>
      </c>
      <c r="G424" s="3">
        <v>9.0</v>
      </c>
      <c r="H424" s="3">
        <v>36.3</v>
      </c>
    </row>
    <row r="425" ht="15.75" customHeight="1">
      <c r="A425" s="3" t="s">
        <v>29</v>
      </c>
      <c r="B425" s="3">
        <v>2019.0</v>
      </c>
      <c r="C425" s="3" t="s">
        <v>13</v>
      </c>
      <c r="D425" s="3">
        <v>252.1</v>
      </c>
      <c r="E425" s="3">
        <v>629.4</v>
      </c>
      <c r="F425" s="3">
        <v>251.8</v>
      </c>
      <c r="G425" s="3">
        <v>4.0</v>
      </c>
      <c r="H425" s="3">
        <v>41.4</v>
      </c>
    </row>
    <row r="426" ht="15.75" customHeight="1">
      <c r="A426" s="3" t="s">
        <v>29</v>
      </c>
      <c r="B426" s="3">
        <v>2019.0</v>
      </c>
      <c r="C426" s="3" t="s">
        <v>14</v>
      </c>
      <c r="D426" s="3">
        <v>229.2</v>
      </c>
      <c r="E426" s="3">
        <v>521.7</v>
      </c>
      <c r="F426" s="3">
        <v>296.8</v>
      </c>
      <c r="G426" s="3">
        <v>9.0</v>
      </c>
      <c r="H426" s="3">
        <v>29.6</v>
      </c>
    </row>
    <row r="427" ht="15.75" customHeight="1">
      <c r="A427" s="3" t="s">
        <v>29</v>
      </c>
      <c r="B427" s="3">
        <v>2020.0</v>
      </c>
      <c r="C427" s="3" t="s">
        <v>9</v>
      </c>
      <c r="D427" s="3">
        <v>237.5</v>
      </c>
      <c r="E427" s="3">
        <v>475.8</v>
      </c>
      <c r="F427" s="3">
        <v>231.0</v>
      </c>
      <c r="G427" s="3">
        <v>11.0</v>
      </c>
      <c r="H427" s="3">
        <v>5.1</v>
      </c>
    </row>
    <row r="428" ht="15.75" customHeight="1">
      <c r="A428" s="3" t="s">
        <v>29</v>
      </c>
      <c r="B428" s="3">
        <v>2020.0</v>
      </c>
      <c r="C428" s="3" t="s">
        <v>10</v>
      </c>
      <c r="D428" s="3">
        <v>248.8</v>
      </c>
      <c r="E428" s="3">
        <v>564.9</v>
      </c>
      <c r="F428" s="3">
        <v>345.8</v>
      </c>
      <c r="G428" s="3">
        <v>6.0</v>
      </c>
      <c r="H428" s="3">
        <v>39.7</v>
      </c>
    </row>
    <row r="429" ht="15.75" customHeight="1">
      <c r="A429" s="3" t="s">
        <v>29</v>
      </c>
      <c r="B429" s="3">
        <v>2020.0</v>
      </c>
      <c r="C429" s="3" t="s">
        <v>11</v>
      </c>
      <c r="D429" s="3">
        <v>220.7</v>
      </c>
      <c r="E429" s="3">
        <v>649.4</v>
      </c>
      <c r="F429" s="3">
        <v>241.8</v>
      </c>
      <c r="G429" s="3">
        <v>8.0</v>
      </c>
      <c r="H429" s="3">
        <v>19.5</v>
      </c>
    </row>
    <row r="430" ht="15.75" customHeight="1">
      <c r="A430" s="3" t="s">
        <v>29</v>
      </c>
      <c r="B430" s="3">
        <v>2020.0</v>
      </c>
      <c r="C430" s="3" t="s">
        <v>13</v>
      </c>
      <c r="D430" s="3">
        <v>288.0</v>
      </c>
      <c r="E430" s="3">
        <v>718.1</v>
      </c>
      <c r="F430" s="3">
        <v>308.5</v>
      </c>
      <c r="G430" s="3">
        <v>11.0</v>
      </c>
      <c r="H430" s="3">
        <v>35.5</v>
      </c>
    </row>
    <row r="431" ht="15.75" customHeight="1">
      <c r="A431" s="3" t="s">
        <v>29</v>
      </c>
      <c r="B431" s="3">
        <v>2020.0</v>
      </c>
      <c r="C431" s="3" t="s">
        <v>14</v>
      </c>
      <c r="D431" s="3">
        <v>221.5</v>
      </c>
      <c r="E431" s="3">
        <v>473.9</v>
      </c>
      <c r="F431" s="3">
        <v>216.6</v>
      </c>
      <c r="G431" s="3">
        <v>7.0</v>
      </c>
      <c r="H431" s="3">
        <v>48.3</v>
      </c>
    </row>
    <row r="432" ht="15.75" customHeight="1">
      <c r="A432" s="3" t="s">
        <v>29</v>
      </c>
      <c r="B432" s="3">
        <v>2021.0</v>
      </c>
      <c r="C432" s="3" t="s">
        <v>9</v>
      </c>
      <c r="D432" s="3">
        <v>272.7</v>
      </c>
      <c r="E432" s="3">
        <v>626.6</v>
      </c>
      <c r="F432" s="3">
        <v>238.2</v>
      </c>
      <c r="G432" s="3">
        <v>5.0</v>
      </c>
      <c r="H432" s="3">
        <v>32.1</v>
      </c>
    </row>
    <row r="433" ht="15.75" customHeight="1">
      <c r="A433" s="3" t="s">
        <v>29</v>
      </c>
      <c r="B433" s="3">
        <v>2021.0</v>
      </c>
      <c r="C433" s="3" t="s">
        <v>10</v>
      </c>
      <c r="D433" s="3">
        <v>301.9</v>
      </c>
      <c r="E433" s="3">
        <v>618.4</v>
      </c>
      <c r="F433" s="3">
        <v>317.6</v>
      </c>
      <c r="G433" s="3">
        <v>10.0</v>
      </c>
      <c r="H433" s="3">
        <v>25.5</v>
      </c>
    </row>
    <row r="434" ht="15.75" customHeight="1">
      <c r="A434" s="3" t="s">
        <v>29</v>
      </c>
      <c r="B434" s="3">
        <v>2021.0</v>
      </c>
      <c r="C434" s="3" t="s">
        <v>11</v>
      </c>
      <c r="D434" s="3">
        <v>270.1</v>
      </c>
      <c r="E434" s="3">
        <v>711.6</v>
      </c>
      <c r="F434" s="3">
        <v>361.8</v>
      </c>
      <c r="G434" s="3">
        <v>11.0</v>
      </c>
      <c r="H434" s="3">
        <v>3.6</v>
      </c>
    </row>
    <row r="435" ht="15.75" customHeight="1">
      <c r="A435" s="3" t="s">
        <v>29</v>
      </c>
      <c r="B435" s="3">
        <v>2021.0</v>
      </c>
      <c r="C435" s="3" t="s">
        <v>13</v>
      </c>
      <c r="D435" s="3">
        <v>270.2</v>
      </c>
      <c r="E435" s="3">
        <v>652.8</v>
      </c>
      <c r="F435" s="3">
        <v>371.6</v>
      </c>
      <c r="G435" s="3">
        <v>4.0</v>
      </c>
      <c r="H435" s="3">
        <v>11.4</v>
      </c>
    </row>
    <row r="436" ht="15.75" customHeight="1">
      <c r="A436" s="3" t="s">
        <v>29</v>
      </c>
      <c r="B436" s="3">
        <v>2021.0</v>
      </c>
      <c r="C436" s="3" t="s">
        <v>14</v>
      </c>
      <c r="D436" s="3">
        <v>328.2</v>
      </c>
      <c r="E436" s="3">
        <v>727.1</v>
      </c>
      <c r="F436" s="3">
        <v>418.2</v>
      </c>
      <c r="G436" s="3">
        <v>5.0</v>
      </c>
      <c r="H436" s="3">
        <v>20.3</v>
      </c>
    </row>
    <row r="437" ht="15.75" customHeight="1">
      <c r="A437" s="3" t="s">
        <v>29</v>
      </c>
      <c r="B437" s="3">
        <v>2022.0</v>
      </c>
      <c r="C437" s="3" t="s">
        <v>9</v>
      </c>
      <c r="D437" s="3">
        <v>294.7</v>
      </c>
      <c r="E437" s="3">
        <v>781.5</v>
      </c>
      <c r="F437" s="3">
        <v>388.2</v>
      </c>
      <c r="G437" s="3">
        <v>8.0</v>
      </c>
      <c r="H437" s="3">
        <v>32.6</v>
      </c>
    </row>
    <row r="438" ht="15.75" customHeight="1">
      <c r="A438" s="3" t="s">
        <v>29</v>
      </c>
      <c r="B438" s="3">
        <v>2022.0</v>
      </c>
      <c r="C438" s="3" t="s">
        <v>10</v>
      </c>
      <c r="D438" s="3">
        <v>299.7</v>
      </c>
      <c r="E438" s="3">
        <v>773.0</v>
      </c>
      <c r="F438" s="3">
        <v>257.7</v>
      </c>
      <c r="G438" s="3">
        <v>5.0</v>
      </c>
      <c r="H438" s="3">
        <v>33.7</v>
      </c>
    </row>
    <row r="439" ht="15.75" customHeight="1">
      <c r="A439" s="3" t="s">
        <v>29</v>
      </c>
      <c r="B439" s="3">
        <v>2022.0</v>
      </c>
      <c r="C439" s="3" t="s">
        <v>11</v>
      </c>
      <c r="D439" s="3">
        <v>396.9</v>
      </c>
      <c r="E439" s="3">
        <v>838.1</v>
      </c>
      <c r="F439" s="3">
        <v>460.9</v>
      </c>
      <c r="G439" s="3">
        <v>8.0</v>
      </c>
      <c r="H439" s="3">
        <v>34.7</v>
      </c>
    </row>
    <row r="440" ht="15.75" customHeight="1">
      <c r="A440" s="3" t="s">
        <v>29</v>
      </c>
      <c r="B440" s="3">
        <v>2022.0</v>
      </c>
      <c r="C440" s="3" t="s">
        <v>13</v>
      </c>
      <c r="D440" s="3">
        <v>256.2</v>
      </c>
      <c r="E440" s="3">
        <v>517.4</v>
      </c>
      <c r="F440" s="3">
        <v>227.3</v>
      </c>
      <c r="G440" s="3">
        <v>5.0</v>
      </c>
      <c r="H440" s="3">
        <v>25.2</v>
      </c>
    </row>
    <row r="441" ht="15.75" customHeight="1">
      <c r="A441" s="3" t="s">
        <v>29</v>
      </c>
      <c r="B441" s="3">
        <v>2022.0</v>
      </c>
      <c r="C441" s="3" t="s">
        <v>14</v>
      </c>
      <c r="D441" s="3">
        <v>272.0</v>
      </c>
      <c r="E441" s="3">
        <v>790.4</v>
      </c>
      <c r="F441" s="3">
        <v>268.4</v>
      </c>
      <c r="G441" s="3">
        <v>11.0</v>
      </c>
      <c r="H441" s="3">
        <v>48.2</v>
      </c>
    </row>
    <row r="442" ht="15.75" customHeight="1">
      <c r="A442" s="3" t="s">
        <v>29</v>
      </c>
      <c r="B442" s="3">
        <v>2023.0</v>
      </c>
      <c r="C442" s="3" t="s">
        <v>9</v>
      </c>
      <c r="D442" s="3">
        <v>421.4</v>
      </c>
      <c r="E442" s="3">
        <v>1034.4</v>
      </c>
      <c r="F442" s="3">
        <v>415.9</v>
      </c>
      <c r="G442" s="3">
        <v>5.0</v>
      </c>
      <c r="H442" s="3">
        <v>26.5</v>
      </c>
    </row>
    <row r="443" ht="15.75" customHeight="1">
      <c r="A443" s="3" t="s">
        <v>29</v>
      </c>
      <c r="B443" s="3">
        <v>2023.0</v>
      </c>
      <c r="C443" s="3" t="s">
        <v>10</v>
      </c>
      <c r="D443" s="3">
        <v>360.5</v>
      </c>
      <c r="E443" s="3">
        <v>1029.9</v>
      </c>
      <c r="F443" s="3">
        <v>433.6</v>
      </c>
      <c r="G443" s="3">
        <v>12.0</v>
      </c>
      <c r="H443" s="3">
        <v>6.9</v>
      </c>
    </row>
    <row r="444" ht="15.75" customHeight="1">
      <c r="A444" s="3" t="s">
        <v>29</v>
      </c>
      <c r="B444" s="3">
        <v>2023.0</v>
      </c>
      <c r="C444" s="3" t="s">
        <v>11</v>
      </c>
      <c r="D444" s="3">
        <v>268.4</v>
      </c>
      <c r="E444" s="3">
        <v>628.5</v>
      </c>
      <c r="F444" s="3">
        <v>353.5</v>
      </c>
      <c r="G444" s="3">
        <v>9.0</v>
      </c>
      <c r="H444" s="3">
        <v>18.1</v>
      </c>
    </row>
    <row r="445" ht="15.75" customHeight="1">
      <c r="A445" s="3" t="s">
        <v>29</v>
      </c>
      <c r="B445" s="3">
        <v>2023.0</v>
      </c>
      <c r="C445" s="3" t="s">
        <v>13</v>
      </c>
      <c r="D445" s="3">
        <v>309.2</v>
      </c>
      <c r="E445" s="3">
        <v>618.9</v>
      </c>
      <c r="F445" s="3">
        <v>312.3</v>
      </c>
      <c r="G445" s="3">
        <v>7.0</v>
      </c>
      <c r="H445" s="3">
        <v>27.9</v>
      </c>
    </row>
    <row r="446" ht="15.75" customHeight="1">
      <c r="A446" s="3" t="s">
        <v>29</v>
      </c>
      <c r="B446" s="3">
        <v>2023.0</v>
      </c>
      <c r="C446" s="3" t="s">
        <v>14</v>
      </c>
      <c r="D446" s="3">
        <v>390.1</v>
      </c>
      <c r="E446" s="3">
        <v>958.9</v>
      </c>
      <c r="F446" s="3">
        <v>420.8</v>
      </c>
      <c r="G446" s="3">
        <v>7.0</v>
      </c>
      <c r="H446" s="3">
        <v>45.1</v>
      </c>
    </row>
    <row r="447" ht="15.75" customHeight="1">
      <c r="A447" s="3" t="s">
        <v>29</v>
      </c>
      <c r="B447" s="3">
        <v>2024.0</v>
      </c>
      <c r="C447" s="3" t="s">
        <v>9</v>
      </c>
      <c r="D447" s="3">
        <v>398.3</v>
      </c>
      <c r="E447" s="3">
        <v>887.5</v>
      </c>
      <c r="F447" s="3">
        <v>387.4</v>
      </c>
      <c r="G447" s="3">
        <v>10.0</v>
      </c>
      <c r="H447" s="3">
        <v>33.9</v>
      </c>
    </row>
    <row r="448" ht="15.75" customHeight="1">
      <c r="A448" s="3" t="s">
        <v>29</v>
      </c>
      <c r="B448" s="3">
        <v>2024.0</v>
      </c>
      <c r="C448" s="3" t="s">
        <v>10</v>
      </c>
      <c r="D448" s="3">
        <v>369.1</v>
      </c>
      <c r="E448" s="3">
        <v>766.1</v>
      </c>
      <c r="F448" s="3">
        <v>389.8</v>
      </c>
      <c r="G448" s="3">
        <v>10.0</v>
      </c>
      <c r="H448" s="3">
        <v>7.9</v>
      </c>
    </row>
    <row r="449" ht="15.75" customHeight="1">
      <c r="A449" s="3" t="s">
        <v>29</v>
      </c>
      <c r="B449" s="3">
        <v>2024.0</v>
      </c>
      <c r="C449" s="3" t="s">
        <v>11</v>
      </c>
      <c r="D449" s="3">
        <v>376.5</v>
      </c>
      <c r="E449" s="3">
        <v>1072.1</v>
      </c>
      <c r="F449" s="3">
        <v>384.3</v>
      </c>
      <c r="G449" s="3">
        <v>6.0</v>
      </c>
      <c r="H449" s="3">
        <v>8.2</v>
      </c>
    </row>
    <row r="450" ht="15.75" customHeight="1">
      <c r="A450" s="3" t="s">
        <v>29</v>
      </c>
      <c r="B450" s="3">
        <v>2024.0</v>
      </c>
      <c r="C450" s="3" t="s">
        <v>13</v>
      </c>
      <c r="D450" s="3">
        <v>429.1</v>
      </c>
      <c r="E450" s="3">
        <v>928.5</v>
      </c>
      <c r="F450" s="3">
        <v>536.4</v>
      </c>
      <c r="G450" s="3">
        <v>5.0</v>
      </c>
      <c r="H450" s="3">
        <v>17.9</v>
      </c>
    </row>
    <row r="451" ht="15.75" customHeight="1">
      <c r="A451" s="3" t="s">
        <v>29</v>
      </c>
      <c r="B451" s="3">
        <v>2024.0</v>
      </c>
      <c r="C451" s="3" t="s">
        <v>14</v>
      </c>
      <c r="D451" s="3">
        <v>416.1</v>
      </c>
      <c r="E451" s="3">
        <v>941.5</v>
      </c>
      <c r="F451" s="3">
        <v>526.7</v>
      </c>
      <c r="G451" s="3">
        <v>13.0</v>
      </c>
      <c r="H451" s="3">
        <v>44.6</v>
      </c>
    </row>
    <row r="452" ht="15.75" customHeight="1">
      <c r="A452" s="3" t="s">
        <v>30</v>
      </c>
      <c r="B452" s="3">
        <v>2015.0</v>
      </c>
      <c r="C452" s="3" t="s">
        <v>9</v>
      </c>
      <c r="D452" s="3">
        <v>92.3</v>
      </c>
      <c r="E452" s="3">
        <v>273.1</v>
      </c>
      <c r="F452" s="3">
        <v>108.1</v>
      </c>
      <c r="G452" s="3">
        <v>5.0</v>
      </c>
      <c r="H452" s="3">
        <v>48.2</v>
      </c>
    </row>
    <row r="453" ht="15.75" customHeight="1">
      <c r="A453" s="3" t="s">
        <v>30</v>
      </c>
      <c r="B453" s="3">
        <v>2015.0</v>
      </c>
      <c r="C453" s="3" t="s">
        <v>10</v>
      </c>
      <c r="D453" s="3">
        <v>80.3</v>
      </c>
      <c r="E453" s="3">
        <v>182.7</v>
      </c>
      <c r="F453" s="3">
        <v>109.6</v>
      </c>
      <c r="G453" s="3">
        <v>2.0</v>
      </c>
      <c r="H453" s="3">
        <v>27.8</v>
      </c>
    </row>
    <row r="454" ht="15.75" customHeight="1">
      <c r="A454" s="3" t="s">
        <v>30</v>
      </c>
      <c r="B454" s="3">
        <v>2015.0</v>
      </c>
      <c r="C454" s="3" t="s">
        <v>11</v>
      </c>
      <c r="D454" s="3">
        <v>108.1</v>
      </c>
      <c r="E454" s="3">
        <v>234.1</v>
      </c>
      <c r="F454" s="3">
        <v>120.2</v>
      </c>
      <c r="G454" s="3">
        <v>2.0</v>
      </c>
      <c r="H454" s="3">
        <v>7.7</v>
      </c>
    </row>
    <row r="455" ht="15.75" customHeight="1">
      <c r="A455" s="3" t="s">
        <v>30</v>
      </c>
      <c r="B455" s="3">
        <v>2015.0</v>
      </c>
      <c r="C455" s="3" t="s">
        <v>13</v>
      </c>
      <c r="D455" s="3">
        <v>126.5</v>
      </c>
      <c r="E455" s="3">
        <v>361.0</v>
      </c>
      <c r="F455" s="3">
        <v>122.6</v>
      </c>
      <c r="G455" s="3">
        <v>7.0</v>
      </c>
      <c r="H455" s="3">
        <v>6.3</v>
      </c>
    </row>
    <row r="456" ht="15.75" customHeight="1">
      <c r="A456" s="3" t="s">
        <v>30</v>
      </c>
      <c r="B456" s="3">
        <v>2015.0</v>
      </c>
      <c r="C456" s="3" t="s">
        <v>14</v>
      </c>
      <c r="D456" s="3">
        <v>99.1</v>
      </c>
      <c r="E456" s="3">
        <v>241.4</v>
      </c>
      <c r="F456" s="3">
        <v>120.4</v>
      </c>
      <c r="G456" s="3">
        <v>7.0</v>
      </c>
      <c r="H456" s="3">
        <v>11.5</v>
      </c>
    </row>
    <row r="457" ht="15.75" customHeight="1">
      <c r="A457" s="3" t="s">
        <v>30</v>
      </c>
      <c r="B457" s="3">
        <v>2016.0</v>
      </c>
      <c r="C457" s="3" t="s">
        <v>9</v>
      </c>
      <c r="D457" s="3">
        <v>148.9</v>
      </c>
      <c r="E457" s="3">
        <v>299.8</v>
      </c>
      <c r="F457" s="3">
        <v>205.5</v>
      </c>
      <c r="G457" s="3">
        <v>3.0</v>
      </c>
      <c r="H457" s="3">
        <v>35.2</v>
      </c>
    </row>
    <row r="458" ht="15.75" customHeight="1">
      <c r="A458" s="3" t="s">
        <v>30</v>
      </c>
      <c r="B458" s="3">
        <v>2016.0</v>
      </c>
      <c r="C458" s="3" t="s">
        <v>10</v>
      </c>
      <c r="D458" s="3">
        <v>164.8</v>
      </c>
      <c r="E458" s="3">
        <v>454.3</v>
      </c>
      <c r="F458" s="3">
        <v>150.5</v>
      </c>
      <c r="G458" s="3">
        <v>9.0</v>
      </c>
      <c r="H458" s="3">
        <v>38.9</v>
      </c>
    </row>
    <row r="459" ht="15.75" customHeight="1">
      <c r="A459" s="3" t="s">
        <v>30</v>
      </c>
      <c r="B459" s="3">
        <v>2016.0</v>
      </c>
      <c r="C459" s="3" t="s">
        <v>11</v>
      </c>
      <c r="D459" s="3">
        <v>174.6</v>
      </c>
      <c r="E459" s="3">
        <v>429.1</v>
      </c>
      <c r="F459" s="3">
        <v>235.1</v>
      </c>
      <c r="G459" s="3">
        <v>5.0</v>
      </c>
      <c r="H459" s="3">
        <v>28.7</v>
      </c>
    </row>
    <row r="460" ht="15.75" customHeight="1">
      <c r="A460" s="3" t="s">
        <v>30</v>
      </c>
      <c r="B460" s="3">
        <v>2016.0</v>
      </c>
      <c r="C460" s="3" t="s">
        <v>13</v>
      </c>
      <c r="D460" s="3">
        <v>171.6</v>
      </c>
      <c r="E460" s="3">
        <v>382.3</v>
      </c>
      <c r="F460" s="3">
        <v>213.4</v>
      </c>
      <c r="G460" s="3">
        <v>9.0</v>
      </c>
      <c r="H460" s="3">
        <v>40.6</v>
      </c>
    </row>
    <row r="461" ht="15.75" customHeight="1">
      <c r="A461" s="3" t="s">
        <v>30</v>
      </c>
      <c r="B461" s="3">
        <v>2016.0</v>
      </c>
      <c r="C461" s="3" t="s">
        <v>14</v>
      </c>
      <c r="D461" s="3">
        <v>168.8</v>
      </c>
      <c r="E461" s="3">
        <v>424.4</v>
      </c>
      <c r="F461" s="3">
        <v>230.5</v>
      </c>
      <c r="G461" s="3">
        <v>7.0</v>
      </c>
      <c r="H461" s="3">
        <v>22.0</v>
      </c>
    </row>
    <row r="462" ht="15.75" customHeight="1">
      <c r="A462" s="3" t="s">
        <v>30</v>
      </c>
      <c r="B462" s="3">
        <v>2017.0</v>
      </c>
      <c r="C462" s="3" t="s">
        <v>9</v>
      </c>
      <c r="D462" s="3">
        <v>310.9</v>
      </c>
      <c r="E462" s="3">
        <v>771.5</v>
      </c>
      <c r="F462" s="3">
        <v>387.0</v>
      </c>
      <c r="G462" s="3">
        <v>7.0</v>
      </c>
      <c r="H462" s="3">
        <v>38.0</v>
      </c>
    </row>
    <row r="463" ht="15.75" customHeight="1">
      <c r="A463" s="3" t="s">
        <v>30</v>
      </c>
      <c r="B463" s="3">
        <v>2017.0</v>
      </c>
      <c r="C463" s="3" t="s">
        <v>10</v>
      </c>
      <c r="D463" s="3">
        <v>130.1</v>
      </c>
      <c r="E463" s="3">
        <v>267.7</v>
      </c>
      <c r="F463" s="3">
        <v>144.5</v>
      </c>
      <c r="G463" s="3">
        <v>2.0</v>
      </c>
      <c r="H463" s="3">
        <v>39.6</v>
      </c>
    </row>
    <row r="464" ht="15.75" customHeight="1">
      <c r="A464" s="3" t="s">
        <v>30</v>
      </c>
      <c r="B464" s="3">
        <v>2017.0</v>
      </c>
      <c r="C464" s="3" t="s">
        <v>11</v>
      </c>
      <c r="D464" s="3">
        <v>233.4</v>
      </c>
      <c r="E464" s="3">
        <v>522.8</v>
      </c>
      <c r="F464" s="3">
        <v>218.0</v>
      </c>
      <c r="G464" s="3">
        <v>6.0</v>
      </c>
      <c r="H464" s="3">
        <v>6.0</v>
      </c>
    </row>
    <row r="465" ht="15.75" customHeight="1">
      <c r="A465" s="3" t="s">
        <v>30</v>
      </c>
      <c r="B465" s="3">
        <v>2017.0</v>
      </c>
      <c r="C465" s="3" t="s">
        <v>13</v>
      </c>
      <c r="D465" s="3">
        <v>111.7</v>
      </c>
      <c r="E465" s="3">
        <v>317.1</v>
      </c>
      <c r="F465" s="3">
        <v>148.1</v>
      </c>
      <c r="G465" s="3">
        <v>6.0</v>
      </c>
      <c r="H465" s="3">
        <v>2.8</v>
      </c>
    </row>
    <row r="466" ht="15.75" customHeight="1">
      <c r="A466" s="3" t="s">
        <v>30</v>
      </c>
      <c r="B466" s="3">
        <v>2017.0</v>
      </c>
      <c r="C466" s="3" t="s">
        <v>14</v>
      </c>
      <c r="D466" s="3">
        <v>169.2</v>
      </c>
      <c r="E466" s="3">
        <v>376.5</v>
      </c>
      <c r="F466" s="3">
        <v>186.5</v>
      </c>
      <c r="G466" s="3">
        <v>9.0</v>
      </c>
      <c r="H466" s="3">
        <v>29.4</v>
      </c>
    </row>
    <row r="467" ht="15.75" customHeight="1">
      <c r="A467" s="3" t="s">
        <v>30</v>
      </c>
      <c r="B467" s="3">
        <v>2018.0</v>
      </c>
      <c r="C467" s="3" t="s">
        <v>9</v>
      </c>
      <c r="D467" s="3">
        <v>169.1</v>
      </c>
      <c r="E467" s="3">
        <v>480.0</v>
      </c>
      <c r="F467" s="3">
        <v>152.3</v>
      </c>
      <c r="G467" s="3">
        <v>8.0</v>
      </c>
      <c r="H467" s="3">
        <v>44.8</v>
      </c>
    </row>
    <row r="468" ht="15.75" customHeight="1">
      <c r="A468" s="3" t="s">
        <v>30</v>
      </c>
      <c r="B468" s="3">
        <v>2018.0</v>
      </c>
      <c r="C468" s="3" t="s">
        <v>10</v>
      </c>
      <c r="D468" s="3">
        <v>189.3</v>
      </c>
      <c r="E468" s="3">
        <v>526.4</v>
      </c>
      <c r="F468" s="3">
        <v>214.6</v>
      </c>
      <c r="G468" s="3">
        <v>3.0</v>
      </c>
      <c r="H468" s="3">
        <v>11.0</v>
      </c>
    </row>
    <row r="469" ht="15.75" customHeight="1">
      <c r="A469" s="3" t="s">
        <v>30</v>
      </c>
      <c r="B469" s="3">
        <v>2018.0</v>
      </c>
      <c r="C469" s="3" t="s">
        <v>11</v>
      </c>
      <c r="D469" s="3">
        <v>204.6</v>
      </c>
      <c r="E469" s="3">
        <v>447.4</v>
      </c>
      <c r="F469" s="3">
        <v>211.2</v>
      </c>
      <c r="G469" s="3">
        <v>9.0</v>
      </c>
      <c r="H469" s="3">
        <v>2.6</v>
      </c>
    </row>
    <row r="470" ht="15.75" customHeight="1">
      <c r="A470" s="3" t="s">
        <v>30</v>
      </c>
      <c r="B470" s="3">
        <v>2018.0</v>
      </c>
      <c r="C470" s="3" t="s">
        <v>13</v>
      </c>
      <c r="D470" s="3">
        <v>257.3</v>
      </c>
      <c r="E470" s="3">
        <v>633.0</v>
      </c>
      <c r="F470" s="3">
        <v>223.0</v>
      </c>
      <c r="G470" s="3">
        <v>10.0</v>
      </c>
      <c r="H470" s="3">
        <v>3.3</v>
      </c>
    </row>
    <row r="471" ht="15.75" customHeight="1">
      <c r="A471" s="3" t="s">
        <v>30</v>
      </c>
      <c r="B471" s="3">
        <v>2018.0</v>
      </c>
      <c r="C471" s="3" t="s">
        <v>14</v>
      </c>
      <c r="D471" s="3">
        <v>194.0</v>
      </c>
      <c r="E471" s="3">
        <v>522.7</v>
      </c>
      <c r="F471" s="3">
        <v>260.0</v>
      </c>
      <c r="G471" s="3">
        <v>5.0</v>
      </c>
      <c r="H471" s="3">
        <v>8.4</v>
      </c>
    </row>
    <row r="472" ht="15.75" customHeight="1">
      <c r="A472" s="3" t="s">
        <v>30</v>
      </c>
      <c r="B472" s="3">
        <v>2019.0</v>
      </c>
      <c r="C472" s="3" t="s">
        <v>9</v>
      </c>
      <c r="D472" s="3">
        <v>237.9</v>
      </c>
      <c r="E472" s="3">
        <v>544.7</v>
      </c>
      <c r="F472" s="3">
        <v>345.3</v>
      </c>
      <c r="G472" s="3">
        <v>7.0</v>
      </c>
      <c r="H472" s="3">
        <v>38.5</v>
      </c>
    </row>
    <row r="473" ht="15.75" customHeight="1">
      <c r="A473" s="3" t="s">
        <v>30</v>
      </c>
      <c r="B473" s="3">
        <v>2019.0</v>
      </c>
      <c r="C473" s="3" t="s">
        <v>10</v>
      </c>
      <c r="D473" s="3">
        <v>254.5</v>
      </c>
      <c r="E473" s="3">
        <v>659.4</v>
      </c>
      <c r="F473" s="3">
        <v>214.6</v>
      </c>
      <c r="G473" s="3">
        <v>8.0</v>
      </c>
      <c r="H473" s="3">
        <v>3.7</v>
      </c>
    </row>
    <row r="474" ht="15.75" customHeight="1">
      <c r="A474" s="3" t="s">
        <v>30</v>
      </c>
      <c r="B474" s="3">
        <v>2019.0</v>
      </c>
      <c r="C474" s="3" t="s">
        <v>11</v>
      </c>
      <c r="D474" s="3">
        <v>191.5</v>
      </c>
      <c r="E474" s="3">
        <v>385.0</v>
      </c>
      <c r="F474" s="3">
        <v>211.9</v>
      </c>
      <c r="G474" s="3">
        <v>4.0</v>
      </c>
      <c r="H474" s="3">
        <v>3.5</v>
      </c>
    </row>
    <row r="475" ht="15.75" customHeight="1">
      <c r="A475" s="3" t="s">
        <v>30</v>
      </c>
      <c r="B475" s="3">
        <v>2019.0</v>
      </c>
      <c r="C475" s="3" t="s">
        <v>13</v>
      </c>
      <c r="D475" s="3">
        <v>249.4</v>
      </c>
      <c r="E475" s="3">
        <v>739.8</v>
      </c>
      <c r="F475" s="3">
        <v>238.6</v>
      </c>
      <c r="G475" s="3">
        <v>6.0</v>
      </c>
      <c r="H475" s="3">
        <v>37.4</v>
      </c>
    </row>
    <row r="476" ht="15.75" customHeight="1">
      <c r="A476" s="3" t="s">
        <v>30</v>
      </c>
      <c r="B476" s="3">
        <v>2019.0</v>
      </c>
      <c r="C476" s="3" t="s">
        <v>14</v>
      </c>
      <c r="D476" s="3">
        <v>285.7</v>
      </c>
      <c r="E476" s="3">
        <v>827.5</v>
      </c>
      <c r="F476" s="3">
        <v>392.2</v>
      </c>
      <c r="G476" s="3">
        <v>5.0</v>
      </c>
      <c r="H476" s="3">
        <v>9.9</v>
      </c>
    </row>
    <row r="477" ht="15.75" customHeight="1">
      <c r="A477" s="3" t="s">
        <v>30</v>
      </c>
      <c r="B477" s="3">
        <v>2020.0</v>
      </c>
      <c r="C477" s="3" t="s">
        <v>9</v>
      </c>
      <c r="D477" s="3">
        <v>317.9</v>
      </c>
      <c r="E477" s="3">
        <v>892.3</v>
      </c>
      <c r="F477" s="3">
        <v>473.5</v>
      </c>
      <c r="G477" s="3">
        <v>11.0</v>
      </c>
      <c r="H477" s="3">
        <v>38.4</v>
      </c>
    </row>
    <row r="478" ht="15.75" customHeight="1">
      <c r="A478" s="3" t="s">
        <v>30</v>
      </c>
      <c r="B478" s="3">
        <v>2020.0</v>
      </c>
      <c r="C478" s="3" t="s">
        <v>10</v>
      </c>
      <c r="D478" s="3">
        <v>335.2</v>
      </c>
      <c r="E478" s="3">
        <v>696.6</v>
      </c>
      <c r="F478" s="3">
        <v>395.9</v>
      </c>
      <c r="G478" s="3">
        <v>5.0</v>
      </c>
      <c r="H478" s="3">
        <v>39.3</v>
      </c>
    </row>
    <row r="479" ht="15.75" customHeight="1">
      <c r="A479" s="3" t="s">
        <v>30</v>
      </c>
      <c r="B479" s="3">
        <v>2020.0</v>
      </c>
      <c r="C479" s="3" t="s">
        <v>11</v>
      </c>
      <c r="D479" s="3">
        <v>267.4</v>
      </c>
      <c r="E479" s="3">
        <v>606.6</v>
      </c>
      <c r="F479" s="3">
        <v>331.5</v>
      </c>
      <c r="G479" s="3">
        <v>8.0</v>
      </c>
      <c r="H479" s="3">
        <v>14.0</v>
      </c>
    </row>
    <row r="480" ht="15.75" customHeight="1">
      <c r="A480" s="3" t="s">
        <v>30</v>
      </c>
      <c r="B480" s="3">
        <v>2020.0</v>
      </c>
      <c r="C480" s="3" t="s">
        <v>13</v>
      </c>
      <c r="D480" s="3">
        <v>301.3</v>
      </c>
      <c r="E480" s="3">
        <v>641.8</v>
      </c>
      <c r="F480" s="3">
        <v>359.2</v>
      </c>
      <c r="G480" s="3">
        <v>4.0</v>
      </c>
      <c r="H480" s="3">
        <v>26.2</v>
      </c>
    </row>
    <row r="481" ht="15.75" customHeight="1">
      <c r="A481" s="3" t="s">
        <v>30</v>
      </c>
      <c r="B481" s="3">
        <v>2020.0</v>
      </c>
      <c r="C481" s="3" t="s">
        <v>14</v>
      </c>
      <c r="D481" s="3">
        <v>294.7</v>
      </c>
      <c r="E481" s="3">
        <v>698.3</v>
      </c>
      <c r="F481" s="3">
        <v>428.3</v>
      </c>
      <c r="G481" s="3">
        <v>10.0</v>
      </c>
      <c r="H481" s="3">
        <v>8.8</v>
      </c>
    </row>
    <row r="482" ht="15.75" customHeight="1">
      <c r="A482" s="3" t="s">
        <v>30</v>
      </c>
      <c r="B482" s="3">
        <v>2021.0</v>
      </c>
      <c r="C482" s="3" t="s">
        <v>9</v>
      </c>
      <c r="D482" s="3">
        <v>264.4</v>
      </c>
      <c r="E482" s="3">
        <v>772.3</v>
      </c>
      <c r="F482" s="3">
        <v>340.0</v>
      </c>
      <c r="G482" s="3">
        <v>9.0</v>
      </c>
      <c r="H482" s="3">
        <v>42.7</v>
      </c>
    </row>
    <row r="483" ht="15.75" customHeight="1">
      <c r="A483" s="3" t="s">
        <v>30</v>
      </c>
      <c r="B483" s="3">
        <v>2021.0</v>
      </c>
      <c r="C483" s="3" t="s">
        <v>10</v>
      </c>
      <c r="D483" s="3">
        <v>369.9</v>
      </c>
      <c r="E483" s="3">
        <v>841.1</v>
      </c>
      <c r="F483" s="3">
        <v>504.8</v>
      </c>
      <c r="G483" s="3">
        <v>12.0</v>
      </c>
      <c r="H483" s="3">
        <v>17.9</v>
      </c>
    </row>
    <row r="484" ht="15.75" customHeight="1">
      <c r="A484" s="3" t="s">
        <v>30</v>
      </c>
      <c r="B484" s="3">
        <v>2021.0</v>
      </c>
      <c r="C484" s="3" t="s">
        <v>11</v>
      </c>
      <c r="D484" s="3">
        <v>236.7</v>
      </c>
      <c r="E484" s="3">
        <v>501.6</v>
      </c>
      <c r="F484" s="3">
        <v>316.1</v>
      </c>
      <c r="G484" s="3">
        <v>9.0</v>
      </c>
      <c r="H484" s="3">
        <v>27.9</v>
      </c>
    </row>
    <row r="485" ht="15.75" customHeight="1">
      <c r="A485" s="3" t="s">
        <v>30</v>
      </c>
      <c r="B485" s="3">
        <v>2021.0</v>
      </c>
      <c r="C485" s="3" t="s">
        <v>13</v>
      </c>
      <c r="D485" s="3">
        <v>339.6</v>
      </c>
      <c r="E485" s="3">
        <v>843.1</v>
      </c>
      <c r="F485" s="3">
        <v>392.1</v>
      </c>
      <c r="G485" s="3">
        <v>7.0</v>
      </c>
      <c r="H485" s="3">
        <v>19.8</v>
      </c>
    </row>
    <row r="486" ht="15.75" customHeight="1">
      <c r="A486" s="3" t="s">
        <v>30</v>
      </c>
      <c r="B486" s="3">
        <v>2021.0</v>
      </c>
      <c r="C486" s="3" t="s">
        <v>14</v>
      </c>
      <c r="D486" s="3">
        <v>256.5</v>
      </c>
      <c r="E486" s="3">
        <v>693.7</v>
      </c>
      <c r="F486" s="3">
        <v>351.9</v>
      </c>
      <c r="G486" s="3">
        <v>11.0</v>
      </c>
      <c r="H486" s="3">
        <v>27.2</v>
      </c>
    </row>
    <row r="487" ht="15.75" customHeight="1">
      <c r="A487" s="3" t="s">
        <v>30</v>
      </c>
      <c r="B487" s="3">
        <v>2022.0</v>
      </c>
      <c r="C487" s="3" t="s">
        <v>9</v>
      </c>
      <c r="D487" s="3">
        <v>318.3</v>
      </c>
      <c r="E487" s="3">
        <v>653.0</v>
      </c>
      <c r="F487" s="3">
        <v>367.1</v>
      </c>
      <c r="G487" s="3">
        <v>9.0</v>
      </c>
      <c r="H487" s="3">
        <v>6.8</v>
      </c>
    </row>
    <row r="488" ht="15.75" customHeight="1">
      <c r="A488" s="3" t="s">
        <v>30</v>
      </c>
      <c r="B488" s="3">
        <v>2022.0</v>
      </c>
      <c r="C488" s="3" t="s">
        <v>10</v>
      </c>
      <c r="D488" s="3">
        <v>365.6</v>
      </c>
      <c r="E488" s="3">
        <v>1026.9</v>
      </c>
      <c r="F488" s="3">
        <v>465.8</v>
      </c>
      <c r="G488" s="3">
        <v>10.0</v>
      </c>
      <c r="H488" s="3">
        <v>16.5</v>
      </c>
    </row>
    <row r="489" ht="15.75" customHeight="1">
      <c r="A489" s="3" t="s">
        <v>30</v>
      </c>
      <c r="B489" s="3">
        <v>2022.0</v>
      </c>
      <c r="C489" s="3" t="s">
        <v>11</v>
      </c>
      <c r="D489" s="3">
        <v>301.9</v>
      </c>
      <c r="E489" s="3">
        <v>806.9</v>
      </c>
      <c r="F489" s="3">
        <v>409.9</v>
      </c>
      <c r="G489" s="3">
        <v>10.0</v>
      </c>
      <c r="H489" s="3">
        <v>16.3</v>
      </c>
    </row>
    <row r="490" ht="15.75" customHeight="1">
      <c r="A490" s="3" t="s">
        <v>30</v>
      </c>
      <c r="B490" s="3">
        <v>2022.0</v>
      </c>
      <c r="C490" s="3" t="s">
        <v>13</v>
      </c>
      <c r="D490" s="3">
        <v>315.6</v>
      </c>
      <c r="E490" s="3">
        <v>682.7</v>
      </c>
      <c r="F490" s="3">
        <v>293.8</v>
      </c>
      <c r="G490" s="3">
        <v>8.0</v>
      </c>
      <c r="H490" s="3">
        <v>16.0</v>
      </c>
    </row>
    <row r="491" ht="15.75" customHeight="1">
      <c r="A491" s="3" t="s">
        <v>30</v>
      </c>
      <c r="B491" s="3">
        <v>2022.0</v>
      </c>
      <c r="C491" s="3" t="s">
        <v>14</v>
      </c>
      <c r="D491" s="3">
        <v>336.5</v>
      </c>
      <c r="E491" s="3">
        <v>811.4</v>
      </c>
      <c r="F491" s="3">
        <v>489.4</v>
      </c>
      <c r="G491" s="3">
        <v>8.0</v>
      </c>
      <c r="H491" s="3">
        <v>36.9</v>
      </c>
    </row>
    <row r="492" ht="15.75" customHeight="1">
      <c r="A492" s="3" t="s">
        <v>30</v>
      </c>
      <c r="B492" s="3">
        <v>2023.0</v>
      </c>
      <c r="C492" s="3" t="s">
        <v>9</v>
      </c>
      <c r="D492" s="3">
        <v>371.9</v>
      </c>
      <c r="E492" s="3">
        <v>998.8</v>
      </c>
      <c r="F492" s="3">
        <v>384.1</v>
      </c>
      <c r="G492" s="3">
        <v>5.0</v>
      </c>
      <c r="H492" s="3">
        <v>11.1</v>
      </c>
    </row>
    <row r="493" ht="15.75" customHeight="1">
      <c r="A493" s="3" t="s">
        <v>30</v>
      </c>
      <c r="B493" s="3">
        <v>2023.0</v>
      </c>
      <c r="C493" s="3" t="s">
        <v>10</v>
      </c>
      <c r="D493" s="3">
        <v>306.8</v>
      </c>
      <c r="E493" s="3">
        <v>903.3</v>
      </c>
      <c r="F493" s="3">
        <v>383.2</v>
      </c>
      <c r="G493" s="3">
        <v>9.0</v>
      </c>
      <c r="H493" s="3">
        <v>36.9</v>
      </c>
    </row>
    <row r="494" ht="15.75" customHeight="1">
      <c r="A494" s="3" t="s">
        <v>30</v>
      </c>
      <c r="B494" s="3">
        <v>2023.0</v>
      </c>
      <c r="C494" s="3" t="s">
        <v>11</v>
      </c>
      <c r="D494" s="3">
        <v>353.1</v>
      </c>
      <c r="E494" s="3">
        <v>918.6</v>
      </c>
      <c r="F494" s="3">
        <v>527.3</v>
      </c>
      <c r="G494" s="3">
        <v>11.0</v>
      </c>
      <c r="H494" s="3">
        <v>14.5</v>
      </c>
    </row>
    <row r="495" ht="15.75" customHeight="1">
      <c r="A495" s="3" t="s">
        <v>30</v>
      </c>
      <c r="B495" s="3">
        <v>2023.0</v>
      </c>
      <c r="C495" s="3" t="s">
        <v>13</v>
      </c>
      <c r="D495" s="3">
        <v>395.8</v>
      </c>
      <c r="E495" s="3">
        <v>796.2</v>
      </c>
      <c r="F495" s="3">
        <v>441.4</v>
      </c>
      <c r="G495" s="3">
        <v>4.0</v>
      </c>
      <c r="H495" s="3">
        <v>6.1</v>
      </c>
    </row>
    <row r="496" ht="15.75" customHeight="1">
      <c r="A496" s="3" t="s">
        <v>30</v>
      </c>
      <c r="B496" s="3">
        <v>2023.0</v>
      </c>
      <c r="C496" s="3" t="s">
        <v>14</v>
      </c>
      <c r="D496" s="3">
        <v>370.1</v>
      </c>
      <c r="E496" s="3">
        <v>1013.3</v>
      </c>
      <c r="F496" s="3">
        <v>478.6</v>
      </c>
      <c r="G496" s="3">
        <v>12.0</v>
      </c>
      <c r="H496" s="3">
        <v>11.0</v>
      </c>
    </row>
    <row r="497" ht="15.75" customHeight="1">
      <c r="A497" s="3" t="s">
        <v>30</v>
      </c>
      <c r="B497" s="3">
        <v>2024.0</v>
      </c>
      <c r="C497" s="3" t="s">
        <v>9</v>
      </c>
      <c r="D497" s="3">
        <v>370.3</v>
      </c>
      <c r="E497" s="3">
        <v>887.8</v>
      </c>
      <c r="F497" s="3">
        <v>364.7</v>
      </c>
      <c r="G497" s="3">
        <v>5.0</v>
      </c>
      <c r="H497" s="3">
        <v>24.7</v>
      </c>
    </row>
    <row r="498" ht="15.75" customHeight="1">
      <c r="A498" s="3" t="s">
        <v>30</v>
      </c>
      <c r="B498" s="3">
        <v>2024.0</v>
      </c>
      <c r="C498" s="3" t="s">
        <v>10</v>
      </c>
      <c r="D498" s="3">
        <v>379.5</v>
      </c>
      <c r="E498" s="3">
        <v>1126.4</v>
      </c>
      <c r="F498" s="3">
        <v>463.9</v>
      </c>
      <c r="G498" s="3">
        <v>10.0</v>
      </c>
      <c r="H498" s="3">
        <v>9.4</v>
      </c>
    </row>
    <row r="499" ht="15.75" customHeight="1">
      <c r="A499" s="3" t="s">
        <v>30</v>
      </c>
      <c r="B499" s="3">
        <v>2024.0</v>
      </c>
      <c r="C499" s="3" t="s">
        <v>11</v>
      </c>
      <c r="D499" s="3">
        <v>330.4</v>
      </c>
      <c r="E499" s="3">
        <v>759.1</v>
      </c>
      <c r="F499" s="3">
        <v>285.6</v>
      </c>
      <c r="G499" s="3">
        <v>6.0</v>
      </c>
      <c r="H499" s="3">
        <v>31.6</v>
      </c>
    </row>
    <row r="500" ht="15.75" customHeight="1">
      <c r="A500" s="3" t="s">
        <v>30</v>
      </c>
      <c r="B500" s="3">
        <v>2024.0</v>
      </c>
      <c r="C500" s="3" t="s">
        <v>13</v>
      </c>
      <c r="D500" s="3">
        <v>450.7</v>
      </c>
      <c r="E500" s="3">
        <v>1176.3</v>
      </c>
      <c r="F500" s="3">
        <v>459.3</v>
      </c>
      <c r="G500" s="3">
        <v>8.0</v>
      </c>
      <c r="H500" s="3">
        <v>13.2</v>
      </c>
    </row>
    <row r="501" ht="15.75" customHeight="1">
      <c r="A501" s="3" t="s">
        <v>30</v>
      </c>
      <c r="B501" s="3">
        <v>2024.0</v>
      </c>
      <c r="C501" s="3" t="s">
        <v>14</v>
      </c>
      <c r="D501" s="3">
        <v>415.9</v>
      </c>
      <c r="E501" s="3">
        <v>1093.2</v>
      </c>
      <c r="F501" s="3">
        <v>557.9</v>
      </c>
      <c r="G501" s="3">
        <v>12.0</v>
      </c>
      <c r="H501" s="3">
        <v>8.6</v>
      </c>
    </row>
    <row r="502" ht="15.75" customHeight="1">
      <c r="A502" s="3" t="s">
        <v>31</v>
      </c>
      <c r="B502" s="3">
        <v>2015.0</v>
      </c>
      <c r="C502" s="3" t="s">
        <v>9</v>
      </c>
      <c r="D502" s="3">
        <v>154.5</v>
      </c>
      <c r="E502" s="3">
        <v>340.4</v>
      </c>
      <c r="F502" s="3">
        <v>187.2</v>
      </c>
      <c r="G502" s="3">
        <v>3.0</v>
      </c>
      <c r="H502" s="3">
        <v>19.3</v>
      </c>
    </row>
    <row r="503" ht="15.75" customHeight="1">
      <c r="A503" s="3" t="s">
        <v>31</v>
      </c>
      <c r="B503" s="3">
        <v>2015.0</v>
      </c>
      <c r="C503" s="3" t="s">
        <v>10</v>
      </c>
      <c r="D503" s="3">
        <v>117.2</v>
      </c>
      <c r="E503" s="3">
        <v>308.0</v>
      </c>
      <c r="F503" s="3">
        <v>125.4</v>
      </c>
      <c r="G503" s="3">
        <v>8.0</v>
      </c>
      <c r="H503" s="3">
        <v>13.4</v>
      </c>
    </row>
    <row r="504" ht="15.75" customHeight="1">
      <c r="A504" s="3" t="s">
        <v>31</v>
      </c>
      <c r="B504" s="3">
        <v>2015.0</v>
      </c>
      <c r="C504" s="3" t="s">
        <v>11</v>
      </c>
      <c r="D504" s="3">
        <v>137.7</v>
      </c>
      <c r="E504" s="3">
        <v>377.3</v>
      </c>
      <c r="F504" s="3">
        <v>130.9</v>
      </c>
      <c r="G504" s="3">
        <v>7.0</v>
      </c>
      <c r="H504" s="3">
        <v>6.0</v>
      </c>
    </row>
    <row r="505" ht="15.75" customHeight="1">
      <c r="A505" s="3" t="s">
        <v>31</v>
      </c>
      <c r="B505" s="3">
        <v>2015.0</v>
      </c>
      <c r="C505" s="3" t="s">
        <v>13</v>
      </c>
      <c r="D505" s="3">
        <v>149.8</v>
      </c>
      <c r="E505" s="3">
        <v>364.5</v>
      </c>
      <c r="F505" s="3">
        <v>129.5</v>
      </c>
      <c r="G505" s="3">
        <v>6.0</v>
      </c>
      <c r="H505" s="3">
        <v>45.8</v>
      </c>
    </row>
    <row r="506" ht="15.75" customHeight="1">
      <c r="A506" s="3" t="s">
        <v>31</v>
      </c>
      <c r="B506" s="3">
        <v>2015.0</v>
      </c>
      <c r="C506" s="3" t="s">
        <v>14</v>
      </c>
      <c r="D506" s="3">
        <v>114.8</v>
      </c>
      <c r="E506" s="3">
        <v>288.5</v>
      </c>
      <c r="F506" s="3">
        <v>127.1</v>
      </c>
      <c r="G506" s="3">
        <v>4.0</v>
      </c>
      <c r="H506" s="3">
        <v>29.9</v>
      </c>
    </row>
    <row r="507" ht="15.75" customHeight="1">
      <c r="A507" s="3" t="s">
        <v>31</v>
      </c>
      <c r="B507" s="3">
        <v>2016.0</v>
      </c>
      <c r="C507" s="3" t="s">
        <v>9</v>
      </c>
      <c r="D507" s="3">
        <v>134.9</v>
      </c>
      <c r="E507" s="3">
        <v>343.6</v>
      </c>
      <c r="F507" s="3">
        <v>171.3</v>
      </c>
      <c r="G507" s="3">
        <v>3.0</v>
      </c>
      <c r="H507" s="3">
        <v>36.0</v>
      </c>
    </row>
    <row r="508" ht="15.75" customHeight="1">
      <c r="A508" s="3" t="s">
        <v>31</v>
      </c>
      <c r="B508" s="3">
        <v>2016.0</v>
      </c>
      <c r="C508" s="3" t="s">
        <v>10</v>
      </c>
      <c r="D508" s="3">
        <v>180.8</v>
      </c>
      <c r="E508" s="3">
        <v>370.6</v>
      </c>
      <c r="F508" s="3">
        <v>260.0</v>
      </c>
      <c r="G508" s="3">
        <v>2.0</v>
      </c>
      <c r="H508" s="3">
        <v>11.5</v>
      </c>
    </row>
    <row r="509" ht="15.75" customHeight="1">
      <c r="A509" s="3" t="s">
        <v>31</v>
      </c>
      <c r="B509" s="3">
        <v>2016.0</v>
      </c>
      <c r="C509" s="3" t="s">
        <v>11</v>
      </c>
      <c r="D509" s="3">
        <v>193.4</v>
      </c>
      <c r="E509" s="3">
        <v>401.7</v>
      </c>
      <c r="F509" s="3">
        <v>278.0</v>
      </c>
      <c r="G509" s="3">
        <v>3.0</v>
      </c>
      <c r="H509" s="3">
        <v>36.9</v>
      </c>
    </row>
    <row r="510" ht="15.75" customHeight="1">
      <c r="A510" s="3" t="s">
        <v>31</v>
      </c>
      <c r="B510" s="3">
        <v>2016.0</v>
      </c>
      <c r="C510" s="3" t="s">
        <v>13</v>
      </c>
      <c r="D510" s="3">
        <v>214.9</v>
      </c>
      <c r="E510" s="3">
        <v>509.7</v>
      </c>
      <c r="F510" s="3">
        <v>222.0</v>
      </c>
      <c r="G510" s="3">
        <v>4.0</v>
      </c>
      <c r="H510" s="3">
        <v>40.4</v>
      </c>
    </row>
    <row r="511" ht="15.75" customHeight="1">
      <c r="A511" s="3" t="s">
        <v>31</v>
      </c>
      <c r="B511" s="3">
        <v>2016.0</v>
      </c>
      <c r="C511" s="3" t="s">
        <v>14</v>
      </c>
      <c r="D511" s="3">
        <v>177.0</v>
      </c>
      <c r="E511" s="3">
        <v>441.4</v>
      </c>
      <c r="F511" s="3">
        <v>176.7</v>
      </c>
      <c r="G511" s="3">
        <v>9.0</v>
      </c>
      <c r="H511" s="3">
        <v>10.8</v>
      </c>
    </row>
    <row r="512" ht="15.75" customHeight="1">
      <c r="A512" s="3" t="s">
        <v>31</v>
      </c>
      <c r="B512" s="3">
        <v>2017.0</v>
      </c>
      <c r="C512" s="3" t="s">
        <v>9</v>
      </c>
      <c r="D512" s="3">
        <v>233.3</v>
      </c>
      <c r="E512" s="3">
        <v>566.4</v>
      </c>
      <c r="F512" s="3">
        <v>220.3</v>
      </c>
      <c r="G512" s="3">
        <v>11.0</v>
      </c>
      <c r="H512" s="3">
        <v>17.3</v>
      </c>
    </row>
    <row r="513" ht="15.75" customHeight="1">
      <c r="A513" s="3" t="s">
        <v>31</v>
      </c>
      <c r="B513" s="3">
        <v>2017.0</v>
      </c>
      <c r="C513" s="3" t="s">
        <v>10</v>
      </c>
      <c r="D513" s="3">
        <v>176.4</v>
      </c>
      <c r="E513" s="3">
        <v>417.8</v>
      </c>
      <c r="F513" s="3">
        <v>251.7</v>
      </c>
      <c r="G513" s="3">
        <v>10.0</v>
      </c>
      <c r="H513" s="3">
        <v>2.7</v>
      </c>
    </row>
    <row r="514" ht="15.75" customHeight="1">
      <c r="A514" s="3" t="s">
        <v>31</v>
      </c>
      <c r="B514" s="3">
        <v>2017.0</v>
      </c>
      <c r="C514" s="3" t="s">
        <v>11</v>
      </c>
      <c r="D514" s="3">
        <v>262.2</v>
      </c>
      <c r="E514" s="3">
        <v>589.6</v>
      </c>
      <c r="F514" s="3">
        <v>339.3</v>
      </c>
      <c r="G514" s="3">
        <v>10.0</v>
      </c>
      <c r="H514" s="3">
        <v>22.7</v>
      </c>
    </row>
    <row r="515" ht="15.75" customHeight="1">
      <c r="A515" s="3" t="s">
        <v>31</v>
      </c>
      <c r="B515" s="3">
        <v>2017.0</v>
      </c>
      <c r="C515" s="3" t="s">
        <v>13</v>
      </c>
      <c r="D515" s="3">
        <v>153.5</v>
      </c>
      <c r="E515" s="3">
        <v>427.3</v>
      </c>
      <c r="F515" s="3">
        <v>167.8</v>
      </c>
      <c r="G515" s="3">
        <v>7.0</v>
      </c>
      <c r="H515" s="3">
        <v>39.5</v>
      </c>
    </row>
    <row r="516" ht="15.75" customHeight="1">
      <c r="A516" s="3" t="s">
        <v>31</v>
      </c>
      <c r="B516" s="3">
        <v>2017.0</v>
      </c>
      <c r="C516" s="3" t="s">
        <v>14</v>
      </c>
      <c r="D516" s="3">
        <v>176.3</v>
      </c>
      <c r="E516" s="3">
        <v>439.2</v>
      </c>
      <c r="F516" s="3">
        <v>255.4</v>
      </c>
      <c r="G516" s="3">
        <v>2.0</v>
      </c>
      <c r="H516" s="3">
        <v>38.5</v>
      </c>
    </row>
    <row r="517" ht="15.75" customHeight="1">
      <c r="A517" s="3" t="s">
        <v>31</v>
      </c>
      <c r="B517" s="3">
        <v>2018.0</v>
      </c>
      <c r="C517" s="3" t="s">
        <v>9</v>
      </c>
      <c r="D517" s="3">
        <v>207.1</v>
      </c>
      <c r="E517" s="3">
        <v>549.9</v>
      </c>
      <c r="F517" s="3">
        <v>203.4</v>
      </c>
      <c r="G517" s="3">
        <v>8.0</v>
      </c>
      <c r="H517" s="3">
        <v>6.5</v>
      </c>
    </row>
    <row r="518" ht="15.75" customHeight="1">
      <c r="A518" s="3" t="s">
        <v>31</v>
      </c>
      <c r="B518" s="3">
        <v>2018.0</v>
      </c>
      <c r="C518" s="3" t="s">
        <v>10</v>
      </c>
      <c r="D518" s="3">
        <v>221.7</v>
      </c>
      <c r="E518" s="3">
        <v>623.9</v>
      </c>
      <c r="F518" s="3">
        <v>283.7</v>
      </c>
      <c r="G518" s="3">
        <v>5.0</v>
      </c>
      <c r="H518" s="3">
        <v>40.5</v>
      </c>
    </row>
    <row r="519" ht="15.75" customHeight="1">
      <c r="A519" s="3" t="s">
        <v>31</v>
      </c>
      <c r="B519" s="3">
        <v>2018.0</v>
      </c>
      <c r="C519" s="3" t="s">
        <v>11</v>
      </c>
      <c r="D519" s="3">
        <v>180.2</v>
      </c>
      <c r="E519" s="3">
        <v>416.2</v>
      </c>
      <c r="F519" s="3">
        <v>175.7</v>
      </c>
      <c r="G519" s="3">
        <v>9.0</v>
      </c>
      <c r="H519" s="3">
        <v>28.1</v>
      </c>
    </row>
    <row r="520" ht="15.75" customHeight="1">
      <c r="A520" s="3" t="s">
        <v>31</v>
      </c>
      <c r="B520" s="3">
        <v>2018.0</v>
      </c>
      <c r="C520" s="3" t="s">
        <v>13</v>
      </c>
      <c r="D520" s="3">
        <v>153.5</v>
      </c>
      <c r="E520" s="3">
        <v>434.1</v>
      </c>
      <c r="F520" s="3">
        <v>207.6</v>
      </c>
      <c r="G520" s="3">
        <v>8.0</v>
      </c>
      <c r="H520" s="3">
        <v>11.6</v>
      </c>
    </row>
    <row r="521" ht="15.75" customHeight="1">
      <c r="A521" s="3" t="s">
        <v>31</v>
      </c>
      <c r="B521" s="3">
        <v>2018.0</v>
      </c>
      <c r="C521" s="3" t="s">
        <v>14</v>
      </c>
      <c r="D521" s="3">
        <v>184.3</v>
      </c>
      <c r="E521" s="3">
        <v>544.3</v>
      </c>
      <c r="F521" s="3">
        <v>189.6</v>
      </c>
      <c r="G521" s="3">
        <v>2.0</v>
      </c>
      <c r="H521" s="3">
        <v>25.8</v>
      </c>
    </row>
    <row r="522" ht="15.75" customHeight="1">
      <c r="A522" s="3" t="s">
        <v>31</v>
      </c>
      <c r="B522" s="3">
        <v>2019.0</v>
      </c>
      <c r="C522" s="3" t="s">
        <v>9</v>
      </c>
      <c r="D522" s="3">
        <v>215.8</v>
      </c>
      <c r="E522" s="3">
        <v>626.7</v>
      </c>
      <c r="F522" s="3">
        <v>184.4</v>
      </c>
      <c r="G522" s="3">
        <v>5.0</v>
      </c>
      <c r="H522" s="3">
        <v>18.1</v>
      </c>
    </row>
    <row r="523" ht="15.75" customHeight="1">
      <c r="A523" s="3" t="s">
        <v>31</v>
      </c>
      <c r="B523" s="3">
        <v>2019.0</v>
      </c>
      <c r="C523" s="3" t="s">
        <v>10</v>
      </c>
      <c r="D523" s="3">
        <v>207.2</v>
      </c>
      <c r="E523" s="3">
        <v>592.5</v>
      </c>
      <c r="F523" s="3">
        <v>264.0</v>
      </c>
      <c r="G523" s="3">
        <v>3.0</v>
      </c>
      <c r="H523" s="3">
        <v>17.9</v>
      </c>
    </row>
    <row r="524" ht="15.75" customHeight="1">
      <c r="A524" s="3" t="s">
        <v>31</v>
      </c>
      <c r="B524" s="3">
        <v>2019.0</v>
      </c>
      <c r="C524" s="3" t="s">
        <v>11</v>
      </c>
      <c r="D524" s="3">
        <v>259.6</v>
      </c>
      <c r="E524" s="3">
        <v>596.1</v>
      </c>
      <c r="F524" s="3">
        <v>291.1</v>
      </c>
      <c r="G524" s="3">
        <v>9.0</v>
      </c>
      <c r="H524" s="3">
        <v>9.8</v>
      </c>
    </row>
    <row r="525" ht="15.75" customHeight="1">
      <c r="A525" s="3" t="s">
        <v>31</v>
      </c>
      <c r="B525" s="3">
        <v>2019.0</v>
      </c>
      <c r="C525" s="3" t="s">
        <v>13</v>
      </c>
      <c r="D525" s="3">
        <v>243.9</v>
      </c>
      <c r="E525" s="3">
        <v>581.6</v>
      </c>
      <c r="F525" s="3">
        <v>278.6</v>
      </c>
      <c r="G525" s="3">
        <v>3.0</v>
      </c>
      <c r="H525" s="3">
        <v>37.3</v>
      </c>
    </row>
    <row r="526" ht="15.75" customHeight="1">
      <c r="A526" s="3" t="s">
        <v>31</v>
      </c>
      <c r="B526" s="3">
        <v>2019.0</v>
      </c>
      <c r="C526" s="3" t="s">
        <v>14</v>
      </c>
      <c r="D526" s="3">
        <v>308.9</v>
      </c>
      <c r="E526" s="3">
        <v>709.4</v>
      </c>
      <c r="F526" s="3">
        <v>364.1</v>
      </c>
      <c r="G526" s="3">
        <v>4.0</v>
      </c>
      <c r="H526" s="3">
        <v>21.3</v>
      </c>
    </row>
    <row r="527" ht="15.75" customHeight="1">
      <c r="A527" s="3" t="s">
        <v>31</v>
      </c>
      <c r="B527" s="3">
        <v>2020.0</v>
      </c>
      <c r="C527" s="3" t="s">
        <v>9</v>
      </c>
      <c r="D527" s="3">
        <v>265.8</v>
      </c>
      <c r="E527" s="3">
        <v>768.5</v>
      </c>
      <c r="F527" s="3">
        <v>257.6</v>
      </c>
      <c r="G527" s="3">
        <v>5.0</v>
      </c>
      <c r="H527" s="3">
        <v>11.9</v>
      </c>
    </row>
    <row r="528" ht="15.75" customHeight="1">
      <c r="A528" s="3" t="s">
        <v>31</v>
      </c>
      <c r="B528" s="3">
        <v>2020.0</v>
      </c>
      <c r="C528" s="3" t="s">
        <v>10</v>
      </c>
      <c r="D528" s="3">
        <v>230.1</v>
      </c>
      <c r="E528" s="3">
        <v>516.2</v>
      </c>
      <c r="F528" s="3">
        <v>227.1</v>
      </c>
      <c r="G528" s="3">
        <v>8.0</v>
      </c>
      <c r="H528" s="3">
        <v>11.8</v>
      </c>
    </row>
    <row r="529" ht="15.75" customHeight="1">
      <c r="A529" s="3" t="s">
        <v>31</v>
      </c>
      <c r="B529" s="3">
        <v>2020.0</v>
      </c>
      <c r="C529" s="3" t="s">
        <v>11</v>
      </c>
      <c r="D529" s="3">
        <v>241.7</v>
      </c>
      <c r="E529" s="3">
        <v>621.7</v>
      </c>
      <c r="F529" s="3">
        <v>360.2</v>
      </c>
      <c r="G529" s="3">
        <v>11.0</v>
      </c>
      <c r="H529" s="3">
        <v>21.4</v>
      </c>
    </row>
    <row r="530" ht="15.75" customHeight="1">
      <c r="A530" s="3" t="s">
        <v>31</v>
      </c>
      <c r="B530" s="3">
        <v>2020.0</v>
      </c>
      <c r="C530" s="3" t="s">
        <v>13</v>
      </c>
      <c r="D530" s="3">
        <v>302.4</v>
      </c>
      <c r="E530" s="3">
        <v>729.4</v>
      </c>
      <c r="F530" s="3">
        <v>401.5</v>
      </c>
      <c r="G530" s="3">
        <v>5.0</v>
      </c>
      <c r="H530" s="3">
        <v>17.1</v>
      </c>
    </row>
    <row r="531" ht="15.75" customHeight="1">
      <c r="A531" s="3" t="s">
        <v>31</v>
      </c>
      <c r="B531" s="3">
        <v>2020.0</v>
      </c>
      <c r="C531" s="3" t="s">
        <v>14</v>
      </c>
      <c r="D531" s="3">
        <v>265.7</v>
      </c>
      <c r="E531" s="3">
        <v>762.8</v>
      </c>
      <c r="F531" s="3">
        <v>330.0</v>
      </c>
      <c r="G531" s="3">
        <v>3.0</v>
      </c>
      <c r="H531" s="3">
        <v>25.3</v>
      </c>
    </row>
    <row r="532" ht="15.75" customHeight="1">
      <c r="A532" s="3" t="s">
        <v>31</v>
      </c>
      <c r="B532" s="3">
        <v>2021.0</v>
      </c>
      <c r="C532" s="3" t="s">
        <v>9</v>
      </c>
      <c r="D532" s="3">
        <v>293.1</v>
      </c>
      <c r="E532" s="3">
        <v>789.2</v>
      </c>
      <c r="F532" s="3">
        <v>276.8</v>
      </c>
      <c r="G532" s="3">
        <v>7.0</v>
      </c>
      <c r="H532" s="3">
        <v>38.5</v>
      </c>
    </row>
    <row r="533" ht="15.75" customHeight="1">
      <c r="A533" s="3" t="s">
        <v>31</v>
      </c>
      <c r="B533" s="3">
        <v>2021.0</v>
      </c>
      <c r="C533" s="3" t="s">
        <v>10</v>
      </c>
      <c r="D533" s="3">
        <v>313.8</v>
      </c>
      <c r="E533" s="3">
        <v>691.6</v>
      </c>
      <c r="F533" s="3">
        <v>362.5</v>
      </c>
      <c r="G533" s="3">
        <v>8.0</v>
      </c>
      <c r="H533" s="3">
        <v>39.0</v>
      </c>
    </row>
    <row r="534" ht="15.75" customHeight="1">
      <c r="A534" s="3" t="s">
        <v>31</v>
      </c>
      <c r="B534" s="3">
        <v>2021.0</v>
      </c>
      <c r="C534" s="3" t="s">
        <v>11</v>
      </c>
      <c r="D534" s="3">
        <v>399.6</v>
      </c>
      <c r="E534" s="3">
        <v>1050.4</v>
      </c>
      <c r="F534" s="3">
        <v>512.3</v>
      </c>
      <c r="G534" s="3">
        <v>12.0</v>
      </c>
      <c r="H534" s="3">
        <v>36.8</v>
      </c>
    </row>
    <row r="535" ht="15.75" customHeight="1">
      <c r="A535" s="3" t="s">
        <v>31</v>
      </c>
      <c r="B535" s="3">
        <v>2021.0</v>
      </c>
      <c r="C535" s="3" t="s">
        <v>13</v>
      </c>
      <c r="D535" s="3">
        <v>281.6</v>
      </c>
      <c r="E535" s="3">
        <v>798.8</v>
      </c>
      <c r="F535" s="3">
        <v>387.2</v>
      </c>
      <c r="G535" s="3">
        <v>11.0</v>
      </c>
      <c r="H535" s="3">
        <v>24.8</v>
      </c>
    </row>
    <row r="536" ht="15.75" customHeight="1">
      <c r="A536" s="3" t="s">
        <v>31</v>
      </c>
      <c r="B536" s="3">
        <v>2021.0</v>
      </c>
      <c r="C536" s="3" t="s">
        <v>14</v>
      </c>
      <c r="D536" s="3">
        <v>318.0</v>
      </c>
      <c r="E536" s="3">
        <v>798.3</v>
      </c>
      <c r="F536" s="3">
        <v>437.0</v>
      </c>
      <c r="G536" s="3">
        <v>12.0</v>
      </c>
      <c r="H536" s="3">
        <v>44.2</v>
      </c>
    </row>
    <row r="537" ht="15.75" customHeight="1">
      <c r="A537" s="3" t="s">
        <v>31</v>
      </c>
      <c r="B537" s="3">
        <v>2022.0</v>
      </c>
      <c r="C537" s="3" t="s">
        <v>9</v>
      </c>
      <c r="D537" s="3">
        <v>237.7</v>
      </c>
      <c r="E537" s="3">
        <v>478.7</v>
      </c>
      <c r="F537" s="3">
        <v>258.4</v>
      </c>
      <c r="G537" s="3">
        <v>11.0</v>
      </c>
      <c r="H537" s="3">
        <v>40.4</v>
      </c>
    </row>
    <row r="538" ht="15.75" customHeight="1">
      <c r="A538" s="3" t="s">
        <v>31</v>
      </c>
      <c r="B538" s="3">
        <v>2022.0</v>
      </c>
      <c r="C538" s="3" t="s">
        <v>10</v>
      </c>
      <c r="D538" s="3">
        <v>313.1</v>
      </c>
      <c r="E538" s="3">
        <v>639.3</v>
      </c>
      <c r="F538" s="3">
        <v>355.5</v>
      </c>
      <c r="G538" s="3">
        <v>12.0</v>
      </c>
      <c r="H538" s="3">
        <v>37.4</v>
      </c>
    </row>
    <row r="539" ht="15.75" customHeight="1">
      <c r="A539" s="3" t="s">
        <v>31</v>
      </c>
      <c r="B539" s="3">
        <v>2022.0</v>
      </c>
      <c r="C539" s="3" t="s">
        <v>11</v>
      </c>
      <c r="D539" s="3">
        <v>325.8</v>
      </c>
      <c r="E539" s="3">
        <v>971.5</v>
      </c>
      <c r="F539" s="3">
        <v>363.4</v>
      </c>
      <c r="G539" s="3">
        <v>9.0</v>
      </c>
      <c r="H539" s="3">
        <v>22.2</v>
      </c>
    </row>
    <row r="540" ht="15.75" customHeight="1">
      <c r="A540" s="3" t="s">
        <v>31</v>
      </c>
      <c r="B540" s="3">
        <v>2022.0</v>
      </c>
      <c r="C540" s="3" t="s">
        <v>13</v>
      </c>
      <c r="D540" s="3">
        <v>330.5</v>
      </c>
      <c r="E540" s="3">
        <v>901.9</v>
      </c>
      <c r="F540" s="3">
        <v>405.1</v>
      </c>
      <c r="G540" s="3">
        <v>10.0</v>
      </c>
      <c r="H540" s="3">
        <v>19.1</v>
      </c>
    </row>
    <row r="541" ht="15.75" customHeight="1">
      <c r="A541" s="3" t="s">
        <v>31</v>
      </c>
      <c r="B541" s="3">
        <v>2022.0</v>
      </c>
      <c r="C541" s="3" t="s">
        <v>14</v>
      </c>
      <c r="D541" s="3">
        <v>346.2</v>
      </c>
      <c r="E541" s="3">
        <v>942.6</v>
      </c>
      <c r="F541" s="3">
        <v>436.1</v>
      </c>
      <c r="G541" s="3">
        <v>5.0</v>
      </c>
      <c r="H541" s="3">
        <v>33.4</v>
      </c>
    </row>
    <row r="542" ht="15.75" customHeight="1">
      <c r="A542" s="3" t="s">
        <v>31</v>
      </c>
      <c r="B542" s="3">
        <v>2023.0</v>
      </c>
      <c r="C542" s="3" t="s">
        <v>9</v>
      </c>
      <c r="D542" s="3">
        <v>411.4</v>
      </c>
      <c r="E542" s="3">
        <v>862.0</v>
      </c>
      <c r="F542" s="3">
        <v>359.0</v>
      </c>
      <c r="G542" s="3">
        <v>13.0</v>
      </c>
      <c r="H542" s="3">
        <v>29.5</v>
      </c>
    </row>
    <row r="543" ht="15.75" customHeight="1">
      <c r="A543" s="3" t="s">
        <v>31</v>
      </c>
      <c r="B543" s="3">
        <v>2023.0</v>
      </c>
      <c r="C543" s="3" t="s">
        <v>10</v>
      </c>
      <c r="D543" s="3">
        <v>335.3</v>
      </c>
      <c r="E543" s="3">
        <v>932.9</v>
      </c>
      <c r="F543" s="3">
        <v>444.7</v>
      </c>
      <c r="G543" s="3">
        <v>10.0</v>
      </c>
      <c r="H543" s="3">
        <v>34.2</v>
      </c>
    </row>
    <row r="544" ht="15.75" customHeight="1">
      <c r="A544" s="3" t="s">
        <v>31</v>
      </c>
      <c r="B544" s="3">
        <v>2023.0</v>
      </c>
      <c r="C544" s="3" t="s">
        <v>11</v>
      </c>
      <c r="D544" s="3">
        <v>359.0</v>
      </c>
      <c r="E544" s="3">
        <v>955.8</v>
      </c>
      <c r="F544" s="3">
        <v>374.4</v>
      </c>
      <c r="G544" s="3">
        <v>9.0</v>
      </c>
      <c r="H544" s="3">
        <v>37.7</v>
      </c>
    </row>
    <row r="545" ht="15.75" customHeight="1">
      <c r="A545" s="3" t="s">
        <v>31</v>
      </c>
      <c r="B545" s="3">
        <v>2023.0</v>
      </c>
      <c r="C545" s="3" t="s">
        <v>13</v>
      </c>
      <c r="D545" s="3">
        <v>381.2</v>
      </c>
      <c r="E545" s="3">
        <v>860.8</v>
      </c>
      <c r="F545" s="3">
        <v>466.5</v>
      </c>
      <c r="G545" s="3">
        <v>8.0</v>
      </c>
      <c r="H545" s="3">
        <v>33.1</v>
      </c>
    </row>
    <row r="546" ht="15.75" customHeight="1">
      <c r="A546" s="3" t="s">
        <v>31</v>
      </c>
      <c r="B546" s="3">
        <v>2023.0</v>
      </c>
      <c r="C546" s="3" t="s">
        <v>14</v>
      </c>
      <c r="D546" s="3">
        <v>359.1</v>
      </c>
      <c r="E546" s="3">
        <v>990.5</v>
      </c>
      <c r="F546" s="3">
        <v>364.4</v>
      </c>
      <c r="G546" s="3">
        <v>9.0</v>
      </c>
      <c r="H546" s="3">
        <v>19.9</v>
      </c>
    </row>
    <row r="547" ht="15.75" customHeight="1">
      <c r="A547" s="3" t="s">
        <v>31</v>
      </c>
      <c r="B547" s="3">
        <v>2024.0</v>
      </c>
      <c r="C547" s="3" t="s">
        <v>9</v>
      </c>
      <c r="D547" s="3">
        <v>442.9</v>
      </c>
      <c r="E547" s="3">
        <v>967.8</v>
      </c>
      <c r="F547" s="3">
        <v>540.2</v>
      </c>
      <c r="G547" s="3">
        <v>6.0</v>
      </c>
      <c r="H547" s="3">
        <v>21.8</v>
      </c>
    </row>
    <row r="548" ht="15.75" customHeight="1">
      <c r="A548" s="3" t="s">
        <v>31</v>
      </c>
      <c r="B548" s="3">
        <v>2024.0</v>
      </c>
      <c r="C548" s="3" t="s">
        <v>10</v>
      </c>
      <c r="D548" s="3">
        <v>317.8</v>
      </c>
      <c r="E548" s="3">
        <v>660.1</v>
      </c>
      <c r="F548" s="3">
        <v>409.1</v>
      </c>
      <c r="G548" s="3">
        <v>6.0</v>
      </c>
      <c r="H548" s="3">
        <v>41.3</v>
      </c>
    </row>
    <row r="549" ht="15.75" customHeight="1">
      <c r="A549" s="3" t="s">
        <v>31</v>
      </c>
      <c r="B549" s="3">
        <v>2024.0</v>
      </c>
      <c r="C549" s="3" t="s">
        <v>11</v>
      </c>
      <c r="D549" s="3">
        <v>367.9</v>
      </c>
      <c r="E549" s="3">
        <v>1088.5</v>
      </c>
      <c r="F549" s="3">
        <v>405.4</v>
      </c>
      <c r="G549" s="3">
        <v>9.0</v>
      </c>
      <c r="H549" s="3">
        <v>27.1</v>
      </c>
    </row>
    <row r="550" ht="15.75" customHeight="1">
      <c r="A550" s="3" t="s">
        <v>31</v>
      </c>
      <c r="B550" s="3">
        <v>2024.0</v>
      </c>
      <c r="C550" s="3" t="s">
        <v>13</v>
      </c>
      <c r="D550" s="3">
        <v>421.2</v>
      </c>
      <c r="E550" s="3">
        <v>979.0</v>
      </c>
      <c r="F550" s="3">
        <v>416.4</v>
      </c>
      <c r="G550" s="3">
        <v>9.0</v>
      </c>
      <c r="H550" s="3">
        <v>35.0</v>
      </c>
    </row>
    <row r="551" ht="15.75" customHeight="1">
      <c r="A551" s="3" t="s">
        <v>31</v>
      </c>
      <c r="B551" s="3">
        <v>2024.0</v>
      </c>
      <c r="C551" s="3" t="s">
        <v>14</v>
      </c>
      <c r="D551" s="3">
        <v>414.3</v>
      </c>
      <c r="E551" s="3">
        <v>1005.1</v>
      </c>
      <c r="F551" s="3">
        <v>521.2</v>
      </c>
      <c r="G551" s="3">
        <v>10.0</v>
      </c>
      <c r="H551" s="3">
        <v>39.1</v>
      </c>
    </row>
    <row r="552" ht="15.75" customHeight="1">
      <c r="A552" s="3" t="s">
        <v>32</v>
      </c>
      <c r="B552" s="3">
        <v>2015.0</v>
      </c>
      <c r="C552" s="3" t="s">
        <v>9</v>
      </c>
      <c r="D552" s="3">
        <v>93.5</v>
      </c>
      <c r="E552" s="3">
        <v>260.5</v>
      </c>
      <c r="F552" s="3">
        <v>125.4</v>
      </c>
      <c r="G552" s="3">
        <v>4.0</v>
      </c>
      <c r="H552" s="3">
        <v>19.0</v>
      </c>
    </row>
    <row r="553" ht="15.75" customHeight="1">
      <c r="A553" s="3" t="s">
        <v>32</v>
      </c>
      <c r="B553" s="3">
        <v>2015.0</v>
      </c>
      <c r="C553" s="3" t="s">
        <v>10</v>
      </c>
      <c r="D553" s="3">
        <v>106.2</v>
      </c>
      <c r="E553" s="3">
        <v>235.4</v>
      </c>
      <c r="F553" s="3">
        <v>119.4</v>
      </c>
      <c r="G553" s="3">
        <v>7.0</v>
      </c>
      <c r="H553" s="3">
        <v>2.7</v>
      </c>
    </row>
    <row r="554" ht="15.75" customHeight="1">
      <c r="A554" s="3" t="s">
        <v>32</v>
      </c>
      <c r="B554" s="3">
        <v>2015.0</v>
      </c>
      <c r="C554" s="3" t="s">
        <v>11</v>
      </c>
      <c r="D554" s="3">
        <v>129.4</v>
      </c>
      <c r="E554" s="3">
        <v>360.2</v>
      </c>
      <c r="F554" s="3">
        <v>142.4</v>
      </c>
      <c r="G554" s="3">
        <v>9.0</v>
      </c>
      <c r="H554" s="3">
        <v>16.9</v>
      </c>
    </row>
    <row r="555" ht="15.75" customHeight="1">
      <c r="A555" s="3" t="s">
        <v>32</v>
      </c>
      <c r="B555" s="3">
        <v>2015.0</v>
      </c>
      <c r="C555" s="3" t="s">
        <v>13</v>
      </c>
      <c r="D555" s="3">
        <v>118.7</v>
      </c>
      <c r="E555" s="3">
        <v>289.1</v>
      </c>
      <c r="F555" s="3">
        <v>150.3</v>
      </c>
      <c r="G555" s="3">
        <v>3.0</v>
      </c>
      <c r="H555" s="3">
        <v>42.4</v>
      </c>
    </row>
    <row r="556" ht="15.75" customHeight="1">
      <c r="A556" s="3" t="s">
        <v>32</v>
      </c>
      <c r="B556" s="3">
        <v>2015.0</v>
      </c>
      <c r="C556" s="3" t="s">
        <v>14</v>
      </c>
      <c r="D556" s="3">
        <v>206.5</v>
      </c>
      <c r="E556" s="3">
        <v>475.7</v>
      </c>
      <c r="F556" s="3">
        <v>211.2</v>
      </c>
      <c r="G556" s="3">
        <v>5.0</v>
      </c>
      <c r="H556" s="3">
        <v>2.1</v>
      </c>
    </row>
    <row r="557" ht="15.75" customHeight="1">
      <c r="A557" s="3" t="s">
        <v>32</v>
      </c>
      <c r="B557" s="3">
        <v>2016.0</v>
      </c>
      <c r="C557" s="3" t="s">
        <v>9</v>
      </c>
      <c r="D557" s="3">
        <v>132.7</v>
      </c>
      <c r="E557" s="3">
        <v>378.1</v>
      </c>
      <c r="F557" s="3">
        <v>143.9</v>
      </c>
      <c r="G557" s="3">
        <v>6.0</v>
      </c>
      <c r="H557" s="3">
        <v>12.4</v>
      </c>
    </row>
    <row r="558" ht="15.75" customHeight="1">
      <c r="A558" s="3" t="s">
        <v>32</v>
      </c>
      <c r="B558" s="3">
        <v>2016.0</v>
      </c>
      <c r="C558" s="3" t="s">
        <v>10</v>
      </c>
      <c r="D558" s="3">
        <v>116.0</v>
      </c>
      <c r="E558" s="3">
        <v>247.5</v>
      </c>
      <c r="F558" s="3">
        <v>134.4</v>
      </c>
      <c r="G558" s="3">
        <v>4.0</v>
      </c>
      <c r="H558" s="3">
        <v>47.0</v>
      </c>
    </row>
    <row r="559" ht="15.75" customHeight="1">
      <c r="A559" s="3" t="s">
        <v>32</v>
      </c>
      <c r="B559" s="3">
        <v>2016.0</v>
      </c>
      <c r="C559" s="3" t="s">
        <v>11</v>
      </c>
      <c r="D559" s="3">
        <v>211.4</v>
      </c>
      <c r="E559" s="3">
        <v>605.5</v>
      </c>
      <c r="F559" s="3">
        <v>256.0</v>
      </c>
      <c r="G559" s="3">
        <v>11.0</v>
      </c>
      <c r="H559" s="3">
        <v>4.4</v>
      </c>
    </row>
    <row r="560" ht="15.75" customHeight="1">
      <c r="A560" s="3" t="s">
        <v>32</v>
      </c>
      <c r="B560" s="3">
        <v>2016.0</v>
      </c>
      <c r="C560" s="3" t="s">
        <v>13</v>
      </c>
      <c r="D560" s="3">
        <v>127.5</v>
      </c>
      <c r="E560" s="3">
        <v>345.1</v>
      </c>
      <c r="F560" s="3">
        <v>136.7</v>
      </c>
      <c r="G560" s="3">
        <v>5.0</v>
      </c>
      <c r="H560" s="3">
        <v>28.9</v>
      </c>
    </row>
    <row r="561" ht="15.75" customHeight="1">
      <c r="A561" s="3" t="s">
        <v>32</v>
      </c>
      <c r="B561" s="3">
        <v>2016.0</v>
      </c>
      <c r="C561" s="3" t="s">
        <v>14</v>
      </c>
      <c r="D561" s="3">
        <v>179.9</v>
      </c>
      <c r="E561" s="3">
        <v>428.0</v>
      </c>
      <c r="F561" s="3">
        <v>190.7</v>
      </c>
      <c r="G561" s="3">
        <v>6.0</v>
      </c>
      <c r="H561" s="3">
        <v>32.0</v>
      </c>
    </row>
    <row r="562" ht="15.75" customHeight="1">
      <c r="A562" s="3" t="s">
        <v>32</v>
      </c>
      <c r="B562" s="3">
        <v>2017.0</v>
      </c>
      <c r="C562" s="3" t="s">
        <v>9</v>
      </c>
      <c r="D562" s="3">
        <v>177.6</v>
      </c>
      <c r="E562" s="3">
        <v>482.1</v>
      </c>
      <c r="F562" s="3">
        <v>215.8</v>
      </c>
      <c r="G562" s="3">
        <v>3.0</v>
      </c>
      <c r="H562" s="3">
        <v>18.8</v>
      </c>
    </row>
    <row r="563" ht="15.75" customHeight="1">
      <c r="A563" s="3" t="s">
        <v>32</v>
      </c>
      <c r="B563" s="3">
        <v>2017.0</v>
      </c>
      <c r="C563" s="3" t="s">
        <v>10</v>
      </c>
      <c r="D563" s="3">
        <v>209.5</v>
      </c>
      <c r="E563" s="3">
        <v>497.1</v>
      </c>
      <c r="F563" s="3">
        <v>305.7</v>
      </c>
      <c r="G563" s="3">
        <v>7.0</v>
      </c>
      <c r="H563" s="3">
        <v>32.0</v>
      </c>
    </row>
    <row r="564" ht="15.75" customHeight="1">
      <c r="A564" s="3" t="s">
        <v>32</v>
      </c>
      <c r="B564" s="3">
        <v>2017.0</v>
      </c>
      <c r="C564" s="3" t="s">
        <v>11</v>
      </c>
      <c r="D564" s="3">
        <v>185.3</v>
      </c>
      <c r="E564" s="3">
        <v>383.6</v>
      </c>
      <c r="F564" s="3">
        <v>220.2</v>
      </c>
      <c r="G564" s="3">
        <v>2.0</v>
      </c>
      <c r="H564" s="3">
        <v>32.2</v>
      </c>
    </row>
    <row r="565" ht="15.75" customHeight="1">
      <c r="A565" s="3" t="s">
        <v>32</v>
      </c>
      <c r="B565" s="3">
        <v>2017.0</v>
      </c>
      <c r="C565" s="3" t="s">
        <v>13</v>
      </c>
      <c r="D565" s="3">
        <v>144.6</v>
      </c>
      <c r="E565" s="3">
        <v>349.1</v>
      </c>
      <c r="F565" s="3">
        <v>136.4</v>
      </c>
      <c r="G565" s="3">
        <v>7.0</v>
      </c>
      <c r="H565" s="3">
        <v>23.3</v>
      </c>
    </row>
    <row r="566" ht="15.75" customHeight="1">
      <c r="A566" s="3" t="s">
        <v>32</v>
      </c>
      <c r="B566" s="3">
        <v>2017.0</v>
      </c>
      <c r="C566" s="3" t="s">
        <v>14</v>
      </c>
      <c r="D566" s="3">
        <v>205.1</v>
      </c>
      <c r="E566" s="3">
        <v>422.7</v>
      </c>
      <c r="F566" s="3">
        <v>262.5</v>
      </c>
      <c r="G566" s="3">
        <v>3.0</v>
      </c>
      <c r="H566" s="3">
        <v>30.9</v>
      </c>
    </row>
    <row r="567" ht="15.75" customHeight="1">
      <c r="A567" s="3" t="s">
        <v>32</v>
      </c>
      <c r="B567" s="3">
        <v>2018.0</v>
      </c>
      <c r="C567" s="3" t="s">
        <v>9</v>
      </c>
      <c r="D567" s="3">
        <v>210.0</v>
      </c>
      <c r="E567" s="3">
        <v>515.2</v>
      </c>
      <c r="F567" s="3">
        <v>234.9</v>
      </c>
      <c r="G567" s="3">
        <v>6.0</v>
      </c>
      <c r="H567" s="3">
        <v>48.1</v>
      </c>
    </row>
    <row r="568" ht="15.75" customHeight="1">
      <c r="A568" s="3" t="s">
        <v>32</v>
      </c>
      <c r="B568" s="3">
        <v>2018.0</v>
      </c>
      <c r="C568" s="3" t="s">
        <v>10</v>
      </c>
      <c r="D568" s="3">
        <v>185.2</v>
      </c>
      <c r="E568" s="3">
        <v>533.6</v>
      </c>
      <c r="F568" s="3">
        <v>223.9</v>
      </c>
      <c r="G568" s="3">
        <v>2.0</v>
      </c>
      <c r="H568" s="3">
        <v>14.6</v>
      </c>
    </row>
    <row r="569" ht="15.75" customHeight="1">
      <c r="A569" s="3" t="s">
        <v>32</v>
      </c>
      <c r="B569" s="3">
        <v>2018.0</v>
      </c>
      <c r="C569" s="3" t="s">
        <v>11</v>
      </c>
      <c r="D569" s="3">
        <v>209.0</v>
      </c>
      <c r="E569" s="3">
        <v>434.5</v>
      </c>
      <c r="F569" s="3">
        <v>275.6</v>
      </c>
      <c r="G569" s="3">
        <v>10.0</v>
      </c>
      <c r="H569" s="3">
        <v>30.1</v>
      </c>
    </row>
    <row r="570" ht="15.75" customHeight="1">
      <c r="A570" s="3" t="s">
        <v>32</v>
      </c>
      <c r="B570" s="3">
        <v>2018.0</v>
      </c>
      <c r="C570" s="3" t="s">
        <v>13</v>
      </c>
      <c r="D570" s="3">
        <v>186.8</v>
      </c>
      <c r="E570" s="3">
        <v>389.4</v>
      </c>
      <c r="F570" s="3">
        <v>228.8</v>
      </c>
      <c r="G570" s="3">
        <v>5.0</v>
      </c>
      <c r="H570" s="3">
        <v>13.1</v>
      </c>
    </row>
    <row r="571" ht="15.75" customHeight="1">
      <c r="A571" s="3" t="s">
        <v>32</v>
      </c>
      <c r="B571" s="3">
        <v>2018.0</v>
      </c>
      <c r="C571" s="3" t="s">
        <v>14</v>
      </c>
      <c r="D571" s="3">
        <v>201.5</v>
      </c>
      <c r="E571" s="3">
        <v>535.7</v>
      </c>
      <c r="F571" s="3">
        <v>190.9</v>
      </c>
      <c r="G571" s="3">
        <v>10.0</v>
      </c>
      <c r="H571" s="3">
        <v>10.6</v>
      </c>
    </row>
    <row r="572" ht="15.75" customHeight="1">
      <c r="A572" s="3" t="s">
        <v>32</v>
      </c>
      <c r="B572" s="3">
        <v>2019.0</v>
      </c>
      <c r="C572" s="3" t="s">
        <v>9</v>
      </c>
      <c r="D572" s="3">
        <v>259.4</v>
      </c>
      <c r="E572" s="3">
        <v>551.4</v>
      </c>
      <c r="F572" s="3">
        <v>244.0</v>
      </c>
      <c r="G572" s="3">
        <v>7.0</v>
      </c>
      <c r="H572" s="3">
        <v>45.0</v>
      </c>
    </row>
    <row r="573" ht="15.75" customHeight="1">
      <c r="A573" s="3" t="s">
        <v>32</v>
      </c>
      <c r="B573" s="3">
        <v>2019.0</v>
      </c>
      <c r="C573" s="3" t="s">
        <v>10</v>
      </c>
      <c r="D573" s="3">
        <v>261.8</v>
      </c>
      <c r="E573" s="3">
        <v>645.3</v>
      </c>
      <c r="F573" s="3">
        <v>364.7</v>
      </c>
      <c r="G573" s="3">
        <v>6.0</v>
      </c>
      <c r="H573" s="3">
        <v>18.0</v>
      </c>
    </row>
    <row r="574" ht="15.75" customHeight="1">
      <c r="A574" s="3" t="s">
        <v>32</v>
      </c>
      <c r="B574" s="3">
        <v>2019.0</v>
      </c>
      <c r="C574" s="3" t="s">
        <v>11</v>
      </c>
      <c r="D574" s="3">
        <v>245.8</v>
      </c>
      <c r="E574" s="3">
        <v>509.1</v>
      </c>
      <c r="F574" s="3">
        <v>232.9</v>
      </c>
      <c r="G574" s="3">
        <v>4.0</v>
      </c>
      <c r="H574" s="3">
        <v>24.3</v>
      </c>
    </row>
    <row r="575" ht="15.75" customHeight="1">
      <c r="A575" s="3" t="s">
        <v>32</v>
      </c>
      <c r="B575" s="3">
        <v>2019.0</v>
      </c>
      <c r="C575" s="3" t="s">
        <v>13</v>
      </c>
      <c r="D575" s="3">
        <v>226.6</v>
      </c>
      <c r="E575" s="3">
        <v>514.1</v>
      </c>
      <c r="F575" s="3">
        <v>197.3</v>
      </c>
      <c r="G575" s="3">
        <v>6.0</v>
      </c>
      <c r="H575" s="3">
        <v>22.5</v>
      </c>
    </row>
    <row r="576" ht="15.75" customHeight="1">
      <c r="A576" s="3" t="s">
        <v>32</v>
      </c>
      <c r="B576" s="3">
        <v>2019.0</v>
      </c>
      <c r="C576" s="3" t="s">
        <v>14</v>
      </c>
      <c r="D576" s="3">
        <v>189.7</v>
      </c>
      <c r="E576" s="3">
        <v>498.9</v>
      </c>
      <c r="F576" s="3">
        <v>180.9</v>
      </c>
      <c r="G576" s="3">
        <v>9.0</v>
      </c>
      <c r="H576" s="3">
        <v>7.4</v>
      </c>
    </row>
    <row r="577" ht="15.75" customHeight="1">
      <c r="A577" s="3" t="s">
        <v>32</v>
      </c>
      <c r="B577" s="3">
        <v>2020.0</v>
      </c>
      <c r="C577" s="3" t="s">
        <v>9</v>
      </c>
      <c r="D577" s="3">
        <v>253.5</v>
      </c>
      <c r="E577" s="3">
        <v>599.6</v>
      </c>
      <c r="F577" s="3">
        <v>265.5</v>
      </c>
      <c r="G577" s="3">
        <v>6.0</v>
      </c>
      <c r="H577" s="3">
        <v>11.3</v>
      </c>
    </row>
    <row r="578" ht="15.75" customHeight="1">
      <c r="A578" s="3" t="s">
        <v>32</v>
      </c>
      <c r="B578" s="3">
        <v>2020.0</v>
      </c>
      <c r="C578" s="3" t="s">
        <v>10</v>
      </c>
      <c r="D578" s="3">
        <v>220.6</v>
      </c>
      <c r="E578" s="3">
        <v>632.0</v>
      </c>
      <c r="F578" s="3">
        <v>200.4</v>
      </c>
      <c r="G578" s="3">
        <v>9.0</v>
      </c>
      <c r="H578" s="3">
        <v>5.8</v>
      </c>
    </row>
    <row r="579" ht="15.75" customHeight="1">
      <c r="A579" s="3" t="s">
        <v>32</v>
      </c>
      <c r="B579" s="3">
        <v>2020.0</v>
      </c>
      <c r="C579" s="3" t="s">
        <v>11</v>
      </c>
      <c r="D579" s="3">
        <v>232.2</v>
      </c>
      <c r="E579" s="3">
        <v>534.6</v>
      </c>
      <c r="F579" s="3">
        <v>277.3</v>
      </c>
      <c r="G579" s="3">
        <v>7.0</v>
      </c>
      <c r="H579" s="3">
        <v>24.4</v>
      </c>
    </row>
    <row r="580" ht="15.75" customHeight="1">
      <c r="A580" s="3" t="s">
        <v>32</v>
      </c>
      <c r="B580" s="3">
        <v>2020.0</v>
      </c>
      <c r="C580" s="3" t="s">
        <v>13</v>
      </c>
      <c r="D580" s="3">
        <v>204.0</v>
      </c>
      <c r="E580" s="3">
        <v>535.4</v>
      </c>
      <c r="F580" s="3">
        <v>202.3</v>
      </c>
      <c r="G580" s="3">
        <v>9.0</v>
      </c>
      <c r="H580" s="3">
        <v>5.0</v>
      </c>
    </row>
    <row r="581" ht="15.75" customHeight="1">
      <c r="A581" s="3" t="s">
        <v>32</v>
      </c>
      <c r="B581" s="3">
        <v>2020.0</v>
      </c>
      <c r="C581" s="3" t="s">
        <v>14</v>
      </c>
      <c r="D581" s="3">
        <v>286.5</v>
      </c>
      <c r="E581" s="3">
        <v>778.0</v>
      </c>
      <c r="F581" s="3">
        <v>285.8</v>
      </c>
      <c r="G581" s="3">
        <v>4.0</v>
      </c>
      <c r="H581" s="3">
        <v>23.5</v>
      </c>
    </row>
    <row r="582" ht="15.75" customHeight="1">
      <c r="A582" s="3" t="s">
        <v>32</v>
      </c>
      <c r="B582" s="3">
        <v>2021.0</v>
      </c>
      <c r="C582" s="3" t="s">
        <v>9</v>
      </c>
      <c r="D582" s="3">
        <v>290.9</v>
      </c>
      <c r="E582" s="3">
        <v>870.3</v>
      </c>
      <c r="F582" s="3">
        <v>368.0</v>
      </c>
      <c r="G582" s="3">
        <v>9.0</v>
      </c>
      <c r="H582" s="3">
        <v>42.2</v>
      </c>
    </row>
    <row r="583" ht="15.75" customHeight="1">
      <c r="A583" s="3" t="s">
        <v>32</v>
      </c>
      <c r="B583" s="3">
        <v>2021.0</v>
      </c>
      <c r="C583" s="3" t="s">
        <v>10</v>
      </c>
      <c r="D583" s="3">
        <v>229.8</v>
      </c>
      <c r="E583" s="3">
        <v>664.1</v>
      </c>
      <c r="F583" s="3">
        <v>243.6</v>
      </c>
      <c r="G583" s="3">
        <v>7.0</v>
      </c>
      <c r="H583" s="3">
        <v>25.0</v>
      </c>
    </row>
    <row r="584" ht="15.75" customHeight="1">
      <c r="A584" s="3" t="s">
        <v>32</v>
      </c>
      <c r="B584" s="3">
        <v>2021.0</v>
      </c>
      <c r="C584" s="3" t="s">
        <v>11</v>
      </c>
      <c r="D584" s="3">
        <v>377.3</v>
      </c>
      <c r="E584" s="3">
        <v>1002.8</v>
      </c>
      <c r="F584" s="3">
        <v>332.7</v>
      </c>
      <c r="G584" s="3">
        <v>5.0</v>
      </c>
      <c r="H584" s="3">
        <v>7.0</v>
      </c>
    </row>
    <row r="585" ht="15.75" customHeight="1">
      <c r="A585" s="3" t="s">
        <v>32</v>
      </c>
      <c r="B585" s="3">
        <v>2021.0</v>
      </c>
      <c r="C585" s="3" t="s">
        <v>13</v>
      </c>
      <c r="D585" s="3">
        <v>315.6</v>
      </c>
      <c r="E585" s="3">
        <v>774.5</v>
      </c>
      <c r="F585" s="3">
        <v>420.9</v>
      </c>
      <c r="G585" s="3">
        <v>11.0</v>
      </c>
      <c r="H585" s="3">
        <v>10.6</v>
      </c>
    </row>
    <row r="586" ht="15.75" customHeight="1">
      <c r="A586" s="3" t="s">
        <v>32</v>
      </c>
      <c r="B586" s="3">
        <v>2021.0</v>
      </c>
      <c r="C586" s="3" t="s">
        <v>14</v>
      </c>
      <c r="D586" s="3">
        <v>322.1</v>
      </c>
      <c r="E586" s="3">
        <v>802.0</v>
      </c>
      <c r="F586" s="3">
        <v>403.1</v>
      </c>
      <c r="G586" s="3">
        <v>7.0</v>
      </c>
      <c r="H586" s="3">
        <v>48.5</v>
      </c>
    </row>
    <row r="587" ht="15.75" customHeight="1">
      <c r="A587" s="3" t="s">
        <v>32</v>
      </c>
      <c r="B587" s="3">
        <v>2022.0</v>
      </c>
      <c r="C587" s="3" t="s">
        <v>9</v>
      </c>
      <c r="D587" s="3">
        <v>362.8</v>
      </c>
      <c r="E587" s="3">
        <v>994.6</v>
      </c>
      <c r="F587" s="3">
        <v>361.2</v>
      </c>
      <c r="G587" s="3">
        <v>9.0</v>
      </c>
      <c r="H587" s="3">
        <v>42.9</v>
      </c>
    </row>
    <row r="588" ht="15.75" customHeight="1">
      <c r="A588" s="3" t="s">
        <v>32</v>
      </c>
      <c r="B588" s="3">
        <v>2022.0</v>
      </c>
      <c r="C588" s="3" t="s">
        <v>10</v>
      </c>
      <c r="D588" s="3">
        <v>314.7</v>
      </c>
      <c r="E588" s="3">
        <v>687.0</v>
      </c>
      <c r="F588" s="3">
        <v>433.7</v>
      </c>
      <c r="G588" s="3">
        <v>9.0</v>
      </c>
      <c r="H588" s="3">
        <v>30.6</v>
      </c>
    </row>
    <row r="589" ht="15.75" customHeight="1">
      <c r="A589" s="3" t="s">
        <v>32</v>
      </c>
      <c r="B589" s="3">
        <v>2022.0</v>
      </c>
      <c r="C589" s="3" t="s">
        <v>11</v>
      </c>
      <c r="D589" s="3">
        <v>305.5</v>
      </c>
      <c r="E589" s="3">
        <v>907.5</v>
      </c>
      <c r="F589" s="3">
        <v>366.6</v>
      </c>
      <c r="G589" s="3">
        <v>12.0</v>
      </c>
      <c r="H589" s="3">
        <v>39.5</v>
      </c>
    </row>
    <row r="590" ht="15.75" customHeight="1">
      <c r="A590" s="3" t="s">
        <v>32</v>
      </c>
      <c r="B590" s="3">
        <v>2022.0</v>
      </c>
      <c r="C590" s="3" t="s">
        <v>13</v>
      </c>
      <c r="D590" s="3">
        <v>305.0</v>
      </c>
      <c r="E590" s="3">
        <v>636.6</v>
      </c>
      <c r="F590" s="3">
        <v>362.9</v>
      </c>
      <c r="G590" s="3">
        <v>8.0</v>
      </c>
      <c r="H590" s="3">
        <v>9.6</v>
      </c>
    </row>
    <row r="591" ht="15.75" customHeight="1">
      <c r="A591" s="3" t="s">
        <v>32</v>
      </c>
      <c r="B591" s="3">
        <v>2022.0</v>
      </c>
      <c r="C591" s="3" t="s">
        <v>14</v>
      </c>
      <c r="D591" s="3">
        <v>365.9</v>
      </c>
      <c r="E591" s="3">
        <v>824.1</v>
      </c>
      <c r="F591" s="3">
        <v>425.9</v>
      </c>
      <c r="G591" s="3">
        <v>7.0</v>
      </c>
      <c r="H591" s="3">
        <v>13.2</v>
      </c>
    </row>
    <row r="592" ht="15.75" customHeight="1">
      <c r="A592" s="3" t="s">
        <v>32</v>
      </c>
      <c r="B592" s="3">
        <v>2023.0</v>
      </c>
      <c r="C592" s="3" t="s">
        <v>9</v>
      </c>
      <c r="D592" s="3">
        <v>361.1</v>
      </c>
      <c r="E592" s="3">
        <v>939.0</v>
      </c>
      <c r="F592" s="3">
        <v>302.4</v>
      </c>
      <c r="G592" s="3">
        <v>7.0</v>
      </c>
      <c r="H592" s="3">
        <v>37.8</v>
      </c>
    </row>
    <row r="593" ht="15.75" customHeight="1">
      <c r="A593" s="3" t="s">
        <v>32</v>
      </c>
      <c r="B593" s="3">
        <v>2023.0</v>
      </c>
      <c r="C593" s="3" t="s">
        <v>10</v>
      </c>
      <c r="D593" s="3">
        <v>414.0</v>
      </c>
      <c r="E593" s="3">
        <v>937.8</v>
      </c>
      <c r="F593" s="3">
        <v>491.8</v>
      </c>
      <c r="G593" s="3">
        <v>5.0</v>
      </c>
      <c r="H593" s="3">
        <v>15.4</v>
      </c>
    </row>
    <row r="594" ht="15.75" customHeight="1">
      <c r="A594" s="3" t="s">
        <v>32</v>
      </c>
      <c r="B594" s="3">
        <v>2023.0</v>
      </c>
      <c r="C594" s="3" t="s">
        <v>11</v>
      </c>
      <c r="D594" s="3">
        <v>313.9</v>
      </c>
      <c r="E594" s="3">
        <v>702.6</v>
      </c>
      <c r="F594" s="3">
        <v>450.7</v>
      </c>
      <c r="G594" s="3">
        <v>10.0</v>
      </c>
      <c r="H594" s="3">
        <v>1.3</v>
      </c>
    </row>
    <row r="595" ht="15.75" customHeight="1">
      <c r="A595" s="3" t="s">
        <v>32</v>
      </c>
      <c r="B595" s="3">
        <v>2023.0</v>
      </c>
      <c r="C595" s="3" t="s">
        <v>13</v>
      </c>
      <c r="D595" s="3">
        <v>327.0</v>
      </c>
      <c r="E595" s="3">
        <v>902.6</v>
      </c>
      <c r="F595" s="3">
        <v>296.9</v>
      </c>
      <c r="G595" s="3">
        <v>5.0</v>
      </c>
      <c r="H595" s="3">
        <v>38.3</v>
      </c>
    </row>
    <row r="596" ht="15.75" customHeight="1">
      <c r="A596" s="3" t="s">
        <v>32</v>
      </c>
      <c r="B596" s="3">
        <v>2023.0</v>
      </c>
      <c r="C596" s="3" t="s">
        <v>14</v>
      </c>
      <c r="D596" s="3">
        <v>346.8</v>
      </c>
      <c r="E596" s="3">
        <v>823.9</v>
      </c>
      <c r="F596" s="3">
        <v>449.3</v>
      </c>
      <c r="G596" s="3">
        <v>5.0</v>
      </c>
      <c r="H596" s="3">
        <v>9.4</v>
      </c>
    </row>
    <row r="597" ht="15.75" customHeight="1">
      <c r="A597" s="3" t="s">
        <v>32</v>
      </c>
      <c r="B597" s="3">
        <v>2024.0</v>
      </c>
      <c r="C597" s="3" t="s">
        <v>9</v>
      </c>
      <c r="D597" s="3">
        <v>375.1</v>
      </c>
      <c r="E597" s="3">
        <v>767.2</v>
      </c>
      <c r="F597" s="3">
        <v>469.8</v>
      </c>
      <c r="G597" s="3">
        <v>6.0</v>
      </c>
      <c r="H597" s="3">
        <v>31.1</v>
      </c>
    </row>
    <row r="598" ht="15.75" customHeight="1">
      <c r="A598" s="3" t="s">
        <v>32</v>
      </c>
      <c r="B598" s="3">
        <v>2024.0</v>
      </c>
      <c r="C598" s="3" t="s">
        <v>10</v>
      </c>
      <c r="D598" s="3">
        <v>416.2</v>
      </c>
      <c r="E598" s="3">
        <v>853.4</v>
      </c>
      <c r="F598" s="3">
        <v>343.2</v>
      </c>
      <c r="G598" s="3">
        <v>5.0</v>
      </c>
      <c r="H598" s="3">
        <v>42.8</v>
      </c>
    </row>
    <row r="599" ht="15.75" customHeight="1">
      <c r="A599" s="3" t="s">
        <v>32</v>
      </c>
      <c r="B599" s="3">
        <v>2024.0</v>
      </c>
      <c r="C599" s="3" t="s">
        <v>11</v>
      </c>
      <c r="D599" s="3">
        <v>475.8</v>
      </c>
      <c r="E599" s="3">
        <v>1350.8</v>
      </c>
      <c r="F599" s="3">
        <v>434.1</v>
      </c>
      <c r="G599" s="3">
        <v>7.0</v>
      </c>
      <c r="H599" s="3">
        <v>37.9</v>
      </c>
    </row>
    <row r="600" ht="15.75" customHeight="1">
      <c r="A600" s="3" t="s">
        <v>32</v>
      </c>
      <c r="B600" s="3">
        <v>2024.0</v>
      </c>
      <c r="C600" s="3" t="s">
        <v>13</v>
      </c>
      <c r="D600" s="3">
        <v>345.1</v>
      </c>
      <c r="E600" s="3">
        <v>957.2</v>
      </c>
      <c r="F600" s="3">
        <v>497.2</v>
      </c>
      <c r="G600" s="3">
        <v>11.0</v>
      </c>
      <c r="H600" s="3">
        <v>14.8</v>
      </c>
    </row>
    <row r="601" ht="15.75" customHeight="1">
      <c r="A601" s="3" t="s">
        <v>32</v>
      </c>
      <c r="B601" s="3">
        <v>2024.0</v>
      </c>
      <c r="C601" s="3" t="s">
        <v>14</v>
      </c>
      <c r="D601" s="3">
        <v>411.4</v>
      </c>
      <c r="E601" s="3">
        <v>942.4</v>
      </c>
      <c r="F601" s="3">
        <v>429.1</v>
      </c>
      <c r="G601" s="3">
        <v>6.0</v>
      </c>
      <c r="H601" s="3">
        <v>37.8</v>
      </c>
    </row>
    <row r="602" ht="15.75" customHeight="1">
      <c r="A602" s="3" t="s">
        <v>33</v>
      </c>
      <c r="B602" s="3">
        <v>2015.0</v>
      </c>
      <c r="C602" s="3" t="s">
        <v>9</v>
      </c>
      <c r="D602" s="3">
        <v>87.3</v>
      </c>
      <c r="E602" s="3">
        <v>223.2</v>
      </c>
      <c r="F602" s="3">
        <v>122.2</v>
      </c>
      <c r="G602" s="3">
        <v>8.0</v>
      </c>
      <c r="H602" s="3">
        <v>46.5</v>
      </c>
    </row>
    <row r="603" ht="15.75" customHeight="1">
      <c r="A603" s="3" t="s">
        <v>33</v>
      </c>
      <c r="B603" s="3">
        <v>2015.0</v>
      </c>
      <c r="C603" s="3" t="s">
        <v>10</v>
      </c>
      <c r="D603" s="3">
        <v>103.2</v>
      </c>
      <c r="E603" s="3">
        <v>244.1</v>
      </c>
      <c r="F603" s="3">
        <v>105.5</v>
      </c>
      <c r="G603" s="3">
        <v>4.0</v>
      </c>
      <c r="H603" s="3">
        <v>26.7</v>
      </c>
    </row>
    <row r="604" ht="15.75" customHeight="1">
      <c r="A604" s="3" t="s">
        <v>33</v>
      </c>
      <c r="B604" s="3">
        <v>2015.0</v>
      </c>
      <c r="C604" s="3" t="s">
        <v>11</v>
      </c>
      <c r="D604" s="3">
        <v>106.9</v>
      </c>
      <c r="E604" s="3">
        <v>217.1</v>
      </c>
      <c r="F604" s="3">
        <v>157.5</v>
      </c>
      <c r="G604" s="3">
        <v>9.0</v>
      </c>
      <c r="H604" s="3">
        <v>46.7</v>
      </c>
    </row>
    <row r="605" ht="15.75" customHeight="1">
      <c r="A605" s="3" t="s">
        <v>33</v>
      </c>
      <c r="B605" s="3">
        <v>2015.0</v>
      </c>
      <c r="C605" s="3" t="s">
        <v>13</v>
      </c>
      <c r="D605" s="3">
        <v>70.9</v>
      </c>
      <c r="E605" s="3">
        <v>184.0</v>
      </c>
      <c r="F605" s="3">
        <v>89.1</v>
      </c>
      <c r="G605" s="3">
        <v>8.0</v>
      </c>
      <c r="H605" s="3">
        <v>16.6</v>
      </c>
    </row>
    <row r="606" ht="15.75" customHeight="1">
      <c r="A606" s="3" t="s">
        <v>33</v>
      </c>
      <c r="B606" s="3">
        <v>2015.0</v>
      </c>
      <c r="C606" s="3" t="s">
        <v>14</v>
      </c>
      <c r="D606" s="3">
        <v>186.5</v>
      </c>
      <c r="E606" s="3">
        <v>467.4</v>
      </c>
      <c r="F606" s="3">
        <v>194.9</v>
      </c>
      <c r="G606" s="3">
        <v>2.0</v>
      </c>
      <c r="H606" s="3">
        <v>14.8</v>
      </c>
    </row>
    <row r="607" ht="15.75" customHeight="1">
      <c r="A607" s="3" t="s">
        <v>33</v>
      </c>
      <c r="B607" s="3">
        <v>2016.0</v>
      </c>
      <c r="C607" s="3" t="s">
        <v>9</v>
      </c>
      <c r="D607" s="3">
        <v>216.8</v>
      </c>
      <c r="E607" s="3">
        <v>532.4</v>
      </c>
      <c r="F607" s="3">
        <v>276.4</v>
      </c>
      <c r="G607" s="3">
        <v>3.0</v>
      </c>
      <c r="H607" s="3">
        <v>35.6</v>
      </c>
    </row>
    <row r="608" ht="15.75" customHeight="1">
      <c r="A608" s="3" t="s">
        <v>33</v>
      </c>
      <c r="B608" s="3">
        <v>2016.0</v>
      </c>
      <c r="C608" s="3" t="s">
        <v>10</v>
      </c>
      <c r="D608" s="3">
        <v>150.9</v>
      </c>
      <c r="E608" s="3">
        <v>368.6</v>
      </c>
      <c r="F608" s="3">
        <v>148.3</v>
      </c>
      <c r="G608" s="3">
        <v>3.0</v>
      </c>
      <c r="H608" s="3">
        <v>49.6</v>
      </c>
    </row>
    <row r="609" ht="15.75" customHeight="1">
      <c r="A609" s="3" t="s">
        <v>33</v>
      </c>
      <c r="B609" s="3">
        <v>2016.0</v>
      </c>
      <c r="C609" s="3" t="s">
        <v>11</v>
      </c>
      <c r="D609" s="3">
        <v>165.1</v>
      </c>
      <c r="E609" s="3">
        <v>492.8</v>
      </c>
      <c r="F609" s="3">
        <v>240.6</v>
      </c>
      <c r="G609" s="3">
        <v>3.0</v>
      </c>
      <c r="H609" s="3">
        <v>46.5</v>
      </c>
    </row>
    <row r="610" ht="15.75" customHeight="1">
      <c r="A610" s="3" t="s">
        <v>33</v>
      </c>
      <c r="B610" s="3">
        <v>2016.0</v>
      </c>
      <c r="C610" s="3" t="s">
        <v>13</v>
      </c>
      <c r="D610" s="3">
        <v>103.1</v>
      </c>
      <c r="E610" s="3">
        <v>306.1</v>
      </c>
      <c r="F610" s="3">
        <v>114.8</v>
      </c>
      <c r="G610" s="3">
        <v>3.0</v>
      </c>
      <c r="H610" s="3">
        <v>10.3</v>
      </c>
    </row>
    <row r="611" ht="15.75" customHeight="1">
      <c r="A611" s="3" t="s">
        <v>33</v>
      </c>
      <c r="B611" s="3">
        <v>2016.0</v>
      </c>
      <c r="C611" s="3" t="s">
        <v>14</v>
      </c>
      <c r="D611" s="3">
        <v>142.0</v>
      </c>
      <c r="E611" s="3">
        <v>350.8</v>
      </c>
      <c r="F611" s="3">
        <v>179.3</v>
      </c>
      <c r="G611" s="3">
        <v>5.0</v>
      </c>
      <c r="H611" s="3">
        <v>37.9</v>
      </c>
    </row>
    <row r="612" ht="15.75" customHeight="1">
      <c r="A612" s="3" t="s">
        <v>33</v>
      </c>
      <c r="B612" s="3">
        <v>2017.0</v>
      </c>
      <c r="C612" s="3" t="s">
        <v>9</v>
      </c>
      <c r="D612" s="3">
        <v>132.3</v>
      </c>
      <c r="E612" s="3">
        <v>279.9</v>
      </c>
      <c r="F612" s="3">
        <v>193.1</v>
      </c>
      <c r="G612" s="3">
        <v>2.0</v>
      </c>
      <c r="H612" s="3">
        <v>1.3</v>
      </c>
    </row>
    <row r="613" ht="15.75" customHeight="1">
      <c r="A613" s="3" t="s">
        <v>33</v>
      </c>
      <c r="B613" s="3">
        <v>2017.0</v>
      </c>
      <c r="C613" s="3" t="s">
        <v>10</v>
      </c>
      <c r="D613" s="3">
        <v>165.8</v>
      </c>
      <c r="E613" s="3">
        <v>373.1</v>
      </c>
      <c r="F613" s="3">
        <v>215.9</v>
      </c>
      <c r="G613" s="3">
        <v>8.0</v>
      </c>
      <c r="H613" s="3">
        <v>44.3</v>
      </c>
    </row>
    <row r="614" ht="15.75" customHeight="1">
      <c r="A614" s="3" t="s">
        <v>33</v>
      </c>
      <c r="B614" s="3">
        <v>2017.0</v>
      </c>
      <c r="C614" s="3" t="s">
        <v>11</v>
      </c>
      <c r="D614" s="3">
        <v>142.9</v>
      </c>
      <c r="E614" s="3">
        <v>384.5</v>
      </c>
      <c r="F614" s="3">
        <v>141.5</v>
      </c>
      <c r="G614" s="3">
        <v>10.0</v>
      </c>
      <c r="H614" s="3">
        <v>36.8</v>
      </c>
    </row>
    <row r="615" ht="15.75" customHeight="1">
      <c r="A615" s="3" t="s">
        <v>33</v>
      </c>
      <c r="B615" s="3">
        <v>2017.0</v>
      </c>
      <c r="C615" s="3" t="s">
        <v>13</v>
      </c>
      <c r="D615" s="3">
        <v>159.8</v>
      </c>
      <c r="E615" s="3">
        <v>374.3</v>
      </c>
      <c r="F615" s="3">
        <v>176.0</v>
      </c>
      <c r="G615" s="3">
        <v>2.0</v>
      </c>
      <c r="H615" s="3">
        <v>41.3</v>
      </c>
    </row>
    <row r="616" ht="15.75" customHeight="1">
      <c r="A616" s="3" t="s">
        <v>33</v>
      </c>
      <c r="B616" s="3">
        <v>2017.0</v>
      </c>
      <c r="C616" s="3" t="s">
        <v>14</v>
      </c>
      <c r="D616" s="3">
        <v>170.1</v>
      </c>
      <c r="E616" s="3">
        <v>456.2</v>
      </c>
      <c r="F616" s="3">
        <v>249.2</v>
      </c>
      <c r="G616" s="3">
        <v>5.0</v>
      </c>
      <c r="H616" s="3">
        <v>37.0</v>
      </c>
    </row>
    <row r="617" ht="15.75" customHeight="1">
      <c r="A617" s="3" t="s">
        <v>33</v>
      </c>
      <c r="B617" s="3">
        <v>2018.0</v>
      </c>
      <c r="C617" s="3" t="s">
        <v>9</v>
      </c>
      <c r="D617" s="3">
        <v>192.9</v>
      </c>
      <c r="E617" s="3">
        <v>417.4</v>
      </c>
      <c r="F617" s="3">
        <v>170.0</v>
      </c>
      <c r="G617" s="3">
        <v>6.0</v>
      </c>
      <c r="H617" s="3">
        <v>18.4</v>
      </c>
    </row>
    <row r="618" ht="15.75" customHeight="1">
      <c r="A618" s="3" t="s">
        <v>33</v>
      </c>
      <c r="B618" s="3">
        <v>2018.0</v>
      </c>
      <c r="C618" s="3" t="s">
        <v>10</v>
      </c>
      <c r="D618" s="3">
        <v>217.3</v>
      </c>
      <c r="E618" s="3">
        <v>457.6</v>
      </c>
      <c r="F618" s="3">
        <v>306.6</v>
      </c>
      <c r="G618" s="3">
        <v>10.0</v>
      </c>
      <c r="H618" s="3">
        <v>33.2</v>
      </c>
    </row>
    <row r="619" ht="15.75" customHeight="1">
      <c r="A619" s="3" t="s">
        <v>33</v>
      </c>
      <c r="B619" s="3">
        <v>2018.0</v>
      </c>
      <c r="C619" s="3" t="s">
        <v>11</v>
      </c>
      <c r="D619" s="3">
        <v>228.3</v>
      </c>
      <c r="E619" s="3">
        <v>550.4</v>
      </c>
      <c r="F619" s="3">
        <v>272.2</v>
      </c>
      <c r="G619" s="3">
        <v>6.0</v>
      </c>
      <c r="H619" s="3">
        <v>1.5</v>
      </c>
    </row>
    <row r="620" ht="15.75" customHeight="1">
      <c r="A620" s="3" t="s">
        <v>33</v>
      </c>
      <c r="B620" s="3">
        <v>2018.0</v>
      </c>
      <c r="C620" s="3" t="s">
        <v>13</v>
      </c>
      <c r="D620" s="3">
        <v>222.8</v>
      </c>
      <c r="E620" s="3">
        <v>462.4</v>
      </c>
      <c r="F620" s="3">
        <v>234.6</v>
      </c>
      <c r="G620" s="3">
        <v>8.0</v>
      </c>
      <c r="H620" s="3">
        <v>11.5</v>
      </c>
    </row>
    <row r="621" ht="15.75" customHeight="1">
      <c r="A621" s="3" t="s">
        <v>33</v>
      </c>
      <c r="B621" s="3">
        <v>2018.0</v>
      </c>
      <c r="C621" s="3" t="s">
        <v>14</v>
      </c>
      <c r="D621" s="3">
        <v>233.1</v>
      </c>
      <c r="E621" s="3">
        <v>604.7</v>
      </c>
      <c r="F621" s="3">
        <v>307.0</v>
      </c>
      <c r="G621" s="3">
        <v>5.0</v>
      </c>
      <c r="H621" s="3">
        <v>33.3</v>
      </c>
    </row>
    <row r="622" ht="15.75" customHeight="1">
      <c r="A622" s="3" t="s">
        <v>33</v>
      </c>
      <c r="B622" s="3">
        <v>2019.0</v>
      </c>
      <c r="C622" s="3" t="s">
        <v>9</v>
      </c>
      <c r="D622" s="3">
        <v>245.7</v>
      </c>
      <c r="E622" s="3">
        <v>564.3</v>
      </c>
      <c r="F622" s="3">
        <v>358.0</v>
      </c>
      <c r="G622" s="3">
        <v>8.0</v>
      </c>
      <c r="H622" s="3">
        <v>21.8</v>
      </c>
    </row>
    <row r="623" ht="15.75" customHeight="1">
      <c r="A623" s="3" t="s">
        <v>33</v>
      </c>
      <c r="B623" s="3">
        <v>2019.0</v>
      </c>
      <c r="C623" s="3" t="s">
        <v>10</v>
      </c>
      <c r="D623" s="3">
        <v>219.7</v>
      </c>
      <c r="E623" s="3">
        <v>534.3</v>
      </c>
      <c r="F623" s="3">
        <v>229.3</v>
      </c>
      <c r="G623" s="3">
        <v>9.0</v>
      </c>
      <c r="H623" s="3">
        <v>6.7</v>
      </c>
    </row>
    <row r="624" ht="15.75" customHeight="1">
      <c r="A624" s="3" t="s">
        <v>33</v>
      </c>
      <c r="B624" s="3">
        <v>2019.0</v>
      </c>
      <c r="C624" s="3" t="s">
        <v>11</v>
      </c>
      <c r="D624" s="3">
        <v>154.4</v>
      </c>
      <c r="E624" s="3">
        <v>403.6</v>
      </c>
      <c r="F624" s="3">
        <v>150.8</v>
      </c>
      <c r="G624" s="3">
        <v>7.0</v>
      </c>
      <c r="H624" s="3">
        <v>45.0</v>
      </c>
    </row>
    <row r="625" ht="15.75" customHeight="1">
      <c r="A625" s="3" t="s">
        <v>33</v>
      </c>
      <c r="B625" s="3">
        <v>2019.0</v>
      </c>
      <c r="C625" s="3" t="s">
        <v>13</v>
      </c>
      <c r="D625" s="3">
        <v>214.0</v>
      </c>
      <c r="E625" s="3">
        <v>530.1</v>
      </c>
      <c r="F625" s="3">
        <v>223.7</v>
      </c>
      <c r="G625" s="3">
        <v>10.0</v>
      </c>
      <c r="H625" s="3">
        <v>8.8</v>
      </c>
    </row>
    <row r="626" ht="15.75" customHeight="1">
      <c r="A626" s="3" t="s">
        <v>33</v>
      </c>
      <c r="B626" s="3">
        <v>2019.0</v>
      </c>
      <c r="C626" s="3" t="s">
        <v>14</v>
      </c>
      <c r="D626" s="3">
        <v>183.7</v>
      </c>
      <c r="E626" s="3">
        <v>382.9</v>
      </c>
      <c r="F626" s="3">
        <v>206.9</v>
      </c>
      <c r="G626" s="3">
        <v>7.0</v>
      </c>
      <c r="H626" s="3">
        <v>28.7</v>
      </c>
    </row>
    <row r="627" ht="15.75" customHeight="1">
      <c r="A627" s="3" t="s">
        <v>33</v>
      </c>
      <c r="B627" s="3">
        <v>2020.0</v>
      </c>
      <c r="C627" s="3" t="s">
        <v>9</v>
      </c>
      <c r="D627" s="3">
        <v>223.9</v>
      </c>
      <c r="E627" s="3">
        <v>533.1</v>
      </c>
      <c r="F627" s="3">
        <v>305.8</v>
      </c>
      <c r="G627" s="3">
        <v>8.0</v>
      </c>
      <c r="H627" s="3">
        <v>38.3</v>
      </c>
    </row>
    <row r="628" ht="15.75" customHeight="1">
      <c r="A628" s="3" t="s">
        <v>33</v>
      </c>
      <c r="B628" s="3">
        <v>2020.0</v>
      </c>
      <c r="C628" s="3" t="s">
        <v>10</v>
      </c>
      <c r="D628" s="3">
        <v>185.9</v>
      </c>
      <c r="E628" s="3">
        <v>545.2</v>
      </c>
      <c r="F628" s="3">
        <v>164.2</v>
      </c>
      <c r="G628" s="3">
        <v>7.0</v>
      </c>
      <c r="H628" s="3">
        <v>4.8</v>
      </c>
    </row>
    <row r="629" ht="15.75" customHeight="1">
      <c r="A629" s="3" t="s">
        <v>33</v>
      </c>
      <c r="B629" s="3">
        <v>2020.0</v>
      </c>
      <c r="C629" s="3" t="s">
        <v>11</v>
      </c>
      <c r="D629" s="3">
        <v>240.3</v>
      </c>
      <c r="E629" s="3">
        <v>608.4</v>
      </c>
      <c r="F629" s="3">
        <v>197.8</v>
      </c>
      <c r="G629" s="3">
        <v>7.0</v>
      </c>
      <c r="H629" s="3">
        <v>16.3</v>
      </c>
    </row>
    <row r="630" ht="15.75" customHeight="1">
      <c r="A630" s="3" t="s">
        <v>33</v>
      </c>
      <c r="B630" s="3">
        <v>2020.0</v>
      </c>
      <c r="C630" s="3" t="s">
        <v>13</v>
      </c>
      <c r="D630" s="3">
        <v>248.6</v>
      </c>
      <c r="E630" s="3">
        <v>738.6</v>
      </c>
      <c r="F630" s="3">
        <v>296.7</v>
      </c>
      <c r="G630" s="3">
        <v>9.0</v>
      </c>
      <c r="H630" s="3">
        <v>21.5</v>
      </c>
    </row>
    <row r="631" ht="15.75" customHeight="1">
      <c r="A631" s="3" t="s">
        <v>33</v>
      </c>
      <c r="B631" s="3">
        <v>2020.0</v>
      </c>
      <c r="C631" s="3" t="s">
        <v>14</v>
      </c>
      <c r="D631" s="3">
        <v>214.5</v>
      </c>
      <c r="E631" s="3">
        <v>560.5</v>
      </c>
      <c r="F631" s="3">
        <v>312.6</v>
      </c>
      <c r="G631" s="3">
        <v>5.0</v>
      </c>
      <c r="H631" s="3">
        <v>4.8</v>
      </c>
    </row>
    <row r="632" ht="15.75" customHeight="1">
      <c r="A632" s="3" t="s">
        <v>33</v>
      </c>
      <c r="B632" s="3">
        <v>2021.0</v>
      </c>
      <c r="C632" s="3" t="s">
        <v>9</v>
      </c>
      <c r="D632" s="3">
        <v>300.1</v>
      </c>
      <c r="E632" s="3">
        <v>882.4</v>
      </c>
      <c r="F632" s="3">
        <v>249.9</v>
      </c>
      <c r="G632" s="3">
        <v>11.0</v>
      </c>
      <c r="H632" s="3">
        <v>31.0</v>
      </c>
    </row>
    <row r="633" ht="15.75" customHeight="1">
      <c r="A633" s="3" t="s">
        <v>33</v>
      </c>
      <c r="B633" s="3">
        <v>2021.0</v>
      </c>
      <c r="C633" s="3" t="s">
        <v>10</v>
      </c>
      <c r="D633" s="3">
        <v>243.3</v>
      </c>
      <c r="E633" s="3">
        <v>705.2</v>
      </c>
      <c r="F633" s="3">
        <v>358.5</v>
      </c>
      <c r="G633" s="3">
        <v>5.0</v>
      </c>
      <c r="H633" s="3">
        <v>18.4</v>
      </c>
    </row>
    <row r="634" ht="15.75" customHeight="1">
      <c r="A634" s="3" t="s">
        <v>33</v>
      </c>
      <c r="B634" s="3">
        <v>2021.0</v>
      </c>
      <c r="C634" s="3" t="s">
        <v>11</v>
      </c>
      <c r="D634" s="3">
        <v>342.0</v>
      </c>
      <c r="E634" s="3">
        <v>779.1</v>
      </c>
      <c r="F634" s="3">
        <v>325.5</v>
      </c>
      <c r="G634" s="3">
        <v>7.0</v>
      </c>
      <c r="H634" s="3">
        <v>28.3</v>
      </c>
    </row>
    <row r="635" ht="15.75" customHeight="1">
      <c r="A635" s="3" t="s">
        <v>33</v>
      </c>
      <c r="B635" s="3">
        <v>2021.0</v>
      </c>
      <c r="C635" s="3" t="s">
        <v>13</v>
      </c>
      <c r="D635" s="3">
        <v>333.7</v>
      </c>
      <c r="E635" s="3">
        <v>681.3</v>
      </c>
      <c r="F635" s="3">
        <v>364.8</v>
      </c>
      <c r="G635" s="3">
        <v>5.0</v>
      </c>
      <c r="H635" s="3">
        <v>28.3</v>
      </c>
    </row>
    <row r="636" ht="15.75" customHeight="1">
      <c r="A636" s="3" t="s">
        <v>33</v>
      </c>
      <c r="B636" s="3">
        <v>2021.0</v>
      </c>
      <c r="C636" s="3" t="s">
        <v>14</v>
      </c>
      <c r="D636" s="3">
        <v>319.6</v>
      </c>
      <c r="E636" s="3">
        <v>945.6</v>
      </c>
      <c r="F636" s="3">
        <v>305.0</v>
      </c>
      <c r="G636" s="3">
        <v>11.0</v>
      </c>
      <c r="H636" s="3">
        <v>3.5</v>
      </c>
    </row>
    <row r="637" ht="15.75" customHeight="1">
      <c r="A637" s="3" t="s">
        <v>33</v>
      </c>
      <c r="B637" s="3">
        <v>2022.0</v>
      </c>
      <c r="C637" s="3" t="s">
        <v>9</v>
      </c>
      <c r="D637" s="3">
        <v>346.6</v>
      </c>
      <c r="E637" s="3">
        <v>792.1</v>
      </c>
      <c r="F637" s="3">
        <v>299.4</v>
      </c>
      <c r="G637" s="3">
        <v>9.0</v>
      </c>
      <c r="H637" s="3">
        <v>27.0</v>
      </c>
    </row>
    <row r="638" ht="15.75" customHeight="1">
      <c r="A638" s="3" t="s">
        <v>33</v>
      </c>
      <c r="B638" s="3">
        <v>2022.0</v>
      </c>
      <c r="C638" s="3" t="s">
        <v>10</v>
      </c>
      <c r="D638" s="3">
        <v>343.3</v>
      </c>
      <c r="E638" s="3">
        <v>839.1</v>
      </c>
      <c r="F638" s="3">
        <v>489.4</v>
      </c>
      <c r="G638" s="3">
        <v>10.0</v>
      </c>
      <c r="H638" s="3">
        <v>41.8</v>
      </c>
    </row>
    <row r="639" ht="15.75" customHeight="1">
      <c r="A639" s="3" t="s">
        <v>33</v>
      </c>
      <c r="B639" s="3">
        <v>2022.0</v>
      </c>
      <c r="C639" s="3" t="s">
        <v>11</v>
      </c>
      <c r="D639" s="3">
        <v>335.5</v>
      </c>
      <c r="E639" s="3">
        <v>987.4</v>
      </c>
      <c r="F639" s="3">
        <v>324.1</v>
      </c>
      <c r="G639" s="3">
        <v>7.0</v>
      </c>
      <c r="H639" s="3">
        <v>38.6</v>
      </c>
    </row>
    <row r="640" ht="15.75" customHeight="1">
      <c r="A640" s="3" t="s">
        <v>33</v>
      </c>
      <c r="B640" s="3">
        <v>2022.0</v>
      </c>
      <c r="C640" s="3" t="s">
        <v>13</v>
      </c>
      <c r="D640" s="3">
        <v>314.6</v>
      </c>
      <c r="E640" s="3">
        <v>781.6</v>
      </c>
      <c r="F640" s="3">
        <v>364.9</v>
      </c>
      <c r="G640" s="3">
        <v>8.0</v>
      </c>
      <c r="H640" s="3">
        <v>45.2</v>
      </c>
    </row>
    <row r="641" ht="15.75" customHeight="1">
      <c r="A641" s="3" t="s">
        <v>33</v>
      </c>
      <c r="B641" s="3">
        <v>2022.0</v>
      </c>
      <c r="C641" s="3" t="s">
        <v>14</v>
      </c>
      <c r="D641" s="3">
        <v>280.8</v>
      </c>
      <c r="E641" s="3">
        <v>652.9</v>
      </c>
      <c r="F641" s="3">
        <v>232.4</v>
      </c>
      <c r="G641" s="3">
        <v>5.0</v>
      </c>
      <c r="H641" s="3">
        <v>41.6</v>
      </c>
    </row>
    <row r="642" ht="15.75" customHeight="1">
      <c r="A642" s="3" t="s">
        <v>33</v>
      </c>
      <c r="B642" s="3">
        <v>2023.0</v>
      </c>
      <c r="C642" s="3" t="s">
        <v>9</v>
      </c>
      <c r="D642" s="3">
        <v>407.2</v>
      </c>
      <c r="E642" s="3">
        <v>955.3</v>
      </c>
      <c r="F642" s="3">
        <v>517.1</v>
      </c>
      <c r="G642" s="3">
        <v>10.0</v>
      </c>
      <c r="H642" s="3">
        <v>22.6</v>
      </c>
    </row>
    <row r="643" ht="15.75" customHeight="1">
      <c r="A643" s="3" t="s">
        <v>33</v>
      </c>
      <c r="B643" s="3">
        <v>2023.0</v>
      </c>
      <c r="C643" s="3" t="s">
        <v>10</v>
      </c>
      <c r="D643" s="3">
        <v>363.2</v>
      </c>
      <c r="E643" s="3">
        <v>871.8</v>
      </c>
      <c r="F643" s="3">
        <v>489.8</v>
      </c>
      <c r="G643" s="3">
        <v>6.0</v>
      </c>
      <c r="H643" s="3">
        <v>49.9</v>
      </c>
    </row>
    <row r="644" ht="15.75" customHeight="1">
      <c r="A644" s="3" t="s">
        <v>33</v>
      </c>
      <c r="B644" s="3">
        <v>2023.0</v>
      </c>
      <c r="C644" s="3" t="s">
        <v>11</v>
      </c>
      <c r="D644" s="3">
        <v>311.1</v>
      </c>
      <c r="E644" s="3">
        <v>914.2</v>
      </c>
      <c r="F644" s="3">
        <v>288.3</v>
      </c>
      <c r="G644" s="3">
        <v>6.0</v>
      </c>
      <c r="H644" s="3">
        <v>44.5</v>
      </c>
    </row>
    <row r="645" ht="15.75" customHeight="1">
      <c r="A645" s="3" t="s">
        <v>33</v>
      </c>
      <c r="B645" s="3">
        <v>2023.0</v>
      </c>
      <c r="C645" s="3" t="s">
        <v>13</v>
      </c>
      <c r="D645" s="3">
        <v>398.8</v>
      </c>
      <c r="E645" s="3">
        <v>920.2</v>
      </c>
      <c r="F645" s="3">
        <v>471.6</v>
      </c>
      <c r="G645" s="3">
        <v>12.0</v>
      </c>
      <c r="H645" s="3">
        <v>8.9</v>
      </c>
    </row>
    <row r="646" ht="15.75" customHeight="1">
      <c r="A646" s="3" t="s">
        <v>33</v>
      </c>
      <c r="B646" s="3">
        <v>2023.0</v>
      </c>
      <c r="C646" s="3" t="s">
        <v>14</v>
      </c>
      <c r="D646" s="3">
        <v>363.6</v>
      </c>
      <c r="E646" s="3">
        <v>978.3</v>
      </c>
      <c r="F646" s="3">
        <v>377.6</v>
      </c>
      <c r="G646" s="3">
        <v>12.0</v>
      </c>
      <c r="H646" s="3">
        <v>3.6</v>
      </c>
    </row>
    <row r="647" ht="15.75" customHeight="1">
      <c r="A647" s="3" t="s">
        <v>33</v>
      </c>
      <c r="B647" s="3">
        <v>2024.0</v>
      </c>
      <c r="C647" s="3" t="s">
        <v>9</v>
      </c>
      <c r="D647" s="3">
        <v>423.0</v>
      </c>
      <c r="E647" s="3">
        <v>915.0</v>
      </c>
      <c r="F647" s="3">
        <v>407.6</v>
      </c>
      <c r="G647" s="3">
        <v>9.0</v>
      </c>
      <c r="H647" s="3">
        <v>41.9</v>
      </c>
    </row>
    <row r="648" ht="15.75" customHeight="1">
      <c r="A648" s="3" t="s">
        <v>33</v>
      </c>
      <c r="B648" s="3">
        <v>2024.0</v>
      </c>
      <c r="C648" s="3" t="s">
        <v>10</v>
      </c>
      <c r="D648" s="3">
        <v>361.6</v>
      </c>
      <c r="E648" s="3">
        <v>824.5</v>
      </c>
      <c r="F648" s="3">
        <v>359.6</v>
      </c>
      <c r="G648" s="3">
        <v>12.0</v>
      </c>
      <c r="H648" s="3">
        <v>21.6</v>
      </c>
    </row>
    <row r="649" ht="15.75" customHeight="1">
      <c r="A649" s="3" t="s">
        <v>33</v>
      </c>
      <c r="B649" s="3">
        <v>2024.0</v>
      </c>
      <c r="C649" s="3" t="s">
        <v>11</v>
      </c>
      <c r="D649" s="3">
        <v>376.2</v>
      </c>
      <c r="E649" s="3">
        <v>832.7</v>
      </c>
      <c r="F649" s="3">
        <v>411.5</v>
      </c>
      <c r="G649" s="3">
        <v>6.0</v>
      </c>
      <c r="H649" s="3">
        <v>20.3</v>
      </c>
    </row>
    <row r="650" ht="15.75" customHeight="1">
      <c r="A650" s="3" t="s">
        <v>33</v>
      </c>
      <c r="B650" s="3">
        <v>2024.0</v>
      </c>
      <c r="C650" s="3" t="s">
        <v>13</v>
      </c>
      <c r="D650" s="3">
        <v>402.5</v>
      </c>
      <c r="E650" s="3">
        <v>1122.0</v>
      </c>
      <c r="F650" s="3">
        <v>408.4</v>
      </c>
      <c r="G650" s="3">
        <v>8.0</v>
      </c>
      <c r="H650" s="3">
        <v>48.7</v>
      </c>
    </row>
    <row r="651" ht="15.75" customHeight="1">
      <c r="A651" s="3" t="s">
        <v>33</v>
      </c>
      <c r="B651" s="3">
        <v>2024.0</v>
      </c>
      <c r="C651" s="3" t="s">
        <v>14</v>
      </c>
      <c r="D651" s="3">
        <v>411.2</v>
      </c>
      <c r="E651" s="3">
        <v>725.6</v>
      </c>
      <c r="F651" s="3">
        <v>413.4</v>
      </c>
      <c r="G651" s="3">
        <v>11.0</v>
      </c>
      <c r="H651" s="3">
        <v>45.3</v>
      </c>
    </row>
    <row r="652" ht="15.75" customHeight="1">
      <c r="A652" s="3" t="s">
        <v>34</v>
      </c>
      <c r="B652" s="3">
        <v>2015.0</v>
      </c>
      <c r="C652" s="3" t="s">
        <v>9</v>
      </c>
      <c r="D652" s="3">
        <v>90.1</v>
      </c>
      <c r="E652" s="3">
        <v>200.3</v>
      </c>
      <c r="F652" s="3">
        <v>92.2</v>
      </c>
      <c r="G652" s="3">
        <v>4.0</v>
      </c>
      <c r="H652" s="3">
        <v>41.0</v>
      </c>
    </row>
    <row r="653" ht="15.75" customHeight="1">
      <c r="A653" s="3" t="s">
        <v>34</v>
      </c>
      <c r="B653" s="3">
        <v>2015.0</v>
      </c>
      <c r="C653" s="3" t="s">
        <v>10</v>
      </c>
      <c r="D653" s="3">
        <v>138.7</v>
      </c>
      <c r="E653" s="3">
        <v>289.9</v>
      </c>
      <c r="F653" s="3">
        <v>129.8</v>
      </c>
      <c r="G653" s="3">
        <v>7.0</v>
      </c>
      <c r="H653" s="3">
        <v>17.5</v>
      </c>
    </row>
    <row r="654" ht="15.75" customHeight="1">
      <c r="A654" s="3" t="s">
        <v>34</v>
      </c>
      <c r="B654" s="3">
        <v>2015.0</v>
      </c>
      <c r="C654" s="3" t="s">
        <v>11</v>
      </c>
      <c r="D654" s="3">
        <v>81.0</v>
      </c>
      <c r="E654" s="3">
        <v>215.8</v>
      </c>
      <c r="F654" s="3">
        <v>114.2</v>
      </c>
      <c r="G654" s="3">
        <v>5.0</v>
      </c>
      <c r="H654" s="3">
        <v>36.6</v>
      </c>
    </row>
    <row r="655" ht="15.75" customHeight="1">
      <c r="A655" s="3" t="s">
        <v>34</v>
      </c>
      <c r="B655" s="3">
        <v>2015.0</v>
      </c>
      <c r="C655" s="3" t="s">
        <v>13</v>
      </c>
      <c r="D655" s="3">
        <v>57.3</v>
      </c>
      <c r="E655" s="3">
        <v>137.3</v>
      </c>
      <c r="F655" s="3">
        <v>67.1</v>
      </c>
      <c r="G655" s="3">
        <v>3.0</v>
      </c>
      <c r="H655" s="3">
        <v>11.6</v>
      </c>
    </row>
    <row r="656" ht="15.75" customHeight="1">
      <c r="A656" s="3" t="s">
        <v>34</v>
      </c>
      <c r="B656" s="3">
        <v>2015.0</v>
      </c>
      <c r="C656" s="3" t="s">
        <v>14</v>
      </c>
      <c r="D656" s="3">
        <v>118.3</v>
      </c>
      <c r="E656" s="3">
        <v>254.7</v>
      </c>
      <c r="F656" s="3">
        <v>107.0</v>
      </c>
      <c r="G656" s="3">
        <v>7.0</v>
      </c>
      <c r="H656" s="3">
        <v>18.0</v>
      </c>
    </row>
    <row r="657" ht="15.75" customHeight="1">
      <c r="A657" s="3" t="s">
        <v>34</v>
      </c>
      <c r="B657" s="3">
        <v>2016.0</v>
      </c>
      <c r="C657" s="3" t="s">
        <v>9</v>
      </c>
      <c r="D657" s="3">
        <v>132.4</v>
      </c>
      <c r="E657" s="3">
        <v>319.0</v>
      </c>
      <c r="F657" s="3">
        <v>169.0</v>
      </c>
      <c r="G657" s="3">
        <v>6.0</v>
      </c>
      <c r="H657" s="3">
        <v>41.5</v>
      </c>
    </row>
    <row r="658" ht="15.75" customHeight="1">
      <c r="A658" s="3" t="s">
        <v>34</v>
      </c>
      <c r="B658" s="3">
        <v>2016.0</v>
      </c>
      <c r="C658" s="3" t="s">
        <v>10</v>
      </c>
      <c r="D658" s="3">
        <v>186.0</v>
      </c>
      <c r="E658" s="3">
        <v>408.1</v>
      </c>
      <c r="F658" s="3">
        <v>232.4</v>
      </c>
      <c r="G658" s="3">
        <v>5.0</v>
      </c>
      <c r="H658" s="3">
        <v>44.4</v>
      </c>
    </row>
    <row r="659" ht="15.75" customHeight="1">
      <c r="A659" s="3" t="s">
        <v>34</v>
      </c>
      <c r="B659" s="3">
        <v>2016.0</v>
      </c>
      <c r="C659" s="3" t="s">
        <v>11</v>
      </c>
      <c r="D659" s="3">
        <v>135.2</v>
      </c>
      <c r="E659" s="3">
        <v>312.6</v>
      </c>
      <c r="F659" s="3">
        <v>119.7</v>
      </c>
      <c r="G659" s="3">
        <v>4.0</v>
      </c>
      <c r="H659" s="3">
        <v>21.2</v>
      </c>
    </row>
    <row r="660" ht="15.75" customHeight="1">
      <c r="A660" s="3" t="s">
        <v>34</v>
      </c>
      <c r="B660" s="3">
        <v>2016.0</v>
      </c>
      <c r="C660" s="3" t="s">
        <v>13</v>
      </c>
      <c r="D660" s="3">
        <v>187.4</v>
      </c>
      <c r="E660" s="3">
        <v>401.3</v>
      </c>
      <c r="F660" s="3">
        <v>221.5</v>
      </c>
      <c r="G660" s="3">
        <v>3.0</v>
      </c>
      <c r="H660" s="3">
        <v>20.5</v>
      </c>
    </row>
    <row r="661" ht="15.75" customHeight="1">
      <c r="A661" s="3" t="s">
        <v>34</v>
      </c>
      <c r="B661" s="3">
        <v>2016.0</v>
      </c>
      <c r="C661" s="3" t="s">
        <v>14</v>
      </c>
      <c r="D661" s="3">
        <v>139.9</v>
      </c>
      <c r="E661" s="3">
        <v>371.5</v>
      </c>
      <c r="F661" s="3">
        <v>164.3</v>
      </c>
      <c r="G661" s="3">
        <v>7.0</v>
      </c>
      <c r="H661" s="3">
        <v>33.9</v>
      </c>
    </row>
    <row r="662" ht="15.75" customHeight="1">
      <c r="A662" s="3" t="s">
        <v>34</v>
      </c>
      <c r="B662" s="3">
        <v>2017.0</v>
      </c>
      <c r="C662" s="3" t="s">
        <v>9</v>
      </c>
      <c r="D662" s="3">
        <v>209.8</v>
      </c>
      <c r="E662" s="3">
        <v>601.3</v>
      </c>
      <c r="F662" s="3">
        <v>210.3</v>
      </c>
      <c r="G662" s="3">
        <v>7.0</v>
      </c>
      <c r="H662" s="3">
        <v>38.6</v>
      </c>
    </row>
    <row r="663" ht="15.75" customHeight="1">
      <c r="A663" s="3" t="s">
        <v>34</v>
      </c>
      <c r="B663" s="3">
        <v>2017.0</v>
      </c>
      <c r="C663" s="3" t="s">
        <v>10</v>
      </c>
      <c r="D663" s="3">
        <v>252.9</v>
      </c>
      <c r="E663" s="3">
        <v>609.8</v>
      </c>
      <c r="F663" s="3">
        <v>278.0</v>
      </c>
      <c r="G663" s="3">
        <v>10.0</v>
      </c>
      <c r="H663" s="3">
        <v>28.6</v>
      </c>
    </row>
    <row r="664" ht="15.75" customHeight="1">
      <c r="A664" s="3" t="s">
        <v>34</v>
      </c>
      <c r="B664" s="3">
        <v>2017.0</v>
      </c>
      <c r="C664" s="3" t="s">
        <v>11</v>
      </c>
      <c r="D664" s="3">
        <v>151.4</v>
      </c>
      <c r="E664" s="3">
        <v>367.8</v>
      </c>
      <c r="F664" s="3">
        <v>150.6</v>
      </c>
      <c r="G664" s="3">
        <v>8.0</v>
      </c>
      <c r="H664" s="3">
        <v>5.9</v>
      </c>
    </row>
    <row r="665" ht="15.75" customHeight="1">
      <c r="A665" s="3" t="s">
        <v>34</v>
      </c>
      <c r="B665" s="3">
        <v>2017.0</v>
      </c>
      <c r="C665" s="3" t="s">
        <v>13</v>
      </c>
      <c r="D665" s="3">
        <v>166.1</v>
      </c>
      <c r="E665" s="3">
        <v>419.2</v>
      </c>
      <c r="F665" s="3">
        <v>162.4</v>
      </c>
      <c r="G665" s="3">
        <v>2.0</v>
      </c>
      <c r="H665" s="3">
        <v>44.6</v>
      </c>
    </row>
    <row r="666" ht="15.75" customHeight="1">
      <c r="A666" s="3" t="s">
        <v>34</v>
      </c>
      <c r="B666" s="3">
        <v>2017.0</v>
      </c>
      <c r="C666" s="3" t="s">
        <v>14</v>
      </c>
      <c r="D666" s="3">
        <v>239.3</v>
      </c>
      <c r="E666" s="3">
        <v>668.0</v>
      </c>
      <c r="F666" s="3">
        <v>292.4</v>
      </c>
      <c r="G666" s="3">
        <v>6.0</v>
      </c>
      <c r="H666" s="3">
        <v>6.0</v>
      </c>
    </row>
    <row r="667" ht="15.75" customHeight="1">
      <c r="A667" s="3" t="s">
        <v>34</v>
      </c>
      <c r="B667" s="3">
        <v>2018.0</v>
      </c>
      <c r="C667" s="3" t="s">
        <v>9</v>
      </c>
      <c r="D667" s="3">
        <v>214.1</v>
      </c>
      <c r="E667" s="3">
        <v>489.9</v>
      </c>
      <c r="F667" s="3">
        <v>185.3</v>
      </c>
      <c r="G667" s="3">
        <v>5.0</v>
      </c>
      <c r="H667" s="3">
        <v>16.9</v>
      </c>
    </row>
    <row r="668" ht="15.75" customHeight="1">
      <c r="A668" s="3" t="s">
        <v>34</v>
      </c>
      <c r="B668" s="3">
        <v>2018.0</v>
      </c>
      <c r="C668" s="3" t="s">
        <v>10</v>
      </c>
      <c r="D668" s="3">
        <v>246.0</v>
      </c>
      <c r="E668" s="3">
        <v>659.9</v>
      </c>
      <c r="F668" s="3">
        <v>295.9</v>
      </c>
      <c r="G668" s="3">
        <v>6.0</v>
      </c>
      <c r="H668" s="3">
        <v>14.5</v>
      </c>
    </row>
    <row r="669" ht="15.75" customHeight="1">
      <c r="A669" s="3" t="s">
        <v>34</v>
      </c>
      <c r="B669" s="3">
        <v>2018.0</v>
      </c>
      <c r="C669" s="3" t="s">
        <v>11</v>
      </c>
      <c r="D669" s="3">
        <v>239.7</v>
      </c>
      <c r="E669" s="3">
        <v>483.8</v>
      </c>
      <c r="F669" s="3">
        <v>269.6</v>
      </c>
      <c r="G669" s="3">
        <v>10.0</v>
      </c>
      <c r="H669" s="3">
        <v>16.9</v>
      </c>
    </row>
    <row r="670" ht="15.75" customHeight="1">
      <c r="A670" s="3" t="s">
        <v>34</v>
      </c>
      <c r="B670" s="3">
        <v>2018.0</v>
      </c>
      <c r="C670" s="3" t="s">
        <v>13</v>
      </c>
      <c r="D670" s="3">
        <v>233.8</v>
      </c>
      <c r="E670" s="3">
        <v>517.3</v>
      </c>
      <c r="F670" s="3">
        <v>207.0</v>
      </c>
      <c r="G670" s="3">
        <v>4.0</v>
      </c>
      <c r="H670" s="3">
        <v>3.2</v>
      </c>
    </row>
    <row r="671" ht="15.75" customHeight="1">
      <c r="A671" s="3" t="s">
        <v>34</v>
      </c>
      <c r="B671" s="3">
        <v>2018.0</v>
      </c>
      <c r="C671" s="3" t="s">
        <v>14</v>
      </c>
      <c r="D671" s="3">
        <v>172.2</v>
      </c>
      <c r="E671" s="3">
        <v>516.1</v>
      </c>
      <c r="F671" s="3">
        <v>159.9</v>
      </c>
      <c r="G671" s="3">
        <v>10.0</v>
      </c>
      <c r="H671" s="3">
        <v>46.5</v>
      </c>
    </row>
    <row r="672" ht="15.75" customHeight="1">
      <c r="A672" s="3" t="s">
        <v>34</v>
      </c>
      <c r="B672" s="3">
        <v>2019.0</v>
      </c>
      <c r="C672" s="3" t="s">
        <v>9</v>
      </c>
      <c r="D672" s="3">
        <v>274.9</v>
      </c>
      <c r="E672" s="3">
        <v>781.1</v>
      </c>
      <c r="F672" s="3">
        <v>312.8</v>
      </c>
      <c r="G672" s="3">
        <v>4.0</v>
      </c>
      <c r="H672" s="3">
        <v>21.9</v>
      </c>
    </row>
    <row r="673" ht="15.75" customHeight="1">
      <c r="A673" s="3" t="s">
        <v>34</v>
      </c>
      <c r="B673" s="3">
        <v>2019.0</v>
      </c>
      <c r="C673" s="3" t="s">
        <v>10</v>
      </c>
      <c r="D673" s="3">
        <v>249.3</v>
      </c>
      <c r="E673" s="3">
        <v>542.2</v>
      </c>
      <c r="F673" s="3">
        <v>251.1</v>
      </c>
      <c r="G673" s="3">
        <v>11.0</v>
      </c>
      <c r="H673" s="3">
        <v>48.3</v>
      </c>
    </row>
    <row r="674" ht="15.75" customHeight="1">
      <c r="A674" s="3" t="s">
        <v>34</v>
      </c>
      <c r="B674" s="3">
        <v>2019.0</v>
      </c>
      <c r="C674" s="3" t="s">
        <v>11</v>
      </c>
      <c r="D674" s="3">
        <v>239.6</v>
      </c>
      <c r="E674" s="3">
        <v>518.9</v>
      </c>
      <c r="F674" s="3">
        <v>195.8</v>
      </c>
      <c r="G674" s="3">
        <v>7.0</v>
      </c>
      <c r="H674" s="3">
        <v>4.4</v>
      </c>
    </row>
    <row r="675" ht="15.75" customHeight="1">
      <c r="A675" s="3" t="s">
        <v>34</v>
      </c>
      <c r="B675" s="3">
        <v>2019.0</v>
      </c>
      <c r="C675" s="3" t="s">
        <v>13</v>
      </c>
      <c r="D675" s="3">
        <v>255.4</v>
      </c>
      <c r="E675" s="3">
        <v>543.5</v>
      </c>
      <c r="F675" s="3">
        <v>347.4</v>
      </c>
      <c r="G675" s="3">
        <v>8.0</v>
      </c>
      <c r="H675" s="3">
        <v>8.0</v>
      </c>
    </row>
    <row r="676" ht="15.75" customHeight="1">
      <c r="A676" s="3" t="s">
        <v>34</v>
      </c>
      <c r="B676" s="3">
        <v>2019.0</v>
      </c>
      <c r="C676" s="3" t="s">
        <v>14</v>
      </c>
      <c r="D676" s="3">
        <v>187.2</v>
      </c>
      <c r="E676" s="3">
        <v>531.3</v>
      </c>
      <c r="F676" s="3">
        <v>230.3</v>
      </c>
      <c r="G676" s="3">
        <v>7.0</v>
      </c>
      <c r="H676" s="3">
        <v>15.5</v>
      </c>
    </row>
    <row r="677" ht="15.75" customHeight="1">
      <c r="A677" s="3" t="s">
        <v>34</v>
      </c>
      <c r="B677" s="3">
        <v>2020.0</v>
      </c>
      <c r="C677" s="3" t="s">
        <v>9</v>
      </c>
      <c r="D677" s="3">
        <v>271.2</v>
      </c>
      <c r="E677" s="3">
        <v>601.5</v>
      </c>
      <c r="F677" s="3">
        <v>342.6</v>
      </c>
      <c r="G677" s="3">
        <v>10.0</v>
      </c>
      <c r="H677" s="3">
        <v>7.3</v>
      </c>
    </row>
    <row r="678" ht="15.75" customHeight="1">
      <c r="A678" s="3" t="s">
        <v>34</v>
      </c>
      <c r="B678" s="3">
        <v>2020.0</v>
      </c>
      <c r="C678" s="3" t="s">
        <v>10</v>
      </c>
      <c r="D678" s="3">
        <v>318.0</v>
      </c>
      <c r="E678" s="3">
        <v>902.2</v>
      </c>
      <c r="F678" s="3">
        <v>282.7</v>
      </c>
      <c r="G678" s="3">
        <v>4.0</v>
      </c>
      <c r="H678" s="3">
        <v>41.7</v>
      </c>
    </row>
    <row r="679" ht="15.75" customHeight="1">
      <c r="A679" s="3" t="s">
        <v>34</v>
      </c>
      <c r="B679" s="3">
        <v>2020.0</v>
      </c>
      <c r="C679" s="3" t="s">
        <v>11</v>
      </c>
      <c r="D679" s="3">
        <v>281.7</v>
      </c>
      <c r="E679" s="3">
        <v>746.4</v>
      </c>
      <c r="F679" s="3">
        <v>245.8</v>
      </c>
      <c r="G679" s="3">
        <v>6.0</v>
      </c>
      <c r="H679" s="3">
        <v>32.6</v>
      </c>
    </row>
    <row r="680" ht="15.75" customHeight="1">
      <c r="A680" s="3" t="s">
        <v>34</v>
      </c>
      <c r="B680" s="3">
        <v>2020.0</v>
      </c>
      <c r="C680" s="3" t="s">
        <v>13</v>
      </c>
      <c r="D680" s="3">
        <v>233.1</v>
      </c>
      <c r="E680" s="3">
        <v>469.2</v>
      </c>
      <c r="F680" s="3">
        <v>274.6</v>
      </c>
      <c r="G680" s="3">
        <v>10.0</v>
      </c>
      <c r="H680" s="3">
        <v>44.8</v>
      </c>
    </row>
    <row r="681" ht="15.75" customHeight="1">
      <c r="A681" s="3" t="s">
        <v>34</v>
      </c>
      <c r="B681" s="3">
        <v>2020.0</v>
      </c>
      <c r="C681" s="3" t="s">
        <v>14</v>
      </c>
      <c r="D681" s="3">
        <v>241.3</v>
      </c>
      <c r="E681" s="3">
        <v>699.4</v>
      </c>
      <c r="F681" s="3">
        <v>286.4</v>
      </c>
      <c r="G681" s="3">
        <v>11.0</v>
      </c>
      <c r="H681" s="3">
        <v>19.8</v>
      </c>
    </row>
    <row r="682" ht="15.75" customHeight="1">
      <c r="A682" s="3" t="s">
        <v>34</v>
      </c>
      <c r="B682" s="3">
        <v>2021.0</v>
      </c>
      <c r="C682" s="3" t="s">
        <v>9</v>
      </c>
      <c r="D682" s="3">
        <v>278.2</v>
      </c>
      <c r="E682" s="3">
        <v>623.2</v>
      </c>
      <c r="F682" s="3">
        <v>241.0</v>
      </c>
      <c r="G682" s="3">
        <v>6.0</v>
      </c>
      <c r="H682" s="3">
        <v>7.8</v>
      </c>
    </row>
    <row r="683" ht="15.75" customHeight="1">
      <c r="A683" s="3" t="s">
        <v>34</v>
      </c>
      <c r="B683" s="3">
        <v>2021.0</v>
      </c>
      <c r="C683" s="3" t="s">
        <v>10</v>
      </c>
      <c r="D683" s="3">
        <v>343.1</v>
      </c>
      <c r="E683" s="3">
        <v>1025.0</v>
      </c>
      <c r="F683" s="3">
        <v>381.1</v>
      </c>
      <c r="G683" s="3">
        <v>9.0</v>
      </c>
      <c r="H683" s="3">
        <v>43.8</v>
      </c>
    </row>
    <row r="684" ht="15.75" customHeight="1">
      <c r="A684" s="3" t="s">
        <v>34</v>
      </c>
      <c r="B684" s="3">
        <v>2021.0</v>
      </c>
      <c r="C684" s="3" t="s">
        <v>11</v>
      </c>
      <c r="D684" s="3">
        <v>317.3</v>
      </c>
      <c r="E684" s="3">
        <v>738.4</v>
      </c>
      <c r="F684" s="3">
        <v>321.8</v>
      </c>
      <c r="G684" s="3">
        <v>4.0</v>
      </c>
      <c r="H684" s="3">
        <v>25.0</v>
      </c>
    </row>
    <row r="685" ht="15.75" customHeight="1">
      <c r="A685" s="3" t="s">
        <v>34</v>
      </c>
      <c r="B685" s="3">
        <v>2021.0</v>
      </c>
      <c r="C685" s="3" t="s">
        <v>13</v>
      </c>
      <c r="D685" s="3">
        <v>339.1</v>
      </c>
      <c r="E685" s="3">
        <v>879.2</v>
      </c>
      <c r="F685" s="3">
        <v>436.2</v>
      </c>
      <c r="G685" s="3">
        <v>4.0</v>
      </c>
      <c r="H685" s="3">
        <v>32.0</v>
      </c>
    </row>
    <row r="686" ht="15.75" customHeight="1">
      <c r="A686" s="3" t="s">
        <v>34</v>
      </c>
      <c r="B686" s="3">
        <v>2021.0</v>
      </c>
      <c r="C686" s="3" t="s">
        <v>14</v>
      </c>
      <c r="D686" s="3">
        <v>270.3</v>
      </c>
      <c r="E686" s="3">
        <v>695.5</v>
      </c>
      <c r="F686" s="3">
        <v>264.8</v>
      </c>
      <c r="G686" s="3">
        <v>9.0</v>
      </c>
      <c r="H686" s="3">
        <v>43.8</v>
      </c>
    </row>
    <row r="687" ht="15.75" customHeight="1">
      <c r="A687" s="3" t="s">
        <v>34</v>
      </c>
      <c r="B687" s="3">
        <v>2022.0</v>
      </c>
      <c r="C687" s="3" t="s">
        <v>9</v>
      </c>
      <c r="D687" s="3">
        <v>318.4</v>
      </c>
      <c r="E687" s="3">
        <v>869.2</v>
      </c>
      <c r="F687" s="3">
        <v>392.7</v>
      </c>
      <c r="G687" s="3">
        <v>12.0</v>
      </c>
      <c r="H687" s="3">
        <v>14.9</v>
      </c>
    </row>
    <row r="688" ht="15.75" customHeight="1">
      <c r="A688" s="3" t="s">
        <v>34</v>
      </c>
      <c r="B688" s="3">
        <v>2022.0</v>
      </c>
      <c r="C688" s="3" t="s">
        <v>10</v>
      </c>
      <c r="D688" s="3">
        <v>384.3</v>
      </c>
      <c r="E688" s="3">
        <v>858.1</v>
      </c>
      <c r="F688" s="3">
        <v>368.3</v>
      </c>
      <c r="G688" s="3">
        <v>11.0</v>
      </c>
      <c r="H688" s="3">
        <v>48.2</v>
      </c>
    </row>
    <row r="689" ht="15.75" customHeight="1">
      <c r="A689" s="3" t="s">
        <v>34</v>
      </c>
      <c r="B689" s="3">
        <v>2022.0</v>
      </c>
      <c r="C689" s="3" t="s">
        <v>11</v>
      </c>
      <c r="D689" s="3">
        <v>313.8</v>
      </c>
      <c r="E689" s="3">
        <v>721.2</v>
      </c>
      <c r="F689" s="3">
        <v>312.1</v>
      </c>
      <c r="G689" s="3">
        <v>12.0</v>
      </c>
      <c r="H689" s="3">
        <v>5.2</v>
      </c>
    </row>
    <row r="690" ht="15.75" customHeight="1">
      <c r="A690" s="3" t="s">
        <v>34</v>
      </c>
      <c r="B690" s="3">
        <v>2022.0</v>
      </c>
      <c r="C690" s="3" t="s">
        <v>13</v>
      </c>
      <c r="D690" s="3">
        <v>327.3</v>
      </c>
      <c r="E690" s="3">
        <v>676.4</v>
      </c>
      <c r="F690" s="3">
        <v>272.8</v>
      </c>
      <c r="G690" s="3">
        <v>9.0</v>
      </c>
      <c r="H690" s="3">
        <v>26.6</v>
      </c>
    </row>
    <row r="691" ht="15.75" customHeight="1">
      <c r="A691" s="3" t="s">
        <v>34</v>
      </c>
      <c r="B691" s="3">
        <v>2022.0</v>
      </c>
      <c r="C691" s="3" t="s">
        <v>14</v>
      </c>
      <c r="D691" s="3">
        <v>321.2</v>
      </c>
      <c r="E691" s="3">
        <v>863.9</v>
      </c>
      <c r="F691" s="3">
        <v>313.7</v>
      </c>
      <c r="G691" s="3">
        <v>9.0</v>
      </c>
      <c r="H691" s="3">
        <v>33.0</v>
      </c>
    </row>
    <row r="692" ht="15.75" customHeight="1">
      <c r="A692" s="3" t="s">
        <v>34</v>
      </c>
      <c r="B692" s="3">
        <v>2023.0</v>
      </c>
      <c r="C692" s="3" t="s">
        <v>9</v>
      </c>
      <c r="D692" s="3">
        <v>385.2</v>
      </c>
      <c r="E692" s="3">
        <v>822.6</v>
      </c>
      <c r="F692" s="3">
        <v>549.1</v>
      </c>
      <c r="G692" s="3">
        <v>10.0</v>
      </c>
      <c r="H692" s="3">
        <v>32.4</v>
      </c>
    </row>
    <row r="693" ht="15.75" customHeight="1">
      <c r="A693" s="3" t="s">
        <v>34</v>
      </c>
      <c r="B693" s="3">
        <v>2023.0</v>
      </c>
      <c r="C693" s="3" t="s">
        <v>10</v>
      </c>
      <c r="D693" s="3">
        <v>392.3</v>
      </c>
      <c r="E693" s="3">
        <v>1175.7</v>
      </c>
      <c r="F693" s="3">
        <v>506.2</v>
      </c>
      <c r="G693" s="3">
        <v>9.0</v>
      </c>
      <c r="H693" s="3">
        <v>28.3</v>
      </c>
    </row>
    <row r="694" ht="15.75" customHeight="1">
      <c r="A694" s="3" t="s">
        <v>34</v>
      </c>
      <c r="B694" s="3">
        <v>2023.0</v>
      </c>
      <c r="C694" s="3" t="s">
        <v>11</v>
      </c>
      <c r="D694" s="3">
        <v>363.4</v>
      </c>
      <c r="E694" s="3">
        <v>993.0</v>
      </c>
      <c r="F694" s="3">
        <v>525.8</v>
      </c>
      <c r="G694" s="3">
        <v>12.0</v>
      </c>
      <c r="H694" s="3">
        <v>41.8</v>
      </c>
    </row>
    <row r="695" ht="15.75" customHeight="1">
      <c r="A695" s="3" t="s">
        <v>34</v>
      </c>
      <c r="B695" s="3">
        <v>2023.0</v>
      </c>
      <c r="C695" s="3" t="s">
        <v>13</v>
      </c>
      <c r="D695" s="3">
        <v>393.9</v>
      </c>
      <c r="E695" s="3">
        <v>918.3</v>
      </c>
      <c r="F695" s="3">
        <v>501.4</v>
      </c>
      <c r="G695" s="3">
        <v>4.0</v>
      </c>
      <c r="H695" s="3">
        <v>34.1</v>
      </c>
    </row>
    <row r="696" ht="15.75" customHeight="1">
      <c r="A696" s="3" t="s">
        <v>34</v>
      </c>
      <c r="B696" s="3">
        <v>2023.0</v>
      </c>
      <c r="C696" s="3" t="s">
        <v>14</v>
      </c>
      <c r="D696" s="3">
        <v>354.5</v>
      </c>
      <c r="E696" s="3">
        <v>989.2</v>
      </c>
      <c r="F696" s="3">
        <v>362.6</v>
      </c>
      <c r="G696" s="3">
        <v>12.0</v>
      </c>
      <c r="H696" s="3">
        <v>19.5</v>
      </c>
    </row>
    <row r="697" ht="15.75" customHeight="1">
      <c r="A697" s="3" t="s">
        <v>34</v>
      </c>
      <c r="B697" s="3">
        <v>2024.0</v>
      </c>
      <c r="C697" s="3" t="s">
        <v>9</v>
      </c>
      <c r="D697" s="3">
        <v>339.8</v>
      </c>
      <c r="E697" s="3">
        <v>838.2</v>
      </c>
      <c r="F697" s="3">
        <v>290.1</v>
      </c>
      <c r="G697" s="3">
        <v>6.0</v>
      </c>
      <c r="H697" s="3">
        <v>33.2</v>
      </c>
    </row>
    <row r="698" ht="15.75" customHeight="1">
      <c r="A698" s="3" t="s">
        <v>34</v>
      </c>
      <c r="B698" s="3">
        <v>2024.0</v>
      </c>
      <c r="C698" s="3" t="s">
        <v>10</v>
      </c>
      <c r="D698" s="3">
        <v>375.2</v>
      </c>
      <c r="E698" s="3">
        <v>750.6</v>
      </c>
      <c r="F698" s="3">
        <v>461.5</v>
      </c>
      <c r="G698" s="3">
        <v>8.0</v>
      </c>
      <c r="H698" s="3">
        <v>22.7</v>
      </c>
    </row>
    <row r="699" ht="15.75" customHeight="1">
      <c r="A699" s="3" t="s">
        <v>34</v>
      </c>
      <c r="B699" s="3">
        <v>2024.0</v>
      </c>
      <c r="C699" s="3" t="s">
        <v>11</v>
      </c>
      <c r="D699" s="3">
        <v>386.1</v>
      </c>
      <c r="E699" s="3">
        <v>948.0</v>
      </c>
      <c r="F699" s="3">
        <v>421.0</v>
      </c>
      <c r="G699" s="3">
        <v>10.0</v>
      </c>
      <c r="H699" s="3">
        <v>32.8</v>
      </c>
    </row>
    <row r="700" ht="15.75" customHeight="1">
      <c r="A700" s="3" t="s">
        <v>34</v>
      </c>
      <c r="B700" s="3">
        <v>2024.0</v>
      </c>
      <c r="C700" s="3" t="s">
        <v>13</v>
      </c>
      <c r="D700" s="3">
        <v>372.9</v>
      </c>
      <c r="E700" s="3">
        <v>941.7</v>
      </c>
      <c r="F700" s="3">
        <v>327.4</v>
      </c>
      <c r="G700" s="3">
        <v>7.0</v>
      </c>
      <c r="H700" s="3">
        <v>15.6</v>
      </c>
    </row>
    <row r="701" ht="15.75" customHeight="1">
      <c r="A701" s="3" t="s">
        <v>34</v>
      </c>
      <c r="B701" s="3">
        <v>2024.0</v>
      </c>
      <c r="C701" s="3" t="s">
        <v>14</v>
      </c>
      <c r="D701" s="3">
        <v>409.3</v>
      </c>
      <c r="E701" s="3">
        <v>1014.1</v>
      </c>
      <c r="F701" s="3">
        <v>313.3</v>
      </c>
      <c r="G701" s="3">
        <v>7.0</v>
      </c>
      <c r="H701" s="3">
        <v>11.2</v>
      </c>
    </row>
    <row r="702" ht="15.75" customHeight="1">
      <c r="A702" s="3" t="s">
        <v>35</v>
      </c>
      <c r="B702" s="3">
        <v>2015.0</v>
      </c>
      <c r="C702" s="3" t="s">
        <v>9</v>
      </c>
      <c r="D702" s="3">
        <v>148.0</v>
      </c>
      <c r="E702" s="3">
        <v>424.9</v>
      </c>
      <c r="F702" s="3">
        <v>178.1</v>
      </c>
      <c r="G702" s="3">
        <v>9.0</v>
      </c>
      <c r="H702" s="3">
        <v>40.3</v>
      </c>
    </row>
    <row r="703" ht="15.75" customHeight="1">
      <c r="A703" s="3" t="s">
        <v>35</v>
      </c>
      <c r="B703" s="3">
        <v>2015.0</v>
      </c>
      <c r="C703" s="3" t="s">
        <v>10</v>
      </c>
      <c r="D703" s="3">
        <v>164.7</v>
      </c>
      <c r="E703" s="3">
        <v>416.7</v>
      </c>
      <c r="F703" s="3">
        <v>210.0</v>
      </c>
      <c r="G703" s="3">
        <v>10.0</v>
      </c>
      <c r="H703" s="3">
        <v>20.4</v>
      </c>
    </row>
    <row r="704" ht="15.75" customHeight="1">
      <c r="A704" s="3" t="s">
        <v>35</v>
      </c>
      <c r="B704" s="3">
        <v>2015.0</v>
      </c>
      <c r="C704" s="3" t="s">
        <v>11</v>
      </c>
      <c r="D704" s="3">
        <v>105.8</v>
      </c>
      <c r="E704" s="3">
        <v>257.3</v>
      </c>
      <c r="F704" s="3">
        <v>128.7</v>
      </c>
      <c r="G704" s="3">
        <v>2.0</v>
      </c>
      <c r="H704" s="3">
        <v>26.7</v>
      </c>
    </row>
    <row r="705" ht="15.75" customHeight="1">
      <c r="A705" s="3" t="s">
        <v>35</v>
      </c>
      <c r="B705" s="3">
        <v>2015.0</v>
      </c>
      <c r="C705" s="3" t="s">
        <v>13</v>
      </c>
      <c r="D705" s="3">
        <v>122.7</v>
      </c>
      <c r="E705" s="3">
        <v>338.1</v>
      </c>
      <c r="F705" s="3">
        <v>148.6</v>
      </c>
      <c r="G705" s="3">
        <v>5.0</v>
      </c>
      <c r="H705" s="3">
        <v>10.8</v>
      </c>
    </row>
    <row r="706" ht="15.75" customHeight="1">
      <c r="A706" s="3" t="s">
        <v>35</v>
      </c>
      <c r="B706" s="3">
        <v>2015.0</v>
      </c>
      <c r="C706" s="3" t="s">
        <v>14</v>
      </c>
      <c r="D706" s="3">
        <v>169.1</v>
      </c>
      <c r="E706" s="3">
        <v>478.4</v>
      </c>
      <c r="F706" s="3">
        <v>228.1</v>
      </c>
      <c r="G706" s="3">
        <v>6.0</v>
      </c>
      <c r="H706" s="3">
        <v>10.6</v>
      </c>
    </row>
    <row r="707" ht="15.75" customHeight="1">
      <c r="A707" s="3" t="s">
        <v>35</v>
      </c>
      <c r="B707" s="3">
        <v>2016.0</v>
      </c>
      <c r="C707" s="3" t="s">
        <v>9</v>
      </c>
      <c r="D707" s="3">
        <v>97.9</v>
      </c>
      <c r="E707" s="3">
        <v>227.4</v>
      </c>
      <c r="F707" s="3">
        <v>146.0</v>
      </c>
      <c r="G707" s="3">
        <v>6.0</v>
      </c>
      <c r="H707" s="3">
        <v>36.4</v>
      </c>
    </row>
    <row r="708" ht="15.75" customHeight="1">
      <c r="A708" s="3" t="s">
        <v>35</v>
      </c>
      <c r="B708" s="3">
        <v>2016.0</v>
      </c>
      <c r="C708" s="3" t="s">
        <v>10</v>
      </c>
      <c r="D708" s="3">
        <v>146.1</v>
      </c>
      <c r="E708" s="3">
        <v>377.0</v>
      </c>
      <c r="F708" s="3">
        <v>212.6</v>
      </c>
      <c r="G708" s="3">
        <v>10.0</v>
      </c>
      <c r="H708" s="3">
        <v>44.9</v>
      </c>
    </row>
    <row r="709" ht="15.75" customHeight="1">
      <c r="A709" s="3" t="s">
        <v>35</v>
      </c>
      <c r="B709" s="3">
        <v>2016.0</v>
      </c>
      <c r="C709" s="3" t="s">
        <v>11</v>
      </c>
      <c r="D709" s="3">
        <v>45.0</v>
      </c>
      <c r="E709" s="3">
        <v>132.9</v>
      </c>
      <c r="F709" s="3">
        <v>36.7</v>
      </c>
      <c r="G709" s="3">
        <v>9.0</v>
      </c>
      <c r="H709" s="3">
        <v>43.8</v>
      </c>
    </row>
    <row r="710" ht="15.75" customHeight="1">
      <c r="A710" s="3" t="s">
        <v>35</v>
      </c>
      <c r="B710" s="3">
        <v>2016.0</v>
      </c>
      <c r="C710" s="3" t="s">
        <v>13</v>
      </c>
      <c r="D710" s="3">
        <v>117.8</v>
      </c>
      <c r="E710" s="3">
        <v>287.3</v>
      </c>
      <c r="F710" s="3">
        <v>147.3</v>
      </c>
      <c r="G710" s="3">
        <v>6.0</v>
      </c>
      <c r="H710" s="3">
        <v>6.7</v>
      </c>
    </row>
    <row r="711" ht="15.75" customHeight="1">
      <c r="A711" s="3" t="s">
        <v>35</v>
      </c>
      <c r="B711" s="3">
        <v>2016.0</v>
      </c>
      <c r="C711" s="3" t="s">
        <v>14</v>
      </c>
      <c r="D711" s="3">
        <v>114.9</v>
      </c>
      <c r="E711" s="3">
        <v>298.7</v>
      </c>
      <c r="F711" s="3">
        <v>164.5</v>
      </c>
      <c r="G711" s="3">
        <v>7.0</v>
      </c>
      <c r="H711" s="3">
        <v>11.6</v>
      </c>
    </row>
    <row r="712" ht="15.75" customHeight="1">
      <c r="A712" s="3" t="s">
        <v>35</v>
      </c>
      <c r="B712" s="3">
        <v>2017.0</v>
      </c>
      <c r="C712" s="3" t="s">
        <v>9</v>
      </c>
      <c r="D712" s="3">
        <v>159.2</v>
      </c>
      <c r="E712" s="3">
        <v>388.7</v>
      </c>
      <c r="F712" s="3">
        <v>149.6</v>
      </c>
      <c r="G712" s="3">
        <v>5.0</v>
      </c>
      <c r="H712" s="3">
        <v>18.3</v>
      </c>
    </row>
    <row r="713" ht="15.75" customHeight="1">
      <c r="A713" s="3" t="s">
        <v>35</v>
      </c>
      <c r="B713" s="3">
        <v>2017.0</v>
      </c>
      <c r="C713" s="3" t="s">
        <v>10</v>
      </c>
      <c r="D713" s="3">
        <v>175.1</v>
      </c>
      <c r="E713" s="3">
        <v>388.5</v>
      </c>
      <c r="F713" s="3">
        <v>254.8</v>
      </c>
      <c r="G713" s="3">
        <v>10.0</v>
      </c>
      <c r="H713" s="3">
        <v>22.8</v>
      </c>
    </row>
    <row r="714" ht="15.75" customHeight="1">
      <c r="A714" s="3" t="s">
        <v>35</v>
      </c>
      <c r="B714" s="3">
        <v>2017.0</v>
      </c>
      <c r="C714" s="3" t="s">
        <v>11</v>
      </c>
      <c r="D714" s="3">
        <v>210.9</v>
      </c>
      <c r="E714" s="3">
        <v>456.5</v>
      </c>
      <c r="F714" s="3">
        <v>230.0</v>
      </c>
      <c r="G714" s="3">
        <v>5.0</v>
      </c>
      <c r="H714" s="3">
        <v>31.7</v>
      </c>
    </row>
    <row r="715" ht="15.75" customHeight="1">
      <c r="A715" s="3" t="s">
        <v>35</v>
      </c>
      <c r="B715" s="3">
        <v>2017.0</v>
      </c>
      <c r="C715" s="3" t="s">
        <v>13</v>
      </c>
      <c r="D715" s="3">
        <v>136.4</v>
      </c>
      <c r="E715" s="3">
        <v>275.6</v>
      </c>
      <c r="F715" s="3">
        <v>187.3</v>
      </c>
      <c r="G715" s="3">
        <v>6.0</v>
      </c>
      <c r="H715" s="3">
        <v>30.6</v>
      </c>
    </row>
    <row r="716" ht="15.75" customHeight="1">
      <c r="A716" s="3" t="s">
        <v>35</v>
      </c>
      <c r="B716" s="3">
        <v>2017.0</v>
      </c>
      <c r="C716" s="3" t="s">
        <v>14</v>
      </c>
      <c r="D716" s="3">
        <v>204.7</v>
      </c>
      <c r="E716" s="3">
        <v>520.6</v>
      </c>
      <c r="F716" s="3">
        <v>217.4</v>
      </c>
      <c r="G716" s="3">
        <v>9.0</v>
      </c>
      <c r="H716" s="3">
        <v>22.6</v>
      </c>
    </row>
    <row r="717" ht="15.75" customHeight="1">
      <c r="A717" s="3" t="s">
        <v>35</v>
      </c>
      <c r="B717" s="3">
        <v>2018.0</v>
      </c>
      <c r="C717" s="3" t="s">
        <v>9</v>
      </c>
      <c r="D717" s="3">
        <v>156.8</v>
      </c>
      <c r="E717" s="3">
        <v>342.4</v>
      </c>
      <c r="F717" s="3">
        <v>147.6</v>
      </c>
      <c r="G717" s="3">
        <v>4.0</v>
      </c>
      <c r="H717" s="3">
        <v>3.5</v>
      </c>
    </row>
    <row r="718" ht="15.75" customHeight="1">
      <c r="A718" s="3" t="s">
        <v>35</v>
      </c>
      <c r="B718" s="3">
        <v>2018.0</v>
      </c>
      <c r="C718" s="3" t="s">
        <v>10</v>
      </c>
      <c r="D718" s="3">
        <v>119.1</v>
      </c>
      <c r="E718" s="3">
        <v>283.8</v>
      </c>
      <c r="F718" s="3">
        <v>165.3</v>
      </c>
      <c r="G718" s="3">
        <v>5.0</v>
      </c>
      <c r="H718" s="3">
        <v>24.2</v>
      </c>
    </row>
    <row r="719" ht="15.75" customHeight="1">
      <c r="A719" s="3" t="s">
        <v>35</v>
      </c>
      <c r="B719" s="3">
        <v>2018.0</v>
      </c>
      <c r="C719" s="3" t="s">
        <v>11</v>
      </c>
      <c r="D719" s="3">
        <v>281.6</v>
      </c>
      <c r="E719" s="3">
        <v>580.6</v>
      </c>
      <c r="F719" s="3">
        <v>239.3</v>
      </c>
      <c r="G719" s="3">
        <v>9.0</v>
      </c>
      <c r="H719" s="3">
        <v>26.5</v>
      </c>
    </row>
    <row r="720" ht="15.75" customHeight="1">
      <c r="A720" s="3" t="s">
        <v>35</v>
      </c>
      <c r="B720" s="3">
        <v>2018.0</v>
      </c>
      <c r="C720" s="3" t="s">
        <v>13</v>
      </c>
      <c r="D720" s="3">
        <v>240.7</v>
      </c>
      <c r="E720" s="3">
        <v>712.4</v>
      </c>
      <c r="F720" s="3">
        <v>200.8</v>
      </c>
      <c r="G720" s="3">
        <v>9.0</v>
      </c>
      <c r="H720" s="3">
        <v>3.2</v>
      </c>
    </row>
    <row r="721" ht="15.75" customHeight="1">
      <c r="A721" s="3" t="s">
        <v>35</v>
      </c>
      <c r="B721" s="3">
        <v>2018.0</v>
      </c>
      <c r="C721" s="3" t="s">
        <v>14</v>
      </c>
      <c r="D721" s="3">
        <v>240.7</v>
      </c>
      <c r="E721" s="3">
        <v>698.7</v>
      </c>
      <c r="F721" s="3">
        <v>281.0</v>
      </c>
      <c r="G721" s="3">
        <v>3.0</v>
      </c>
      <c r="H721" s="3">
        <v>17.2</v>
      </c>
    </row>
    <row r="722" ht="15.75" customHeight="1">
      <c r="A722" s="3" t="s">
        <v>35</v>
      </c>
      <c r="B722" s="3">
        <v>2019.0</v>
      </c>
      <c r="C722" s="3" t="s">
        <v>9</v>
      </c>
      <c r="D722" s="3">
        <v>276.4</v>
      </c>
      <c r="E722" s="3">
        <v>824.8</v>
      </c>
      <c r="F722" s="3">
        <v>375.2</v>
      </c>
      <c r="G722" s="3">
        <v>11.0</v>
      </c>
      <c r="H722" s="3">
        <v>9.1</v>
      </c>
    </row>
    <row r="723" ht="15.75" customHeight="1">
      <c r="A723" s="3" t="s">
        <v>35</v>
      </c>
      <c r="B723" s="3">
        <v>2019.0</v>
      </c>
      <c r="C723" s="3" t="s">
        <v>10</v>
      </c>
      <c r="D723" s="3">
        <v>219.6</v>
      </c>
      <c r="E723" s="3">
        <v>656.6</v>
      </c>
      <c r="F723" s="3">
        <v>280.9</v>
      </c>
      <c r="G723" s="3">
        <v>11.0</v>
      </c>
      <c r="H723" s="3">
        <v>8.0</v>
      </c>
    </row>
    <row r="724" ht="15.75" customHeight="1">
      <c r="A724" s="3" t="s">
        <v>35</v>
      </c>
      <c r="B724" s="3">
        <v>2019.0</v>
      </c>
      <c r="C724" s="3" t="s">
        <v>11</v>
      </c>
      <c r="D724" s="3">
        <v>204.1</v>
      </c>
      <c r="E724" s="3">
        <v>545.5</v>
      </c>
      <c r="F724" s="3">
        <v>187.6</v>
      </c>
      <c r="G724" s="3">
        <v>5.0</v>
      </c>
      <c r="H724" s="3">
        <v>17.2</v>
      </c>
    </row>
    <row r="725" ht="15.75" customHeight="1">
      <c r="A725" s="3" t="s">
        <v>35</v>
      </c>
      <c r="B725" s="3">
        <v>2019.0</v>
      </c>
      <c r="C725" s="3" t="s">
        <v>13</v>
      </c>
      <c r="D725" s="3">
        <v>216.0</v>
      </c>
      <c r="E725" s="3">
        <v>537.7</v>
      </c>
      <c r="F725" s="3">
        <v>235.6</v>
      </c>
      <c r="G725" s="3">
        <v>6.0</v>
      </c>
      <c r="H725" s="3">
        <v>29.4</v>
      </c>
    </row>
    <row r="726" ht="15.75" customHeight="1">
      <c r="A726" s="3" t="s">
        <v>35</v>
      </c>
      <c r="B726" s="3">
        <v>2019.0</v>
      </c>
      <c r="C726" s="3" t="s">
        <v>14</v>
      </c>
      <c r="D726" s="3">
        <v>270.3</v>
      </c>
      <c r="E726" s="3">
        <v>737.6</v>
      </c>
      <c r="F726" s="3">
        <v>275.9</v>
      </c>
      <c r="G726" s="3">
        <v>7.0</v>
      </c>
      <c r="H726" s="3">
        <v>5.8</v>
      </c>
    </row>
    <row r="727" ht="15.75" customHeight="1">
      <c r="A727" s="3" t="s">
        <v>35</v>
      </c>
      <c r="B727" s="3">
        <v>2020.0</v>
      </c>
      <c r="C727" s="3" t="s">
        <v>9</v>
      </c>
      <c r="D727" s="3">
        <v>310.2</v>
      </c>
      <c r="E727" s="3">
        <v>802.8</v>
      </c>
      <c r="F727" s="3">
        <v>272.6</v>
      </c>
      <c r="G727" s="3">
        <v>5.0</v>
      </c>
      <c r="H727" s="3">
        <v>31.8</v>
      </c>
    </row>
    <row r="728" ht="15.75" customHeight="1">
      <c r="A728" s="3" t="s">
        <v>35</v>
      </c>
      <c r="B728" s="3">
        <v>2020.0</v>
      </c>
      <c r="C728" s="3" t="s">
        <v>10</v>
      </c>
      <c r="D728" s="3">
        <v>299.1</v>
      </c>
      <c r="E728" s="3">
        <v>846.6</v>
      </c>
      <c r="F728" s="3">
        <v>286.3</v>
      </c>
      <c r="G728" s="3">
        <v>11.0</v>
      </c>
      <c r="H728" s="3">
        <v>31.9</v>
      </c>
    </row>
    <row r="729" ht="15.75" customHeight="1">
      <c r="A729" s="3" t="s">
        <v>35</v>
      </c>
      <c r="B729" s="3">
        <v>2020.0</v>
      </c>
      <c r="C729" s="3" t="s">
        <v>11</v>
      </c>
      <c r="D729" s="3">
        <v>261.6</v>
      </c>
      <c r="E729" s="3">
        <v>779.0</v>
      </c>
      <c r="F729" s="3">
        <v>242.4</v>
      </c>
      <c r="G729" s="3">
        <v>8.0</v>
      </c>
      <c r="H729" s="3">
        <v>10.5</v>
      </c>
    </row>
    <row r="730" ht="15.75" customHeight="1">
      <c r="A730" s="3" t="s">
        <v>35</v>
      </c>
      <c r="B730" s="3">
        <v>2020.0</v>
      </c>
      <c r="C730" s="3" t="s">
        <v>13</v>
      </c>
      <c r="D730" s="3">
        <v>312.1</v>
      </c>
      <c r="E730" s="3">
        <v>740.5</v>
      </c>
      <c r="F730" s="3">
        <v>363.8</v>
      </c>
      <c r="G730" s="3">
        <v>7.0</v>
      </c>
      <c r="H730" s="3">
        <v>43.5</v>
      </c>
    </row>
    <row r="731" ht="15.75" customHeight="1">
      <c r="A731" s="3" t="s">
        <v>35</v>
      </c>
      <c r="B731" s="3">
        <v>2020.0</v>
      </c>
      <c r="C731" s="3" t="s">
        <v>14</v>
      </c>
      <c r="D731" s="3">
        <v>250.4</v>
      </c>
      <c r="E731" s="3">
        <v>740.4</v>
      </c>
      <c r="F731" s="3">
        <v>356.3</v>
      </c>
      <c r="G731" s="3">
        <v>5.0</v>
      </c>
      <c r="H731" s="3">
        <v>23.5</v>
      </c>
    </row>
    <row r="732" ht="15.75" customHeight="1">
      <c r="A732" s="3" t="s">
        <v>35</v>
      </c>
      <c r="B732" s="3">
        <v>2021.0</v>
      </c>
      <c r="C732" s="3" t="s">
        <v>9</v>
      </c>
      <c r="D732" s="3">
        <v>312.1</v>
      </c>
      <c r="E732" s="3">
        <v>935.2</v>
      </c>
      <c r="F732" s="3">
        <v>279.2</v>
      </c>
      <c r="G732" s="3">
        <v>6.0</v>
      </c>
      <c r="H732" s="3">
        <v>20.4</v>
      </c>
    </row>
    <row r="733" ht="15.75" customHeight="1">
      <c r="A733" s="3" t="s">
        <v>35</v>
      </c>
      <c r="B733" s="3">
        <v>2021.0</v>
      </c>
      <c r="C733" s="3" t="s">
        <v>10</v>
      </c>
      <c r="D733" s="3">
        <v>230.2</v>
      </c>
      <c r="E733" s="3">
        <v>463.0</v>
      </c>
      <c r="F733" s="3">
        <v>301.8</v>
      </c>
      <c r="G733" s="3">
        <v>8.0</v>
      </c>
      <c r="H733" s="3">
        <v>44.1</v>
      </c>
    </row>
    <row r="734" ht="15.75" customHeight="1">
      <c r="A734" s="3" t="s">
        <v>35</v>
      </c>
      <c r="B734" s="3">
        <v>2021.0</v>
      </c>
      <c r="C734" s="3" t="s">
        <v>11</v>
      </c>
      <c r="D734" s="3">
        <v>231.4</v>
      </c>
      <c r="E734" s="3">
        <v>532.8</v>
      </c>
      <c r="F734" s="3">
        <v>303.5</v>
      </c>
      <c r="G734" s="3">
        <v>9.0</v>
      </c>
      <c r="H734" s="3">
        <v>29.9</v>
      </c>
    </row>
    <row r="735" ht="15.75" customHeight="1">
      <c r="A735" s="3" t="s">
        <v>35</v>
      </c>
      <c r="B735" s="3">
        <v>2021.0</v>
      </c>
      <c r="C735" s="3" t="s">
        <v>13</v>
      </c>
      <c r="D735" s="3">
        <v>244.1</v>
      </c>
      <c r="E735" s="3">
        <v>628.8</v>
      </c>
      <c r="F735" s="3">
        <v>222.9</v>
      </c>
      <c r="G735" s="3">
        <v>11.0</v>
      </c>
      <c r="H735" s="3">
        <v>10.7</v>
      </c>
    </row>
    <row r="736" ht="15.75" customHeight="1">
      <c r="A736" s="3" t="s">
        <v>35</v>
      </c>
      <c r="B736" s="3">
        <v>2021.0</v>
      </c>
      <c r="C736" s="3" t="s">
        <v>14</v>
      </c>
      <c r="D736" s="3">
        <v>287.9</v>
      </c>
      <c r="E736" s="3">
        <v>712.0</v>
      </c>
      <c r="F736" s="3">
        <v>239.0</v>
      </c>
      <c r="G736" s="3">
        <v>8.0</v>
      </c>
      <c r="H736" s="3">
        <v>17.2</v>
      </c>
    </row>
    <row r="737" ht="15.75" customHeight="1">
      <c r="A737" s="3" t="s">
        <v>35</v>
      </c>
      <c r="B737" s="3">
        <v>2022.0</v>
      </c>
      <c r="C737" s="3" t="s">
        <v>9</v>
      </c>
      <c r="D737" s="3">
        <v>367.5</v>
      </c>
      <c r="E737" s="3">
        <v>1027.6</v>
      </c>
      <c r="F737" s="3">
        <v>483.1</v>
      </c>
      <c r="G737" s="3">
        <v>4.0</v>
      </c>
      <c r="H737" s="3">
        <v>7.5</v>
      </c>
    </row>
    <row r="738" ht="15.75" customHeight="1">
      <c r="A738" s="3" t="s">
        <v>35</v>
      </c>
      <c r="B738" s="3">
        <v>2022.0</v>
      </c>
      <c r="C738" s="3" t="s">
        <v>10</v>
      </c>
      <c r="D738" s="3">
        <v>278.1</v>
      </c>
      <c r="E738" s="3">
        <v>645.0</v>
      </c>
      <c r="F738" s="3">
        <v>303.4</v>
      </c>
      <c r="G738" s="3">
        <v>11.0</v>
      </c>
      <c r="H738" s="3">
        <v>12.9</v>
      </c>
    </row>
    <row r="739" ht="15.75" customHeight="1">
      <c r="A739" s="3" t="s">
        <v>35</v>
      </c>
      <c r="B739" s="3">
        <v>2022.0</v>
      </c>
      <c r="C739" s="3" t="s">
        <v>11</v>
      </c>
      <c r="D739" s="3">
        <v>312.0</v>
      </c>
      <c r="E739" s="3">
        <v>631.5</v>
      </c>
      <c r="F739" s="3">
        <v>377.4</v>
      </c>
      <c r="G739" s="3">
        <v>11.0</v>
      </c>
      <c r="H739" s="3">
        <v>7.3</v>
      </c>
    </row>
    <row r="740" ht="15.75" customHeight="1">
      <c r="A740" s="3" t="s">
        <v>35</v>
      </c>
      <c r="B740" s="3">
        <v>2022.0</v>
      </c>
      <c r="C740" s="3" t="s">
        <v>13</v>
      </c>
      <c r="D740" s="3">
        <v>286.3</v>
      </c>
      <c r="E740" s="3">
        <v>645.2</v>
      </c>
      <c r="F740" s="3">
        <v>357.7</v>
      </c>
      <c r="G740" s="3">
        <v>11.0</v>
      </c>
      <c r="H740" s="3">
        <v>2.1</v>
      </c>
    </row>
    <row r="741" ht="15.75" customHeight="1">
      <c r="A741" s="3" t="s">
        <v>35</v>
      </c>
      <c r="B741" s="3">
        <v>2022.0</v>
      </c>
      <c r="C741" s="3" t="s">
        <v>14</v>
      </c>
      <c r="D741" s="3">
        <v>295.1</v>
      </c>
      <c r="E741" s="3">
        <v>766.5</v>
      </c>
      <c r="F741" s="3">
        <v>403.5</v>
      </c>
      <c r="G741" s="3">
        <v>5.0</v>
      </c>
      <c r="H741" s="3">
        <v>31.0</v>
      </c>
    </row>
    <row r="742" ht="15.75" customHeight="1">
      <c r="A742" s="3" t="s">
        <v>35</v>
      </c>
      <c r="B742" s="3">
        <v>2023.0</v>
      </c>
      <c r="C742" s="3" t="s">
        <v>9</v>
      </c>
      <c r="D742" s="3">
        <v>377.3</v>
      </c>
      <c r="E742" s="3">
        <v>822.9</v>
      </c>
      <c r="F742" s="3">
        <v>372.9</v>
      </c>
      <c r="G742" s="3">
        <v>11.0</v>
      </c>
      <c r="H742" s="3">
        <v>13.1</v>
      </c>
    </row>
    <row r="743" ht="15.75" customHeight="1">
      <c r="A743" s="3" t="s">
        <v>35</v>
      </c>
      <c r="B743" s="3">
        <v>2023.0</v>
      </c>
      <c r="C743" s="3" t="s">
        <v>10</v>
      </c>
      <c r="D743" s="3">
        <v>377.8</v>
      </c>
      <c r="E743" s="3">
        <v>920.3</v>
      </c>
      <c r="F743" s="3">
        <v>459.3</v>
      </c>
      <c r="G743" s="3">
        <v>8.0</v>
      </c>
      <c r="H743" s="3">
        <v>21.9</v>
      </c>
    </row>
    <row r="744" ht="15.75" customHeight="1">
      <c r="A744" s="3" t="s">
        <v>35</v>
      </c>
      <c r="B744" s="3">
        <v>2023.0</v>
      </c>
      <c r="C744" s="3" t="s">
        <v>11</v>
      </c>
      <c r="D744" s="3">
        <v>383.8</v>
      </c>
      <c r="E744" s="3">
        <v>1064.2</v>
      </c>
      <c r="F744" s="3">
        <v>499.1</v>
      </c>
      <c r="G744" s="3">
        <v>5.0</v>
      </c>
      <c r="H744" s="3">
        <v>14.9</v>
      </c>
    </row>
    <row r="745" ht="15.75" customHeight="1">
      <c r="A745" s="3" t="s">
        <v>35</v>
      </c>
      <c r="B745" s="3">
        <v>2023.0</v>
      </c>
      <c r="C745" s="3" t="s">
        <v>13</v>
      </c>
      <c r="D745" s="3">
        <v>309.7</v>
      </c>
      <c r="E745" s="3">
        <v>739.4</v>
      </c>
      <c r="F745" s="3">
        <v>434.9</v>
      </c>
      <c r="G745" s="3">
        <v>12.0</v>
      </c>
      <c r="H745" s="3">
        <v>15.4</v>
      </c>
    </row>
    <row r="746" ht="15.75" customHeight="1">
      <c r="A746" s="3" t="s">
        <v>35</v>
      </c>
      <c r="B746" s="3">
        <v>2023.0</v>
      </c>
      <c r="C746" s="3" t="s">
        <v>14</v>
      </c>
      <c r="D746" s="3">
        <v>354.9</v>
      </c>
      <c r="E746" s="3">
        <v>960.6</v>
      </c>
      <c r="F746" s="3">
        <v>448.5</v>
      </c>
      <c r="G746" s="3">
        <v>5.0</v>
      </c>
      <c r="H746" s="3">
        <v>44.4</v>
      </c>
    </row>
    <row r="747" ht="15.75" customHeight="1">
      <c r="A747" s="3" t="s">
        <v>35</v>
      </c>
      <c r="B747" s="3">
        <v>2024.0</v>
      </c>
      <c r="C747" s="3" t="s">
        <v>9</v>
      </c>
      <c r="D747" s="3">
        <v>304.1</v>
      </c>
      <c r="E747" s="3">
        <v>614.0</v>
      </c>
      <c r="F747" s="3">
        <v>400.0</v>
      </c>
      <c r="G747" s="3">
        <v>12.0</v>
      </c>
      <c r="H747" s="3">
        <v>44.1</v>
      </c>
    </row>
    <row r="748" ht="15.75" customHeight="1">
      <c r="A748" s="3" t="s">
        <v>35</v>
      </c>
      <c r="B748" s="3">
        <v>2024.0</v>
      </c>
      <c r="C748" s="3" t="s">
        <v>10</v>
      </c>
      <c r="D748" s="3">
        <v>422.1</v>
      </c>
      <c r="E748" s="3">
        <v>952.3</v>
      </c>
      <c r="F748" s="3">
        <v>402.9</v>
      </c>
      <c r="G748" s="3">
        <v>8.0</v>
      </c>
      <c r="H748" s="3">
        <v>25.5</v>
      </c>
    </row>
    <row r="749" ht="15.75" customHeight="1">
      <c r="A749" s="3" t="s">
        <v>35</v>
      </c>
      <c r="B749" s="3">
        <v>2024.0</v>
      </c>
      <c r="C749" s="3" t="s">
        <v>11</v>
      </c>
      <c r="D749" s="3">
        <v>354.2</v>
      </c>
      <c r="E749" s="3">
        <v>834.6</v>
      </c>
      <c r="F749" s="3">
        <v>509.4</v>
      </c>
      <c r="G749" s="3">
        <v>12.0</v>
      </c>
      <c r="H749" s="3">
        <v>38.2</v>
      </c>
    </row>
    <row r="750" ht="15.75" customHeight="1">
      <c r="A750" s="3" t="s">
        <v>35</v>
      </c>
      <c r="B750" s="3">
        <v>2024.0</v>
      </c>
      <c r="C750" s="3" t="s">
        <v>13</v>
      </c>
      <c r="D750" s="3">
        <v>365.3</v>
      </c>
      <c r="E750" s="3">
        <v>957.1</v>
      </c>
      <c r="F750" s="3">
        <v>497.7</v>
      </c>
      <c r="G750" s="3">
        <v>8.0</v>
      </c>
      <c r="H750" s="3">
        <v>46.8</v>
      </c>
    </row>
    <row r="751" ht="15.75" customHeight="1">
      <c r="A751" s="3" t="s">
        <v>35</v>
      </c>
      <c r="B751" s="3">
        <v>2024.0</v>
      </c>
      <c r="C751" s="3" t="s">
        <v>14</v>
      </c>
      <c r="D751" s="3">
        <v>406.0</v>
      </c>
      <c r="E751" s="3">
        <v>1171.7</v>
      </c>
      <c r="F751" s="3">
        <v>367.8</v>
      </c>
      <c r="G751" s="3">
        <v>6.0</v>
      </c>
      <c r="H751" s="3">
        <v>17.1</v>
      </c>
    </row>
    <row r="752" ht="15.75" customHeight="1">
      <c r="A752" s="3" t="s">
        <v>36</v>
      </c>
      <c r="B752" s="3">
        <v>2015.0</v>
      </c>
      <c r="C752" s="3" t="s">
        <v>9</v>
      </c>
      <c r="D752" s="3">
        <v>145.5</v>
      </c>
      <c r="E752" s="3">
        <v>397.0</v>
      </c>
      <c r="F752" s="3">
        <v>174.9</v>
      </c>
      <c r="G752" s="3">
        <v>8.0</v>
      </c>
      <c r="H752" s="3">
        <v>25.7</v>
      </c>
    </row>
    <row r="753" ht="15.75" customHeight="1">
      <c r="A753" s="3" t="s">
        <v>36</v>
      </c>
      <c r="B753" s="3">
        <v>2015.0</v>
      </c>
      <c r="C753" s="3" t="s">
        <v>10</v>
      </c>
      <c r="D753" s="3">
        <v>112.4</v>
      </c>
      <c r="E753" s="3">
        <v>241.3</v>
      </c>
      <c r="F753" s="3">
        <v>106.1</v>
      </c>
      <c r="G753" s="3">
        <v>5.0</v>
      </c>
      <c r="H753" s="3">
        <v>37.5</v>
      </c>
    </row>
    <row r="754" ht="15.75" customHeight="1">
      <c r="A754" s="3" t="s">
        <v>36</v>
      </c>
      <c r="B754" s="3">
        <v>2015.0</v>
      </c>
      <c r="C754" s="3" t="s">
        <v>11</v>
      </c>
      <c r="D754" s="3">
        <v>138.3</v>
      </c>
      <c r="E754" s="3">
        <v>404.1</v>
      </c>
      <c r="F754" s="3">
        <v>189.3</v>
      </c>
      <c r="G754" s="3">
        <v>10.0</v>
      </c>
      <c r="H754" s="3">
        <v>19.1</v>
      </c>
    </row>
    <row r="755" ht="15.75" customHeight="1">
      <c r="A755" s="3" t="s">
        <v>36</v>
      </c>
      <c r="B755" s="3">
        <v>2015.0</v>
      </c>
      <c r="C755" s="3" t="s">
        <v>13</v>
      </c>
      <c r="D755" s="3">
        <v>127.3</v>
      </c>
      <c r="E755" s="3">
        <v>351.9</v>
      </c>
      <c r="F755" s="3">
        <v>114.6</v>
      </c>
      <c r="G755" s="3">
        <v>4.0</v>
      </c>
      <c r="H755" s="3">
        <v>47.9</v>
      </c>
    </row>
    <row r="756" ht="15.75" customHeight="1">
      <c r="A756" s="3" t="s">
        <v>36</v>
      </c>
      <c r="B756" s="3">
        <v>2015.0</v>
      </c>
      <c r="C756" s="3" t="s">
        <v>14</v>
      </c>
      <c r="D756" s="3">
        <v>78.0</v>
      </c>
      <c r="E756" s="3">
        <v>219.3</v>
      </c>
      <c r="F756" s="3">
        <v>66.9</v>
      </c>
      <c r="G756" s="3">
        <v>4.0</v>
      </c>
      <c r="H756" s="3">
        <v>24.8</v>
      </c>
    </row>
    <row r="757" ht="15.75" customHeight="1">
      <c r="A757" s="3" t="s">
        <v>36</v>
      </c>
      <c r="B757" s="3">
        <v>2016.0</v>
      </c>
      <c r="C757" s="3" t="s">
        <v>9</v>
      </c>
      <c r="D757" s="3">
        <v>139.9</v>
      </c>
      <c r="E757" s="3">
        <v>322.1</v>
      </c>
      <c r="F757" s="3">
        <v>196.0</v>
      </c>
      <c r="G757" s="3">
        <v>3.0</v>
      </c>
      <c r="H757" s="3">
        <v>14.4</v>
      </c>
    </row>
    <row r="758" ht="15.75" customHeight="1">
      <c r="A758" s="3" t="s">
        <v>36</v>
      </c>
      <c r="B758" s="3">
        <v>2016.0</v>
      </c>
      <c r="C758" s="3" t="s">
        <v>10</v>
      </c>
      <c r="D758" s="3">
        <v>124.9</v>
      </c>
      <c r="E758" s="3">
        <v>335.2</v>
      </c>
      <c r="F758" s="3">
        <v>129.0</v>
      </c>
      <c r="G758" s="3">
        <v>2.0</v>
      </c>
      <c r="H758" s="3">
        <v>33.8</v>
      </c>
    </row>
    <row r="759" ht="15.75" customHeight="1">
      <c r="A759" s="3" t="s">
        <v>36</v>
      </c>
      <c r="B759" s="3">
        <v>2016.0</v>
      </c>
      <c r="C759" s="3" t="s">
        <v>11</v>
      </c>
      <c r="D759" s="3">
        <v>139.3</v>
      </c>
      <c r="E759" s="3">
        <v>312.4</v>
      </c>
      <c r="F759" s="3">
        <v>141.2</v>
      </c>
      <c r="G759" s="3">
        <v>4.0</v>
      </c>
      <c r="H759" s="3">
        <v>9.7</v>
      </c>
    </row>
    <row r="760" ht="15.75" customHeight="1">
      <c r="A760" s="3" t="s">
        <v>36</v>
      </c>
      <c r="B760" s="3">
        <v>2016.0</v>
      </c>
      <c r="C760" s="3" t="s">
        <v>13</v>
      </c>
      <c r="D760" s="3">
        <v>205.8</v>
      </c>
      <c r="E760" s="3">
        <v>566.3</v>
      </c>
      <c r="F760" s="3">
        <v>281.6</v>
      </c>
      <c r="G760" s="3">
        <v>6.0</v>
      </c>
      <c r="H760" s="3">
        <v>15.2</v>
      </c>
    </row>
    <row r="761" ht="15.75" customHeight="1">
      <c r="A761" s="3" t="s">
        <v>36</v>
      </c>
      <c r="B761" s="3">
        <v>2016.0</v>
      </c>
      <c r="C761" s="3" t="s">
        <v>14</v>
      </c>
      <c r="D761" s="3">
        <v>130.3</v>
      </c>
      <c r="E761" s="3">
        <v>365.2</v>
      </c>
      <c r="F761" s="3">
        <v>194.2</v>
      </c>
      <c r="G761" s="3">
        <v>9.0</v>
      </c>
      <c r="H761" s="3">
        <v>34.2</v>
      </c>
    </row>
    <row r="762" ht="15.75" customHeight="1">
      <c r="A762" s="3" t="s">
        <v>36</v>
      </c>
      <c r="B762" s="3">
        <v>2017.0</v>
      </c>
      <c r="C762" s="3" t="s">
        <v>9</v>
      </c>
      <c r="D762" s="3">
        <v>251.2</v>
      </c>
      <c r="E762" s="3">
        <v>579.6</v>
      </c>
      <c r="F762" s="3">
        <v>352.2</v>
      </c>
      <c r="G762" s="3">
        <v>3.0</v>
      </c>
      <c r="H762" s="3">
        <v>24.3</v>
      </c>
    </row>
    <row r="763" ht="15.75" customHeight="1">
      <c r="A763" s="3" t="s">
        <v>36</v>
      </c>
      <c r="B763" s="3">
        <v>2017.0</v>
      </c>
      <c r="C763" s="3" t="s">
        <v>10</v>
      </c>
      <c r="D763" s="3">
        <v>222.9</v>
      </c>
      <c r="E763" s="3">
        <v>489.3</v>
      </c>
      <c r="F763" s="3">
        <v>306.4</v>
      </c>
      <c r="G763" s="3">
        <v>7.0</v>
      </c>
      <c r="H763" s="3">
        <v>32.2</v>
      </c>
    </row>
    <row r="764" ht="15.75" customHeight="1">
      <c r="A764" s="3" t="s">
        <v>36</v>
      </c>
      <c r="B764" s="3">
        <v>2017.0</v>
      </c>
      <c r="C764" s="3" t="s">
        <v>11</v>
      </c>
      <c r="D764" s="3">
        <v>204.7</v>
      </c>
      <c r="E764" s="3">
        <v>533.2</v>
      </c>
      <c r="F764" s="3">
        <v>229.8</v>
      </c>
      <c r="G764" s="3">
        <v>7.0</v>
      </c>
      <c r="H764" s="3">
        <v>49.1</v>
      </c>
    </row>
    <row r="765" ht="15.75" customHeight="1">
      <c r="A765" s="3" t="s">
        <v>36</v>
      </c>
      <c r="B765" s="3">
        <v>2017.0</v>
      </c>
      <c r="C765" s="3" t="s">
        <v>13</v>
      </c>
      <c r="D765" s="3">
        <v>196.2</v>
      </c>
      <c r="E765" s="3">
        <v>531.6</v>
      </c>
      <c r="F765" s="3">
        <v>171.4</v>
      </c>
      <c r="G765" s="3">
        <v>5.0</v>
      </c>
      <c r="H765" s="3">
        <v>24.0</v>
      </c>
    </row>
    <row r="766" ht="15.75" customHeight="1">
      <c r="A766" s="3" t="s">
        <v>36</v>
      </c>
      <c r="B766" s="3">
        <v>2017.0</v>
      </c>
      <c r="C766" s="3" t="s">
        <v>14</v>
      </c>
      <c r="D766" s="3">
        <v>226.2</v>
      </c>
      <c r="E766" s="3">
        <v>616.4</v>
      </c>
      <c r="F766" s="3">
        <v>198.8</v>
      </c>
      <c r="G766" s="3">
        <v>4.0</v>
      </c>
      <c r="H766" s="3">
        <v>16.0</v>
      </c>
    </row>
    <row r="767" ht="15.75" customHeight="1">
      <c r="A767" s="3" t="s">
        <v>36</v>
      </c>
      <c r="B767" s="3">
        <v>2018.0</v>
      </c>
      <c r="C767" s="3" t="s">
        <v>9</v>
      </c>
      <c r="D767" s="3">
        <v>229.5</v>
      </c>
      <c r="E767" s="3">
        <v>539.4</v>
      </c>
      <c r="F767" s="3">
        <v>322.2</v>
      </c>
      <c r="G767" s="3">
        <v>9.0</v>
      </c>
      <c r="H767" s="3">
        <v>14.3</v>
      </c>
    </row>
    <row r="768" ht="15.75" customHeight="1">
      <c r="A768" s="3" t="s">
        <v>36</v>
      </c>
      <c r="B768" s="3">
        <v>2018.0</v>
      </c>
      <c r="C768" s="3" t="s">
        <v>10</v>
      </c>
      <c r="D768" s="3">
        <v>200.8</v>
      </c>
      <c r="E768" s="3">
        <v>428.1</v>
      </c>
      <c r="F768" s="3">
        <v>298.0</v>
      </c>
      <c r="G768" s="3">
        <v>6.0</v>
      </c>
      <c r="H768" s="3">
        <v>27.7</v>
      </c>
    </row>
    <row r="769" ht="15.75" customHeight="1">
      <c r="A769" s="3" t="s">
        <v>36</v>
      </c>
      <c r="B769" s="3">
        <v>2018.0</v>
      </c>
      <c r="C769" s="3" t="s">
        <v>11</v>
      </c>
      <c r="D769" s="3">
        <v>180.3</v>
      </c>
      <c r="E769" s="3">
        <v>370.6</v>
      </c>
      <c r="F769" s="3">
        <v>176.5</v>
      </c>
      <c r="G769" s="3">
        <v>10.0</v>
      </c>
      <c r="H769" s="3">
        <v>9.4</v>
      </c>
    </row>
    <row r="770" ht="15.75" customHeight="1">
      <c r="A770" s="3" t="s">
        <v>36</v>
      </c>
      <c r="B770" s="3">
        <v>2018.0</v>
      </c>
      <c r="C770" s="3" t="s">
        <v>13</v>
      </c>
      <c r="D770" s="3">
        <v>193.4</v>
      </c>
      <c r="E770" s="3">
        <v>399.0</v>
      </c>
      <c r="F770" s="3">
        <v>208.4</v>
      </c>
      <c r="G770" s="3">
        <v>3.0</v>
      </c>
      <c r="H770" s="3">
        <v>4.6</v>
      </c>
    </row>
    <row r="771" ht="15.75" customHeight="1">
      <c r="A771" s="3" t="s">
        <v>36</v>
      </c>
      <c r="B771" s="3">
        <v>2018.0</v>
      </c>
      <c r="C771" s="3" t="s">
        <v>14</v>
      </c>
      <c r="D771" s="3">
        <v>195.4</v>
      </c>
      <c r="E771" s="3">
        <v>494.4</v>
      </c>
      <c r="F771" s="3">
        <v>220.3</v>
      </c>
      <c r="G771" s="3">
        <v>6.0</v>
      </c>
      <c r="H771" s="3">
        <v>41.1</v>
      </c>
    </row>
    <row r="772" ht="15.75" customHeight="1">
      <c r="A772" s="3" t="s">
        <v>36</v>
      </c>
      <c r="B772" s="3">
        <v>2019.0</v>
      </c>
      <c r="C772" s="3" t="s">
        <v>9</v>
      </c>
      <c r="D772" s="3">
        <v>227.9</v>
      </c>
      <c r="E772" s="3">
        <v>487.2</v>
      </c>
      <c r="F772" s="3">
        <v>226.5</v>
      </c>
      <c r="G772" s="3">
        <v>9.0</v>
      </c>
      <c r="H772" s="3">
        <v>37.9</v>
      </c>
    </row>
    <row r="773" ht="15.75" customHeight="1">
      <c r="A773" s="3" t="s">
        <v>36</v>
      </c>
      <c r="B773" s="3">
        <v>2019.0</v>
      </c>
      <c r="C773" s="3" t="s">
        <v>10</v>
      </c>
      <c r="D773" s="3">
        <v>264.3</v>
      </c>
      <c r="E773" s="3">
        <v>613.5</v>
      </c>
      <c r="F773" s="3">
        <v>321.8</v>
      </c>
      <c r="G773" s="3">
        <v>9.0</v>
      </c>
      <c r="H773" s="3">
        <v>42.4</v>
      </c>
    </row>
    <row r="774" ht="15.75" customHeight="1">
      <c r="A774" s="3" t="s">
        <v>36</v>
      </c>
      <c r="B774" s="3">
        <v>2019.0</v>
      </c>
      <c r="C774" s="3" t="s">
        <v>11</v>
      </c>
      <c r="D774" s="3">
        <v>261.1</v>
      </c>
      <c r="E774" s="3">
        <v>536.6</v>
      </c>
      <c r="F774" s="3">
        <v>246.3</v>
      </c>
      <c r="G774" s="3">
        <v>7.0</v>
      </c>
      <c r="H774" s="3">
        <v>43.2</v>
      </c>
    </row>
    <row r="775" ht="15.75" customHeight="1">
      <c r="A775" s="3" t="s">
        <v>36</v>
      </c>
      <c r="B775" s="3">
        <v>2019.0</v>
      </c>
      <c r="C775" s="3" t="s">
        <v>13</v>
      </c>
      <c r="D775" s="3">
        <v>283.6</v>
      </c>
      <c r="E775" s="3">
        <v>567.3</v>
      </c>
      <c r="F775" s="3">
        <v>408.5</v>
      </c>
      <c r="G775" s="3">
        <v>8.0</v>
      </c>
      <c r="H775" s="3">
        <v>37.4</v>
      </c>
    </row>
    <row r="776" ht="15.75" customHeight="1">
      <c r="A776" s="3" t="s">
        <v>36</v>
      </c>
      <c r="B776" s="3">
        <v>2019.0</v>
      </c>
      <c r="C776" s="3" t="s">
        <v>14</v>
      </c>
      <c r="D776" s="3">
        <v>278.9</v>
      </c>
      <c r="E776" s="3">
        <v>802.1</v>
      </c>
      <c r="F776" s="3">
        <v>364.2</v>
      </c>
      <c r="G776" s="3">
        <v>3.0</v>
      </c>
      <c r="H776" s="3">
        <v>35.6</v>
      </c>
    </row>
    <row r="777" ht="15.75" customHeight="1">
      <c r="A777" s="3" t="s">
        <v>36</v>
      </c>
      <c r="B777" s="3">
        <v>2020.0</v>
      </c>
      <c r="C777" s="3" t="s">
        <v>9</v>
      </c>
      <c r="D777" s="3">
        <v>260.0</v>
      </c>
      <c r="E777" s="3">
        <v>653.3</v>
      </c>
      <c r="F777" s="3">
        <v>271.5</v>
      </c>
      <c r="G777" s="3">
        <v>3.0</v>
      </c>
      <c r="H777" s="3">
        <v>36.2</v>
      </c>
    </row>
    <row r="778" ht="15.75" customHeight="1">
      <c r="A778" s="3" t="s">
        <v>36</v>
      </c>
      <c r="B778" s="3">
        <v>2020.0</v>
      </c>
      <c r="C778" s="3" t="s">
        <v>10</v>
      </c>
      <c r="D778" s="3">
        <v>321.6</v>
      </c>
      <c r="E778" s="3">
        <v>752.9</v>
      </c>
      <c r="F778" s="3">
        <v>357.3</v>
      </c>
      <c r="G778" s="3">
        <v>10.0</v>
      </c>
      <c r="H778" s="3">
        <v>40.9</v>
      </c>
    </row>
    <row r="779" ht="15.75" customHeight="1">
      <c r="A779" s="3" t="s">
        <v>36</v>
      </c>
      <c r="B779" s="3">
        <v>2020.0</v>
      </c>
      <c r="C779" s="3" t="s">
        <v>11</v>
      </c>
      <c r="D779" s="3">
        <v>233.6</v>
      </c>
      <c r="E779" s="3">
        <v>669.4</v>
      </c>
      <c r="F779" s="3">
        <v>188.5</v>
      </c>
      <c r="G779" s="3">
        <v>4.0</v>
      </c>
      <c r="H779" s="3">
        <v>23.6</v>
      </c>
    </row>
    <row r="780" ht="15.75" customHeight="1">
      <c r="A780" s="3" t="s">
        <v>36</v>
      </c>
      <c r="B780" s="3">
        <v>2020.0</v>
      </c>
      <c r="C780" s="3" t="s">
        <v>13</v>
      </c>
      <c r="D780" s="3">
        <v>278.4</v>
      </c>
      <c r="E780" s="3">
        <v>713.5</v>
      </c>
      <c r="F780" s="3">
        <v>277.2</v>
      </c>
      <c r="G780" s="3">
        <v>3.0</v>
      </c>
      <c r="H780" s="3">
        <v>44.4</v>
      </c>
    </row>
    <row r="781" ht="15.75" customHeight="1">
      <c r="A781" s="3" t="s">
        <v>36</v>
      </c>
      <c r="B781" s="3">
        <v>2020.0</v>
      </c>
      <c r="C781" s="3" t="s">
        <v>14</v>
      </c>
      <c r="D781" s="3">
        <v>308.2</v>
      </c>
      <c r="E781" s="3">
        <v>880.6</v>
      </c>
      <c r="F781" s="3">
        <v>267.5</v>
      </c>
      <c r="G781" s="3">
        <v>8.0</v>
      </c>
      <c r="H781" s="3">
        <v>27.2</v>
      </c>
    </row>
    <row r="782" ht="15.75" customHeight="1">
      <c r="A782" s="3" t="s">
        <v>36</v>
      </c>
      <c r="B782" s="3">
        <v>2021.0</v>
      </c>
      <c r="C782" s="3" t="s">
        <v>9</v>
      </c>
      <c r="D782" s="3">
        <v>287.9</v>
      </c>
      <c r="E782" s="3">
        <v>673.0</v>
      </c>
      <c r="F782" s="3">
        <v>397.1</v>
      </c>
      <c r="G782" s="3">
        <v>8.0</v>
      </c>
      <c r="H782" s="3">
        <v>49.6</v>
      </c>
    </row>
    <row r="783" ht="15.75" customHeight="1">
      <c r="A783" s="3" t="s">
        <v>36</v>
      </c>
      <c r="B783" s="3">
        <v>2021.0</v>
      </c>
      <c r="C783" s="3" t="s">
        <v>10</v>
      </c>
      <c r="D783" s="3">
        <v>296.4</v>
      </c>
      <c r="E783" s="3">
        <v>664.3</v>
      </c>
      <c r="F783" s="3">
        <v>285.6</v>
      </c>
      <c r="G783" s="3">
        <v>9.0</v>
      </c>
      <c r="H783" s="3">
        <v>10.2</v>
      </c>
    </row>
    <row r="784" ht="15.75" customHeight="1">
      <c r="A784" s="3" t="s">
        <v>36</v>
      </c>
      <c r="B784" s="3">
        <v>2021.0</v>
      </c>
      <c r="C784" s="3" t="s">
        <v>11</v>
      </c>
      <c r="D784" s="3">
        <v>295.0</v>
      </c>
      <c r="E784" s="3">
        <v>878.5</v>
      </c>
      <c r="F784" s="3">
        <v>402.9</v>
      </c>
      <c r="G784" s="3">
        <v>5.0</v>
      </c>
      <c r="H784" s="3">
        <v>17.2</v>
      </c>
    </row>
    <row r="785" ht="15.75" customHeight="1">
      <c r="A785" s="3" t="s">
        <v>36</v>
      </c>
      <c r="B785" s="3">
        <v>2021.0</v>
      </c>
      <c r="C785" s="3" t="s">
        <v>13</v>
      </c>
      <c r="D785" s="3">
        <v>263.9</v>
      </c>
      <c r="E785" s="3">
        <v>779.4</v>
      </c>
      <c r="F785" s="3">
        <v>222.3</v>
      </c>
      <c r="G785" s="3">
        <v>9.0</v>
      </c>
      <c r="H785" s="3">
        <v>49.7</v>
      </c>
    </row>
    <row r="786" ht="15.75" customHeight="1">
      <c r="A786" s="3" t="s">
        <v>36</v>
      </c>
      <c r="B786" s="3">
        <v>2021.0</v>
      </c>
      <c r="C786" s="3" t="s">
        <v>14</v>
      </c>
      <c r="D786" s="3">
        <v>269.4</v>
      </c>
      <c r="E786" s="3">
        <v>749.7</v>
      </c>
      <c r="F786" s="3">
        <v>238.6</v>
      </c>
      <c r="G786" s="3">
        <v>10.0</v>
      </c>
      <c r="H786" s="3">
        <v>14.9</v>
      </c>
    </row>
    <row r="787" ht="15.75" customHeight="1">
      <c r="A787" s="3" t="s">
        <v>36</v>
      </c>
      <c r="B787" s="3">
        <v>2022.0</v>
      </c>
      <c r="C787" s="3" t="s">
        <v>9</v>
      </c>
      <c r="D787" s="3">
        <v>331.2</v>
      </c>
      <c r="E787" s="3">
        <v>685.8</v>
      </c>
      <c r="F787" s="3">
        <v>475.8</v>
      </c>
      <c r="G787" s="3">
        <v>4.0</v>
      </c>
      <c r="H787" s="3">
        <v>41.2</v>
      </c>
    </row>
    <row r="788" ht="15.75" customHeight="1">
      <c r="A788" s="3" t="s">
        <v>36</v>
      </c>
      <c r="B788" s="3">
        <v>2022.0</v>
      </c>
      <c r="C788" s="3" t="s">
        <v>10</v>
      </c>
      <c r="D788" s="3">
        <v>376.6</v>
      </c>
      <c r="E788" s="3">
        <v>816.7</v>
      </c>
      <c r="F788" s="3">
        <v>526.4</v>
      </c>
      <c r="G788" s="3">
        <v>11.0</v>
      </c>
      <c r="H788" s="3">
        <v>11.4</v>
      </c>
    </row>
    <row r="789" ht="15.75" customHeight="1">
      <c r="A789" s="3" t="s">
        <v>36</v>
      </c>
      <c r="B789" s="3">
        <v>2022.0</v>
      </c>
      <c r="C789" s="3" t="s">
        <v>11</v>
      </c>
      <c r="D789" s="3">
        <v>341.6</v>
      </c>
      <c r="E789" s="3">
        <v>969.0</v>
      </c>
      <c r="F789" s="3">
        <v>393.5</v>
      </c>
      <c r="G789" s="3">
        <v>4.0</v>
      </c>
      <c r="H789" s="3">
        <v>41.2</v>
      </c>
    </row>
    <row r="790" ht="15.75" customHeight="1">
      <c r="A790" s="3" t="s">
        <v>36</v>
      </c>
      <c r="B790" s="3">
        <v>2022.0</v>
      </c>
      <c r="C790" s="3" t="s">
        <v>13</v>
      </c>
      <c r="D790" s="3">
        <v>313.6</v>
      </c>
      <c r="E790" s="3">
        <v>785.2</v>
      </c>
      <c r="F790" s="3">
        <v>443.7</v>
      </c>
      <c r="G790" s="3">
        <v>7.0</v>
      </c>
      <c r="H790" s="3">
        <v>38.0</v>
      </c>
    </row>
    <row r="791" ht="15.75" customHeight="1">
      <c r="A791" s="3" t="s">
        <v>36</v>
      </c>
      <c r="B791" s="3">
        <v>2022.0</v>
      </c>
      <c r="C791" s="3" t="s">
        <v>14</v>
      </c>
      <c r="D791" s="3">
        <v>312.3</v>
      </c>
      <c r="E791" s="3">
        <v>674.5</v>
      </c>
      <c r="F791" s="3">
        <v>400.9</v>
      </c>
      <c r="G791" s="3">
        <v>5.0</v>
      </c>
      <c r="H791" s="3">
        <v>16.2</v>
      </c>
    </row>
    <row r="792" ht="15.75" customHeight="1">
      <c r="A792" s="3" t="s">
        <v>36</v>
      </c>
      <c r="B792" s="3">
        <v>2023.0</v>
      </c>
      <c r="C792" s="3" t="s">
        <v>9</v>
      </c>
      <c r="D792" s="3">
        <v>350.6</v>
      </c>
      <c r="E792" s="3">
        <v>927.7</v>
      </c>
      <c r="F792" s="3">
        <v>318.8</v>
      </c>
      <c r="G792" s="3">
        <v>8.0</v>
      </c>
      <c r="H792" s="3">
        <v>20.7</v>
      </c>
    </row>
    <row r="793" ht="15.75" customHeight="1">
      <c r="A793" s="3" t="s">
        <v>36</v>
      </c>
      <c r="B793" s="3">
        <v>2023.0</v>
      </c>
      <c r="C793" s="3" t="s">
        <v>10</v>
      </c>
      <c r="D793" s="3">
        <v>361.3</v>
      </c>
      <c r="E793" s="3">
        <v>802.3</v>
      </c>
      <c r="F793" s="3">
        <v>336.1</v>
      </c>
      <c r="G793" s="3">
        <v>10.0</v>
      </c>
      <c r="H793" s="3">
        <v>14.4</v>
      </c>
    </row>
    <row r="794" ht="15.75" customHeight="1">
      <c r="A794" s="3" t="s">
        <v>36</v>
      </c>
      <c r="B794" s="3">
        <v>2023.0</v>
      </c>
      <c r="C794" s="3" t="s">
        <v>11</v>
      </c>
      <c r="D794" s="3">
        <v>353.0</v>
      </c>
      <c r="E794" s="3">
        <v>1007.2</v>
      </c>
      <c r="F794" s="3">
        <v>311.1</v>
      </c>
      <c r="G794" s="3">
        <v>8.0</v>
      </c>
      <c r="H794" s="3">
        <v>7.9</v>
      </c>
    </row>
    <row r="795" ht="15.75" customHeight="1">
      <c r="A795" s="3" t="s">
        <v>36</v>
      </c>
      <c r="B795" s="3">
        <v>2023.0</v>
      </c>
      <c r="C795" s="3" t="s">
        <v>13</v>
      </c>
      <c r="D795" s="3">
        <v>405.8</v>
      </c>
      <c r="E795" s="3">
        <v>1148.1</v>
      </c>
      <c r="F795" s="3">
        <v>469.0</v>
      </c>
      <c r="G795" s="3">
        <v>10.0</v>
      </c>
      <c r="H795" s="3">
        <v>19.7</v>
      </c>
    </row>
    <row r="796" ht="15.75" customHeight="1">
      <c r="A796" s="3" t="s">
        <v>36</v>
      </c>
      <c r="B796" s="3">
        <v>2023.0</v>
      </c>
      <c r="C796" s="3" t="s">
        <v>14</v>
      </c>
      <c r="D796" s="3">
        <v>383.9</v>
      </c>
      <c r="E796" s="3">
        <v>841.5</v>
      </c>
      <c r="F796" s="3">
        <v>346.4</v>
      </c>
      <c r="G796" s="3">
        <v>12.0</v>
      </c>
      <c r="H796" s="3">
        <v>27.0</v>
      </c>
    </row>
    <row r="797" ht="15.75" customHeight="1">
      <c r="A797" s="3" t="s">
        <v>36</v>
      </c>
      <c r="B797" s="3">
        <v>2024.0</v>
      </c>
      <c r="C797" s="3" t="s">
        <v>9</v>
      </c>
      <c r="D797" s="3">
        <v>307.7</v>
      </c>
      <c r="E797" s="3">
        <v>869.6</v>
      </c>
      <c r="F797" s="3">
        <v>396.2</v>
      </c>
      <c r="G797" s="3">
        <v>10.0</v>
      </c>
      <c r="H797" s="3">
        <v>41.2</v>
      </c>
    </row>
    <row r="798" ht="15.75" customHeight="1">
      <c r="A798" s="3" t="s">
        <v>36</v>
      </c>
      <c r="B798" s="3">
        <v>2024.0</v>
      </c>
      <c r="C798" s="3" t="s">
        <v>10</v>
      </c>
      <c r="D798" s="3">
        <v>441.1</v>
      </c>
      <c r="E798" s="3">
        <v>1039.2</v>
      </c>
      <c r="F798" s="3">
        <v>398.7</v>
      </c>
      <c r="G798" s="3">
        <v>6.0</v>
      </c>
      <c r="H798" s="3">
        <v>34.8</v>
      </c>
    </row>
    <row r="799" ht="15.75" customHeight="1">
      <c r="A799" s="3" t="s">
        <v>36</v>
      </c>
      <c r="B799" s="3">
        <v>2024.0</v>
      </c>
      <c r="C799" s="3" t="s">
        <v>11</v>
      </c>
      <c r="D799" s="3">
        <v>327.3</v>
      </c>
      <c r="E799" s="3">
        <v>779.7</v>
      </c>
      <c r="F799" s="3">
        <v>292.2</v>
      </c>
      <c r="G799" s="3">
        <v>6.0</v>
      </c>
      <c r="H799" s="3">
        <v>12.6</v>
      </c>
    </row>
    <row r="800" ht="15.75" customHeight="1">
      <c r="A800" s="3" t="s">
        <v>36</v>
      </c>
      <c r="B800" s="3">
        <v>2024.0</v>
      </c>
      <c r="C800" s="3" t="s">
        <v>13</v>
      </c>
      <c r="D800" s="3">
        <v>412.6</v>
      </c>
      <c r="E800" s="3">
        <v>1067.3</v>
      </c>
      <c r="F800" s="3">
        <v>482.1</v>
      </c>
      <c r="G800" s="3">
        <v>5.0</v>
      </c>
      <c r="H800" s="3">
        <v>10.5</v>
      </c>
    </row>
    <row r="801" ht="15.75" customHeight="1">
      <c r="A801" s="3" t="s">
        <v>36</v>
      </c>
      <c r="B801" s="3">
        <v>2024.0</v>
      </c>
      <c r="C801" s="3" t="s">
        <v>14</v>
      </c>
      <c r="D801" s="3">
        <v>403.9</v>
      </c>
      <c r="E801" s="3">
        <v>1151.8</v>
      </c>
      <c r="F801" s="3">
        <v>380.8</v>
      </c>
      <c r="G801" s="3">
        <v>8.0</v>
      </c>
      <c r="H801" s="3">
        <v>26.3</v>
      </c>
    </row>
    <row r="802" ht="15.75" customHeight="1">
      <c r="A802" s="3" t="s">
        <v>37</v>
      </c>
      <c r="B802" s="3">
        <v>2015.0</v>
      </c>
      <c r="C802" s="3" t="s">
        <v>9</v>
      </c>
      <c r="D802" s="3">
        <v>130.9</v>
      </c>
      <c r="E802" s="3">
        <v>265.1</v>
      </c>
      <c r="F802" s="3">
        <v>167.9</v>
      </c>
      <c r="G802" s="3">
        <v>2.0</v>
      </c>
      <c r="H802" s="3">
        <v>42.8</v>
      </c>
    </row>
    <row r="803" ht="15.75" customHeight="1">
      <c r="A803" s="3" t="s">
        <v>37</v>
      </c>
      <c r="B803" s="3">
        <v>2015.0</v>
      </c>
      <c r="C803" s="3" t="s">
        <v>10</v>
      </c>
      <c r="D803" s="3">
        <v>70.8</v>
      </c>
      <c r="E803" s="3">
        <v>184.7</v>
      </c>
      <c r="F803" s="3">
        <v>68.6</v>
      </c>
      <c r="G803" s="3">
        <v>6.0</v>
      </c>
      <c r="H803" s="3">
        <v>10.9</v>
      </c>
    </row>
    <row r="804" ht="15.75" customHeight="1">
      <c r="A804" s="3" t="s">
        <v>37</v>
      </c>
      <c r="B804" s="3">
        <v>2015.0</v>
      </c>
      <c r="C804" s="3" t="s">
        <v>11</v>
      </c>
      <c r="D804" s="3">
        <v>125.4</v>
      </c>
      <c r="E804" s="3">
        <v>279.9</v>
      </c>
      <c r="F804" s="3">
        <v>174.9</v>
      </c>
      <c r="G804" s="3">
        <v>10.0</v>
      </c>
      <c r="H804" s="3">
        <v>13.0</v>
      </c>
    </row>
    <row r="805" ht="15.75" customHeight="1">
      <c r="A805" s="3" t="s">
        <v>37</v>
      </c>
      <c r="B805" s="3">
        <v>2015.0</v>
      </c>
      <c r="C805" s="3" t="s">
        <v>13</v>
      </c>
      <c r="D805" s="3">
        <v>45.1</v>
      </c>
      <c r="E805" s="3">
        <v>105.6</v>
      </c>
      <c r="F805" s="3">
        <v>39.6</v>
      </c>
      <c r="G805" s="3">
        <v>2.0</v>
      </c>
      <c r="H805" s="3">
        <v>48.3</v>
      </c>
    </row>
    <row r="806" ht="15.75" customHeight="1">
      <c r="A806" s="3" t="s">
        <v>37</v>
      </c>
      <c r="B806" s="3">
        <v>2015.0</v>
      </c>
      <c r="C806" s="3" t="s">
        <v>14</v>
      </c>
      <c r="D806" s="3">
        <v>90.0</v>
      </c>
      <c r="E806" s="3">
        <v>219.8</v>
      </c>
      <c r="F806" s="3">
        <v>89.7</v>
      </c>
      <c r="G806" s="3">
        <v>1.0</v>
      </c>
      <c r="H806" s="3">
        <v>10.6</v>
      </c>
    </row>
    <row r="807" ht="15.75" customHeight="1">
      <c r="A807" s="3" t="s">
        <v>37</v>
      </c>
      <c r="B807" s="3">
        <v>2016.0</v>
      </c>
      <c r="C807" s="3" t="s">
        <v>9</v>
      </c>
      <c r="D807" s="3">
        <v>178.0</v>
      </c>
      <c r="E807" s="3">
        <v>414.4</v>
      </c>
      <c r="F807" s="3">
        <v>188.8</v>
      </c>
      <c r="G807" s="3">
        <v>2.0</v>
      </c>
      <c r="H807" s="3">
        <v>6.6</v>
      </c>
    </row>
    <row r="808" ht="15.75" customHeight="1">
      <c r="A808" s="3" t="s">
        <v>37</v>
      </c>
      <c r="B808" s="3">
        <v>2016.0</v>
      </c>
      <c r="C808" s="3" t="s">
        <v>10</v>
      </c>
      <c r="D808" s="3">
        <v>141.5</v>
      </c>
      <c r="E808" s="3">
        <v>290.0</v>
      </c>
      <c r="F808" s="3">
        <v>138.7</v>
      </c>
      <c r="G808" s="3">
        <v>6.0</v>
      </c>
      <c r="H808" s="3">
        <v>43.8</v>
      </c>
    </row>
    <row r="809" ht="15.75" customHeight="1">
      <c r="A809" s="3" t="s">
        <v>37</v>
      </c>
      <c r="B809" s="3">
        <v>2016.0</v>
      </c>
      <c r="C809" s="3" t="s">
        <v>11</v>
      </c>
      <c r="D809" s="3">
        <v>168.3</v>
      </c>
      <c r="E809" s="3">
        <v>418.6</v>
      </c>
      <c r="F809" s="3">
        <v>216.1</v>
      </c>
      <c r="G809" s="3">
        <v>2.0</v>
      </c>
      <c r="H809" s="3">
        <v>22.8</v>
      </c>
    </row>
    <row r="810" ht="15.75" customHeight="1">
      <c r="A810" s="3" t="s">
        <v>37</v>
      </c>
      <c r="B810" s="3">
        <v>2016.0</v>
      </c>
      <c r="C810" s="3" t="s">
        <v>13</v>
      </c>
      <c r="D810" s="3">
        <v>107.7</v>
      </c>
      <c r="E810" s="3">
        <v>261.7</v>
      </c>
      <c r="F810" s="3">
        <v>109.7</v>
      </c>
      <c r="G810" s="3">
        <v>4.0</v>
      </c>
      <c r="H810" s="3">
        <v>22.3</v>
      </c>
    </row>
    <row r="811" ht="15.75" customHeight="1">
      <c r="A811" s="3" t="s">
        <v>37</v>
      </c>
      <c r="B811" s="3">
        <v>2016.0</v>
      </c>
      <c r="C811" s="3" t="s">
        <v>14</v>
      </c>
      <c r="D811" s="3">
        <v>178.5</v>
      </c>
      <c r="E811" s="3">
        <v>505.7</v>
      </c>
      <c r="F811" s="3">
        <v>266.0</v>
      </c>
      <c r="G811" s="3">
        <v>5.0</v>
      </c>
      <c r="H811" s="3">
        <v>47.1</v>
      </c>
    </row>
    <row r="812" ht="15.75" customHeight="1">
      <c r="A812" s="3" t="s">
        <v>37</v>
      </c>
      <c r="B812" s="3">
        <v>2017.0</v>
      </c>
      <c r="C812" s="3" t="s">
        <v>9</v>
      </c>
      <c r="D812" s="3">
        <v>162.8</v>
      </c>
      <c r="E812" s="3">
        <v>332.3</v>
      </c>
      <c r="F812" s="3">
        <v>215.1</v>
      </c>
      <c r="G812" s="3">
        <v>2.0</v>
      </c>
      <c r="H812" s="3">
        <v>3.5</v>
      </c>
    </row>
    <row r="813" ht="15.75" customHeight="1">
      <c r="A813" s="3" t="s">
        <v>37</v>
      </c>
      <c r="B813" s="3">
        <v>2017.0</v>
      </c>
      <c r="C813" s="3" t="s">
        <v>10</v>
      </c>
      <c r="D813" s="3">
        <v>88.4</v>
      </c>
      <c r="E813" s="3">
        <v>182.4</v>
      </c>
      <c r="F813" s="3">
        <v>94.7</v>
      </c>
      <c r="G813" s="3">
        <v>8.0</v>
      </c>
      <c r="H813" s="3">
        <v>37.7</v>
      </c>
    </row>
    <row r="814" ht="15.75" customHeight="1">
      <c r="A814" s="3" t="s">
        <v>37</v>
      </c>
      <c r="B814" s="3">
        <v>2017.0</v>
      </c>
      <c r="C814" s="3" t="s">
        <v>11</v>
      </c>
      <c r="D814" s="3">
        <v>110.9</v>
      </c>
      <c r="E814" s="3">
        <v>305.0</v>
      </c>
      <c r="F814" s="3">
        <v>131.1</v>
      </c>
      <c r="G814" s="3">
        <v>8.0</v>
      </c>
      <c r="H814" s="3">
        <v>24.7</v>
      </c>
    </row>
    <row r="815" ht="15.75" customHeight="1">
      <c r="A815" s="3" t="s">
        <v>37</v>
      </c>
      <c r="B815" s="3">
        <v>2017.0</v>
      </c>
      <c r="C815" s="3" t="s">
        <v>13</v>
      </c>
      <c r="D815" s="3">
        <v>198.6</v>
      </c>
      <c r="E815" s="3">
        <v>472.9</v>
      </c>
      <c r="F815" s="3">
        <v>173.7</v>
      </c>
      <c r="G815" s="3">
        <v>5.0</v>
      </c>
      <c r="H815" s="3">
        <v>36.0</v>
      </c>
    </row>
    <row r="816" ht="15.75" customHeight="1">
      <c r="A816" s="3" t="s">
        <v>37</v>
      </c>
      <c r="B816" s="3">
        <v>2017.0</v>
      </c>
      <c r="C816" s="3" t="s">
        <v>14</v>
      </c>
      <c r="D816" s="3">
        <v>114.5</v>
      </c>
      <c r="E816" s="3">
        <v>331.7</v>
      </c>
      <c r="F816" s="3">
        <v>133.7</v>
      </c>
      <c r="G816" s="3">
        <v>9.0</v>
      </c>
      <c r="H816" s="3">
        <v>34.4</v>
      </c>
    </row>
    <row r="817" ht="15.75" customHeight="1">
      <c r="A817" s="3" t="s">
        <v>37</v>
      </c>
      <c r="B817" s="3">
        <v>2018.0</v>
      </c>
      <c r="C817" s="3" t="s">
        <v>9</v>
      </c>
      <c r="D817" s="3">
        <v>117.3</v>
      </c>
      <c r="E817" s="3">
        <v>294.7</v>
      </c>
      <c r="F817" s="3">
        <v>129.1</v>
      </c>
      <c r="G817" s="3">
        <v>9.0</v>
      </c>
      <c r="H817" s="3">
        <v>2.9</v>
      </c>
    </row>
    <row r="818" ht="15.75" customHeight="1">
      <c r="A818" s="3" t="s">
        <v>37</v>
      </c>
      <c r="B818" s="3">
        <v>2018.0</v>
      </c>
      <c r="C818" s="3" t="s">
        <v>10</v>
      </c>
      <c r="D818" s="3">
        <v>161.8</v>
      </c>
      <c r="E818" s="3">
        <v>443.0</v>
      </c>
      <c r="F818" s="3">
        <v>226.5</v>
      </c>
      <c r="G818" s="3">
        <v>4.0</v>
      </c>
      <c r="H818" s="3">
        <v>25.1</v>
      </c>
    </row>
    <row r="819" ht="15.75" customHeight="1">
      <c r="A819" s="3" t="s">
        <v>37</v>
      </c>
      <c r="B819" s="3">
        <v>2018.0</v>
      </c>
      <c r="C819" s="3" t="s">
        <v>11</v>
      </c>
      <c r="D819" s="3">
        <v>199.6</v>
      </c>
      <c r="E819" s="3">
        <v>552.9</v>
      </c>
      <c r="F819" s="3">
        <v>296.0</v>
      </c>
      <c r="G819" s="3">
        <v>4.0</v>
      </c>
      <c r="H819" s="3">
        <v>17.7</v>
      </c>
    </row>
    <row r="820" ht="15.75" customHeight="1">
      <c r="A820" s="3" t="s">
        <v>37</v>
      </c>
      <c r="B820" s="3">
        <v>2018.0</v>
      </c>
      <c r="C820" s="3" t="s">
        <v>13</v>
      </c>
      <c r="D820" s="3">
        <v>135.1</v>
      </c>
      <c r="E820" s="3">
        <v>284.9</v>
      </c>
      <c r="F820" s="3">
        <v>187.8</v>
      </c>
      <c r="G820" s="3">
        <v>7.0</v>
      </c>
      <c r="H820" s="3">
        <v>30.3</v>
      </c>
    </row>
    <row r="821" ht="15.75" customHeight="1">
      <c r="A821" s="3" t="s">
        <v>37</v>
      </c>
      <c r="B821" s="3">
        <v>2018.0</v>
      </c>
      <c r="C821" s="3" t="s">
        <v>14</v>
      </c>
      <c r="D821" s="3">
        <v>219.7</v>
      </c>
      <c r="E821" s="3">
        <v>481.4</v>
      </c>
      <c r="F821" s="3">
        <v>261.1</v>
      </c>
      <c r="G821" s="3">
        <v>5.0</v>
      </c>
      <c r="H821" s="3">
        <v>17.7</v>
      </c>
    </row>
    <row r="822" ht="15.75" customHeight="1">
      <c r="A822" s="3" t="s">
        <v>37</v>
      </c>
      <c r="B822" s="3">
        <v>2019.0</v>
      </c>
      <c r="C822" s="3" t="s">
        <v>9</v>
      </c>
      <c r="D822" s="3">
        <v>267.2</v>
      </c>
      <c r="E822" s="3">
        <v>607.7</v>
      </c>
      <c r="F822" s="3">
        <v>368.6</v>
      </c>
      <c r="G822" s="3">
        <v>7.0</v>
      </c>
      <c r="H822" s="3">
        <v>35.6</v>
      </c>
    </row>
    <row r="823" ht="15.75" customHeight="1">
      <c r="A823" s="3" t="s">
        <v>37</v>
      </c>
      <c r="B823" s="3">
        <v>2019.0</v>
      </c>
      <c r="C823" s="3" t="s">
        <v>10</v>
      </c>
      <c r="D823" s="3">
        <v>203.1</v>
      </c>
      <c r="E823" s="3">
        <v>430.4</v>
      </c>
      <c r="F823" s="3">
        <v>182.5</v>
      </c>
      <c r="G823" s="3">
        <v>8.0</v>
      </c>
      <c r="H823" s="3">
        <v>11.4</v>
      </c>
    </row>
    <row r="824" ht="15.75" customHeight="1">
      <c r="A824" s="3" t="s">
        <v>37</v>
      </c>
      <c r="B824" s="3">
        <v>2019.0</v>
      </c>
      <c r="C824" s="3" t="s">
        <v>11</v>
      </c>
      <c r="D824" s="3">
        <v>240.4</v>
      </c>
      <c r="E824" s="3">
        <v>650.2</v>
      </c>
      <c r="F824" s="3">
        <v>348.6</v>
      </c>
      <c r="G824" s="3">
        <v>5.0</v>
      </c>
      <c r="H824" s="3">
        <v>16.0</v>
      </c>
    </row>
    <row r="825" ht="15.75" customHeight="1">
      <c r="A825" s="3" t="s">
        <v>37</v>
      </c>
      <c r="B825" s="3">
        <v>2019.0</v>
      </c>
      <c r="C825" s="3" t="s">
        <v>13</v>
      </c>
      <c r="D825" s="3">
        <v>228.1</v>
      </c>
      <c r="E825" s="3">
        <v>614.9</v>
      </c>
      <c r="F825" s="3">
        <v>213.2</v>
      </c>
      <c r="G825" s="3">
        <v>9.0</v>
      </c>
      <c r="H825" s="3">
        <v>13.7</v>
      </c>
    </row>
    <row r="826" ht="15.75" customHeight="1">
      <c r="A826" s="3" t="s">
        <v>37</v>
      </c>
      <c r="B826" s="3">
        <v>2019.0</v>
      </c>
      <c r="C826" s="3" t="s">
        <v>14</v>
      </c>
      <c r="D826" s="3">
        <v>257.4</v>
      </c>
      <c r="E826" s="3">
        <v>638.9</v>
      </c>
      <c r="F826" s="3">
        <v>216.2</v>
      </c>
      <c r="G826" s="3">
        <v>4.0</v>
      </c>
      <c r="H826" s="3">
        <v>19.6</v>
      </c>
    </row>
    <row r="827" ht="15.75" customHeight="1">
      <c r="A827" s="3" t="s">
        <v>37</v>
      </c>
      <c r="B827" s="3">
        <v>2020.0</v>
      </c>
      <c r="C827" s="3" t="s">
        <v>9</v>
      </c>
      <c r="D827" s="3">
        <v>249.3</v>
      </c>
      <c r="E827" s="3">
        <v>643.9</v>
      </c>
      <c r="F827" s="3">
        <v>221.1</v>
      </c>
      <c r="G827" s="3">
        <v>3.0</v>
      </c>
      <c r="H827" s="3">
        <v>36.3</v>
      </c>
    </row>
    <row r="828" ht="15.75" customHeight="1">
      <c r="A828" s="3" t="s">
        <v>37</v>
      </c>
      <c r="B828" s="3">
        <v>2020.0</v>
      </c>
      <c r="C828" s="3" t="s">
        <v>10</v>
      </c>
      <c r="D828" s="3">
        <v>252.0</v>
      </c>
      <c r="E828" s="3">
        <v>661.2</v>
      </c>
      <c r="F828" s="3">
        <v>307.9</v>
      </c>
      <c r="G828" s="3">
        <v>11.0</v>
      </c>
      <c r="H828" s="3">
        <v>21.0</v>
      </c>
    </row>
    <row r="829" ht="15.75" customHeight="1">
      <c r="A829" s="3" t="s">
        <v>37</v>
      </c>
      <c r="B829" s="3">
        <v>2020.0</v>
      </c>
      <c r="C829" s="3" t="s">
        <v>11</v>
      </c>
      <c r="D829" s="3">
        <v>208.5</v>
      </c>
      <c r="E829" s="3">
        <v>445.5</v>
      </c>
      <c r="F829" s="3">
        <v>273.1</v>
      </c>
      <c r="G829" s="3">
        <v>7.0</v>
      </c>
      <c r="H829" s="3">
        <v>40.5</v>
      </c>
    </row>
    <row r="830" ht="15.75" customHeight="1">
      <c r="A830" s="3" t="s">
        <v>37</v>
      </c>
      <c r="B830" s="3">
        <v>2020.0</v>
      </c>
      <c r="C830" s="3" t="s">
        <v>13</v>
      </c>
      <c r="D830" s="3">
        <v>220.3</v>
      </c>
      <c r="E830" s="3">
        <v>552.3</v>
      </c>
      <c r="F830" s="3">
        <v>308.3</v>
      </c>
      <c r="G830" s="3">
        <v>4.0</v>
      </c>
      <c r="H830" s="3">
        <v>14.6</v>
      </c>
    </row>
    <row r="831" ht="15.75" customHeight="1">
      <c r="A831" s="3" t="s">
        <v>37</v>
      </c>
      <c r="B831" s="3">
        <v>2020.0</v>
      </c>
      <c r="C831" s="3" t="s">
        <v>14</v>
      </c>
      <c r="D831" s="3">
        <v>289.9</v>
      </c>
      <c r="E831" s="3">
        <v>619.5</v>
      </c>
      <c r="F831" s="3">
        <v>246.1</v>
      </c>
      <c r="G831" s="3">
        <v>6.0</v>
      </c>
      <c r="H831" s="3">
        <v>46.2</v>
      </c>
    </row>
    <row r="832" ht="15.75" customHeight="1">
      <c r="A832" s="3" t="s">
        <v>37</v>
      </c>
      <c r="B832" s="3">
        <v>2021.0</v>
      </c>
      <c r="C832" s="3" t="s">
        <v>9</v>
      </c>
      <c r="D832" s="3">
        <v>296.3</v>
      </c>
      <c r="E832" s="3">
        <v>840.3</v>
      </c>
      <c r="F832" s="3">
        <v>415.9</v>
      </c>
      <c r="G832" s="3">
        <v>8.0</v>
      </c>
      <c r="H832" s="3">
        <v>17.5</v>
      </c>
    </row>
    <row r="833" ht="15.75" customHeight="1">
      <c r="A833" s="3" t="s">
        <v>37</v>
      </c>
      <c r="B833" s="3">
        <v>2021.0</v>
      </c>
      <c r="C833" s="3" t="s">
        <v>10</v>
      </c>
      <c r="D833" s="3">
        <v>292.4</v>
      </c>
      <c r="E833" s="3">
        <v>588.4</v>
      </c>
      <c r="F833" s="3">
        <v>347.1</v>
      </c>
      <c r="G833" s="3">
        <v>4.0</v>
      </c>
      <c r="H833" s="3">
        <v>4.1</v>
      </c>
    </row>
    <row r="834" ht="15.75" customHeight="1">
      <c r="A834" s="3" t="s">
        <v>37</v>
      </c>
      <c r="B834" s="3">
        <v>2021.0</v>
      </c>
      <c r="C834" s="3" t="s">
        <v>11</v>
      </c>
      <c r="D834" s="3">
        <v>381.7</v>
      </c>
      <c r="E834" s="3">
        <v>853.8</v>
      </c>
      <c r="F834" s="3">
        <v>434.6</v>
      </c>
      <c r="G834" s="3">
        <v>5.0</v>
      </c>
      <c r="H834" s="3">
        <v>4.7</v>
      </c>
    </row>
    <row r="835" ht="15.75" customHeight="1">
      <c r="A835" s="3" t="s">
        <v>37</v>
      </c>
      <c r="B835" s="3">
        <v>2021.0</v>
      </c>
      <c r="C835" s="3" t="s">
        <v>13</v>
      </c>
      <c r="D835" s="3">
        <v>327.3</v>
      </c>
      <c r="E835" s="3">
        <v>804.1</v>
      </c>
      <c r="F835" s="3">
        <v>455.6</v>
      </c>
      <c r="G835" s="3">
        <v>12.0</v>
      </c>
      <c r="H835" s="3">
        <v>38.7</v>
      </c>
    </row>
    <row r="836" ht="15.75" customHeight="1">
      <c r="A836" s="3" t="s">
        <v>37</v>
      </c>
      <c r="B836" s="3">
        <v>2021.0</v>
      </c>
      <c r="C836" s="3" t="s">
        <v>14</v>
      </c>
      <c r="D836" s="3">
        <v>290.2</v>
      </c>
      <c r="E836" s="3">
        <v>810.2</v>
      </c>
      <c r="F836" s="3">
        <v>313.9</v>
      </c>
      <c r="G836" s="3">
        <v>10.0</v>
      </c>
      <c r="H836" s="3">
        <v>41.9</v>
      </c>
    </row>
    <row r="837" ht="15.75" customHeight="1">
      <c r="A837" s="3" t="s">
        <v>37</v>
      </c>
      <c r="B837" s="3">
        <v>2022.0</v>
      </c>
      <c r="C837" s="3" t="s">
        <v>9</v>
      </c>
      <c r="D837" s="3">
        <v>331.3</v>
      </c>
      <c r="E837" s="3">
        <v>677.6</v>
      </c>
      <c r="F837" s="3">
        <v>366.6</v>
      </c>
      <c r="G837" s="3">
        <v>8.0</v>
      </c>
      <c r="H837" s="3">
        <v>13.3</v>
      </c>
    </row>
    <row r="838" ht="15.75" customHeight="1">
      <c r="A838" s="3" t="s">
        <v>37</v>
      </c>
      <c r="B838" s="3">
        <v>2022.0</v>
      </c>
      <c r="C838" s="3" t="s">
        <v>10</v>
      </c>
      <c r="D838" s="3">
        <v>320.5</v>
      </c>
      <c r="E838" s="3">
        <v>784.9</v>
      </c>
      <c r="F838" s="3">
        <v>386.0</v>
      </c>
      <c r="G838" s="3">
        <v>9.0</v>
      </c>
      <c r="H838" s="3">
        <v>33.0</v>
      </c>
    </row>
    <row r="839" ht="15.75" customHeight="1">
      <c r="A839" s="3" t="s">
        <v>37</v>
      </c>
      <c r="B839" s="3">
        <v>2022.0</v>
      </c>
      <c r="C839" s="3" t="s">
        <v>11</v>
      </c>
      <c r="D839" s="3">
        <v>316.4</v>
      </c>
      <c r="E839" s="3">
        <v>748.8</v>
      </c>
      <c r="F839" s="3">
        <v>275.1</v>
      </c>
      <c r="G839" s="3">
        <v>7.0</v>
      </c>
      <c r="H839" s="3">
        <v>49.7</v>
      </c>
    </row>
    <row r="840" ht="15.75" customHeight="1">
      <c r="A840" s="3" t="s">
        <v>37</v>
      </c>
      <c r="B840" s="3">
        <v>2022.0</v>
      </c>
      <c r="C840" s="3" t="s">
        <v>13</v>
      </c>
      <c r="D840" s="3">
        <v>403.0</v>
      </c>
      <c r="E840" s="3">
        <v>920.8</v>
      </c>
      <c r="F840" s="3">
        <v>500.3</v>
      </c>
      <c r="G840" s="3">
        <v>9.0</v>
      </c>
      <c r="H840" s="3">
        <v>15.2</v>
      </c>
    </row>
    <row r="841" ht="15.75" customHeight="1">
      <c r="A841" s="3" t="s">
        <v>37</v>
      </c>
      <c r="B841" s="3">
        <v>2022.0</v>
      </c>
      <c r="C841" s="3" t="s">
        <v>14</v>
      </c>
      <c r="D841" s="3">
        <v>371.1</v>
      </c>
      <c r="E841" s="3">
        <v>1023.3</v>
      </c>
      <c r="F841" s="3">
        <v>370.1</v>
      </c>
      <c r="G841" s="3">
        <v>4.0</v>
      </c>
      <c r="H841" s="3">
        <v>5.7</v>
      </c>
    </row>
    <row r="842" ht="15.75" customHeight="1">
      <c r="A842" s="3" t="s">
        <v>37</v>
      </c>
      <c r="B842" s="3">
        <v>2023.0</v>
      </c>
      <c r="C842" s="3" t="s">
        <v>9</v>
      </c>
      <c r="D842" s="3">
        <v>352.3</v>
      </c>
      <c r="E842" s="3">
        <v>1026.3</v>
      </c>
      <c r="F842" s="3">
        <v>432.4</v>
      </c>
      <c r="G842" s="3">
        <v>9.0</v>
      </c>
      <c r="H842" s="3">
        <v>13.2</v>
      </c>
    </row>
    <row r="843" ht="15.75" customHeight="1">
      <c r="A843" s="3" t="s">
        <v>37</v>
      </c>
      <c r="B843" s="3">
        <v>2023.0</v>
      </c>
      <c r="C843" s="3" t="s">
        <v>10</v>
      </c>
      <c r="D843" s="3">
        <v>327.3</v>
      </c>
      <c r="E843" s="3">
        <v>726.8</v>
      </c>
      <c r="F843" s="3">
        <v>379.9</v>
      </c>
      <c r="G843" s="3">
        <v>5.0</v>
      </c>
      <c r="H843" s="3">
        <v>1.8</v>
      </c>
    </row>
    <row r="844" ht="15.75" customHeight="1">
      <c r="A844" s="3" t="s">
        <v>37</v>
      </c>
      <c r="B844" s="3">
        <v>2023.0</v>
      </c>
      <c r="C844" s="3" t="s">
        <v>11</v>
      </c>
      <c r="D844" s="3">
        <v>380.9</v>
      </c>
      <c r="E844" s="3">
        <v>1026.6</v>
      </c>
      <c r="F844" s="3">
        <v>307.6</v>
      </c>
      <c r="G844" s="3">
        <v>10.0</v>
      </c>
      <c r="H844" s="3">
        <v>46.7</v>
      </c>
    </row>
    <row r="845" ht="15.75" customHeight="1">
      <c r="A845" s="3" t="s">
        <v>37</v>
      </c>
      <c r="B845" s="3">
        <v>2023.0</v>
      </c>
      <c r="C845" s="3" t="s">
        <v>13</v>
      </c>
      <c r="D845" s="3">
        <v>338.1</v>
      </c>
      <c r="E845" s="3">
        <v>688.1</v>
      </c>
      <c r="F845" s="3">
        <v>447.1</v>
      </c>
      <c r="G845" s="3">
        <v>12.0</v>
      </c>
      <c r="H845" s="3">
        <v>20.9</v>
      </c>
    </row>
    <row r="846" ht="15.75" customHeight="1">
      <c r="A846" s="3" t="s">
        <v>37</v>
      </c>
      <c r="B846" s="3">
        <v>2023.0</v>
      </c>
      <c r="C846" s="3" t="s">
        <v>14</v>
      </c>
      <c r="D846" s="3">
        <v>354.5</v>
      </c>
      <c r="E846" s="3">
        <v>930.0</v>
      </c>
      <c r="F846" s="3">
        <v>316.2</v>
      </c>
      <c r="G846" s="3">
        <v>5.0</v>
      </c>
      <c r="H846" s="3">
        <v>42.4</v>
      </c>
    </row>
    <row r="847" ht="15.75" customHeight="1">
      <c r="A847" s="3" t="s">
        <v>37</v>
      </c>
      <c r="B847" s="3">
        <v>2024.0</v>
      </c>
      <c r="C847" s="3" t="s">
        <v>9</v>
      </c>
      <c r="D847" s="3">
        <v>364.4</v>
      </c>
      <c r="E847" s="3">
        <v>1005.8</v>
      </c>
      <c r="F847" s="3">
        <v>464.0</v>
      </c>
      <c r="G847" s="3">
        <v>7.0</v>
      </c>
      <c r="H847" s="3">
        <v>38.1</v>
      </c>
    </row>
    <row r="848" ht="15.75" customHeight="1">
      <c r="A848" s="3" t="s">
        <v>37</v>
      </c>
      <c r="B848" s="3">
        <v>2024.0</v>
      </c>
      <c r="C848" s="3" t="s">
        <v>10</v>
      </c>
      <c r="D848" s="3">
        <v>433.9</v>
      </c>
      <c r="E848" s="3">
        <v>1277.6</v>
      </c>
      <c r="F848" s="3">
        <v>649.6</v>
      </c>
      <c r="G848" s="3">
        <v>9.0</v>
      </c>
      <c r="H848" s="3">
        <v>24.0</v>
      </c>
    </row>
    <row r="849" ht="15.75" customHeight="1">
      <c r="A849" s="3" t="s">
        <v>37</v>
      </c>
      <c r="B849" s="3">
        <v>2024.0</v>
      </c>
      <c r="C849" s="3" t="s">
        <v>11</v>
      </c>
      <c r="D849" s="3">
        <v>359.4</v>
      </c>
      <c r="E849" s="3">
        <v>792.7</v>
      </c>
      <c r="F849" s="3">
        <v>527.0</v>
      </c>
      <c r="G849" s="3">
        <v>7.0</v>
      </c>
      <c r="H849" s="3">
        <v>42.1</v>
      </c>
    </row>
    <row r="850" ht="15.75" customHeight="1">
      <c r="A850" s="3" t="s">
        <v>37</v>
      </c>
      <c r="B850" s="3">
        <v>2024.0</v>
      </c>
      <c r="C850" s="3" t="s">
        <v>13</v>
      </c>
      <c r="D850" s="3">
        <v>419.3</v>
      </c>
      <c r="E850" s="3">
        <v>1209.9</v>
      </c>
      <c r="F850" s="3">
        <v>360.9</v>
      </c>
      <c r="G850" s="3">
        <v>9.0</v>
      </c>
      <c r="H850" s="3">
        <v>45.7</v>
      </c>
    </row>
    <row r="851" ht="15.75" customHeight="1">
      <c r="A851" s="3" t="s">
        <v>37</v>
      </c>
      <c r="B851" s="3">
        <v>2024.0</v>
      </c>
      <c r="C851" s="3" t="s">
        <v>14</v>
      </c>
      <c r="D851" s="3">
        <v>402.8</v>
      </c>
      <c r="E851" s="3">
        <v>1038.7</v>
      </c>
      <c r="F851" s="3">
        <v>350.5</v>
      </c>
      <c r="G851" s="3">
        <v>5.0</v>
      </c>
      <c r="H851" s="3">
        <v>46.8</v>
      </c>
    </row>
    <row r="852" ht="15.75" customHeight="1">
      <c r="A852" s="3" t="s">
        <v>38</v>
      </c>
      <c r="B852" s="3">
        <v>2015.0</v>
      </c>
      <c r="C852" s="3" t="s">
        <v>9</v>
      </c>
      <c r="D852" s="3">
        <v>153.8</v>
      </c>
      <c r="E852" s="3">
        <v>349.9</v>
      </c>
      <c r="F852" s="3">
        <v>158.8</v>
      </c>
      <c r="G852" s="3">
        <v>9.0</v>
      </c>
      <c r="H852" s="3">
        <v>31.7</v>
      </c>
    </row>
    <row r="853" ht="15.75" customHeight="1">
      <c r="A853" s="3" t="s">
        <v>38</v>
      </c>
      <c r="B853" s="3">
        <v>2015.0</v>
      </c>
      <c r="C853" s="3" t="s">
        <v>10</v>
      </c>
      <c r="D853" s="3">
        <v>124.8</v>
      </c>
      <c r="E853" s="3">
        <v>275.1</v>
      </c>
      <c r="F853" s="3">
        <v>169.5</v>
      </c>
      <c r="G853" s="3">
        <v>7.0</v>
      </c>
      <c r="H853" s="3">
        <v>16.2</v>
      </c>
    </row>
    <row r="854" ht="15.75" customHeight="1">
      <c r="A854" s="3" t="s">
        <v>38</v>
      </c>
      <c r="B854" s="3">
        <v>2015.0</v>
      </c>
      <c r="C854" s="3" t="s">
        <v>11</v>
      </c>
      <c r="D854" s="3">
        <v>103.6</v>
      </c>
      <c r="E854" s="3">
        <v>309.0</v>
      </c>
      <c r="F854" s="3">
        <v>129.5</v>
      </c>
      <c r="G854" s="3">
        <v>9.0</v>
      </c>
      <c r="H854" s="3">
        <v>17.6</v>
      </c>
    </row>
    <row r="855" ht="15.75" customHeight="1">
      <c r="A855" s="3" t="s">
        <v>38</v>
      </c>
      <c r="B855" s="3">
        <v>2015.0</v>
      </c>
      <c r="C855" s="3" t="s">
        <v>13</v>
      </c>
      <c r="D855" s="3">
        <v>82.3</v>
      </c>
      <c r="E855" s="3">
        <v>216.4</v>
      </c>
      <c r="F855" s="3">
        <v>102.8</v>
      </c>
      <c r="G855" s="3">
        <v>5.0</v>
      </c>
      <c r="H855" s="3">
        <v>9.9</v>
      </c>
    </row>
    <row r="856" ht="15.75" customHeight="1">
      <c r="A856" s="3" t="s">
        <v>38</v>
      </c>
      <c r="B856" s="3">
        <v>2015.0</v>
      </c>
      <c r="C856" s="3" t="s">
        <v>14</v>
      </c>
      <c r="D856" s="3">
        <v>175.8</v>
      </c>
      <c r="E856" s="3">
        <v>399.8</v>
      </c>
      <c r="F856" s="3">
        <v>213.7</v>
      </c>
      <c r="G856" s="3">
        <v>10.0</v>
      </c>
      <c r="H856" s="3">
        <v>7.5</v>
      </c>
    </row>
    <row r="857" ht="15.75" customHeight="1">
      <c r="A857" s="3" t="s">
        <v>38</v>
      </c>
      <c r="B857" s="3">
        <v>2016.0</v>
      </c>
      <c r="C857" s="3" t="s">
        <v>9</v>
      </c>
      <c r="D857" s="3">
        <v>176.1</v>
      </c>
      <c r="E857" s="3">
        <v>483.0</v>
      </c>
      <c r="F857" s="3">
        <v>169.1</v>
      </c>
      <c r="G857" s="3">
        <v>5.0</v>
      </c>
      <c r="H857" s="3">
        <v>15.7</v>
      </c>
    </row>
    <row r="858" ht="15.75" customHeight="1">
      <c r="A858" s="3" t="s">
        <v>38</v>
      </c>
      <c r="B858" s="3">
        <v>2016.0</v>
      </c>
      <c r="C858" s="3" t="s">
        <v>10</v>
      </c>
      <c r="D858" s="3">
        <v>96.4</v>
      </c>
      <c r="E858" s="3">
        <v>231.3</v>
      </c>
      <c r="F858" s="3">
        <v>81.0</v>
      </c>
      <c r="G858" s="3">
        <v>3.0</v>
      </c>
      <c r="H858" s="3">
        <v>29.3</v>
      </c>
    </row>
    <row r="859" ht="15.75" customHeight="1">
      <c r="A859" s="3" t="s">
        <v>38</v>
      </c>
      <c r="B859" s="3">
        <v>2016.0</v>
      </c>
      <c r="C859" s="3" t="s">
        <v>11</v>
      </c>
      <c r="D859" s="3">
        <v>116.8</v>
      </c>
      <c r="E859" s="3">
        <v>235.6</v>
      </c>
      <c r="F859" s="3">
        <v>121.2</v>
      </c>
      <c r="G859" s="3">
        <v>8.0</v>
      </c>
      <c r="H859" s="3">
        <v>21.5</v>
      </c>
    </row>
    <row r="860" ht="15.75" customHeight="1">
      <c r="A860" s="3" t="s">
        <v>38</v>
      </c>
      <c r="B860" s="3">
        <v>2016.0</v>
      </c>
      <c r="C860" s="3" t="s">
        <v>13</v>
      </c>
      <c r="D860" s="3">
        <v>177.1</v>
      </c>
      <c r="E860" s="3">
        <v>399.6</v>
      </c>
      <c r="F860" s="3">
        <v>257.4</v>
      </c>
      <c r="G860" s="3">
        <v>9.0</v>
      </c>
      <c r="H860" s="3">
        <v>33.4</v>
      </c>
    </row>
    <row r="861" ht="15.75" customHeight="1">
      <c r="A861" s="3" t="s">
        <v>38</v>
      </c>
      <c r="B861" s="3">
        <v>2016.0</v>
      </c>
      <c r="C861" s="3" t="s">
        <v>14</v>
      </c>
      <c r="D861" s="3">
        <v>91.3</v>
      </c>
      <c r="E861" s="3">
        <v>251.1</v>
      </c>
      <c r="F861" s="3">
        <v>92.9</v>
      </c>
      <c r="G861" s="3">
        <v>2.0</v>
      </c>
      <c r="H861" s="3">
        <v>43.0</v>
      </c>
    </row>
    <row r="862" ht="15.75" customHeight="1">
      <c r="A862" s="3" t="s">
        <v>38</v>
      </c>
      <c r="B862" s="3">
        <v>2017.0</v>
      </c>
      <c r="C862" s="3" t="s">
        <v>9</v>
      </c>
      <c r="D862" s="3">
        <v>206.6</v>
      </c>
      <c r="E862" s="3">
        <v>577.9</v>
      </c>
      <c r="F862" s="3">
        <v>290.2</v>
      </c>
      <c r="G862" s="3">
        <v>6.0</v>
      </c>
      <c r="H862" s="3">
        <v>47.0</v>
      </c>
    </row>
    <row r="863" ht="15.75" customHeight="1">
      <c r="A863" s="3" t="s">
        <v>38</v>
      </c>
      <c r="B863" s="3">
        <v>2017.0</v>
      </c>
      <c r="C863" s="3" t="s">
        <v>10</v>
      </c>
      <c r="D863" s="3">
        <v>218.2</v>
      </c>
      <c r="E863" s="3">
        <v>647.2</v>
      </c>
      <c r="F863" s="3">
        <v>281.0</v>
      </c>
      <c r="G863" s="3">
        <v>8.0</v>
      </c>
      <c r="H863" s="3">
        <v>43.3</v>
      </c>
    </row>
    <row r="864" ht="15.75" customHeight="1">
      <c r="A864" s="3" t="s">
        <v>38</v>
      </c>
      <c r="B864" s="3">
        <v>2017.0</v>
      </c>
      <c r="C864" s="3" t="s">
        <v>11</v>
      </c>
      <c r="D864" s="3">
        <v>206.8</v>
      </c>
      <c r="E864" s="3">
        <v>459.1</v>
      </c>
      <c r="F864" s="3">
        <v>188.3</v>
      </c>
      <c r="G864" s="3">
        <v>6.0</v>
      </c>
      <c r="H864" s="3">
        <v>3.7</v>
      </c>
    </row>
    <row r="865" ht="15.75" customHeight="1">
      <c r="A865" s="3" t="s">
        <v>38</v>
      </c>
      <c r="B865" s="3">
        <v>2017.0</v>
      </c>
      <c r="C865" s="3" t="s">
        <v>13</v>
      </c>
      <c r="D865" s="3">
        <v>178.4</v>
      </c>
      <c r="E865" s="3">
        <v>412.3</v>
      </c>
      <c r="F865" s="3">
        <v>192.9</v>
      </c>
      <c r="G865" s="3">
        <v>2.0</v>
      </c>
      <c r="H865" s="3">
        <v>24.0</v>
      </c>
    </row>
    <row r="866" ht="15.75" customHeight="1">
      <c r="A866" s="3" t="s">
        <v>38</v>
      </c>
      <c r="B866" s="3">
        <v>2017.0</v>
      </c>
      <c r="C866" s="3" t="s">
        <v>14</v>
      </c>
      <c r="D866" s="3">
        <v>129.5</v>
      </c>
      <c r="E866" s="3">
        <v>275.6</v>
      </c>
      <c r="F866" s="3">
        <v>130.6</v>
      </c>
      <c r="G866" s="3">
        <v>5.0</v>
      </c>
      <c r="H866" s="3">
        <v>48.7</v>
      </c>
    </row>
    <row r="867" ht="15.75" customHeight="1">
      <c r="A867" s="3" t="s">
        <v>38</v>
      </c>
      <c r="B867" s="3">
        <v>2018.0</v>
      </c>
      <c r="C867" s="3" t="s">
        <v>9</v>
      </c>
      <c r="D867" s="3">
        <v>194.9</v>
      </c>
      <c r="E867" s="3">
        <v>434.1</v>
      </c>
      <c r="F867" s="3">
        <v>178.6</v>
      </c>
      <c r="G867" s="3">
        <v>5.0</v>
      </c>
      <c r="H867" s="3">
        <v>19.4</v>
      </c>
    </row>
    <row r="868" ht="15.75" customHeight="1">
      <c r="A868" s="3" t="s">
        <v>38</v>
      </c>
      <c r="B868" s="3">
        <v>2018.0</v>
      </c>
      <c r="C868" s="3" t="s">
        <v>10</v>
      </c>
      <c r="D868" s="3">
        <v>195.1</v>
      </c>
      <c r="E868" s="3">
        <v>564.1</v>
      </c>
      <c r="F868" s="3">
        <v>219.0</v>
      </c>
      <c r="G868" s="3">
        <v>7.0</v>
      </c>
      <c r="H868" s="3">
        <v>18.2</v>
      </c>
    </row>
    <row r="869" ht="15.75" customHeight="1">
      <c r="A869" s="3" t="s">
        <v>38</v>
      </c>
      <c r="B869" s="3">
        <v>2018.0</v>
      </c>
      <c r="C869" s="3" t="s">
        <v>11</v>
      </c>
      <c r="D869" s="3">
        <v>218.2</v>
      </c>
      <c r="E869" s="3">
        <v>550.1</v>
      </c>
      <c r="F869" s="3">
        <v>193.6</v>
      </c>
      <c r="G869" s="3">
        <v>3.0</v>
      </c>
      <c r="H869" s="3">
        <v>14.8</v>
      </c>
    </row>
    <row r="870" ht="15.75" customHeight="1">
      <c r="A870" s="3" t="s">
        <v>38</v>
      </c>
      <c r="B870" s="3">
        <v>2018.0</v>
      </c>
      <c r="C870" s="3" t="s">
        <v>13</v>
      </c>
      <c r="D870" s="3">
        <v>184.6</v>
      </c>
      <c r="E870" s="3">
        <v>455.6</v>
      </c>
      <c r="F870" s="3">
        <v>226.0</v>
      </c>
      <c r="G870" s="3">
        <v>7.0</v>
      </c>
      <c r="H870" s="3">
        <v>23.4</v>
      </c>
    </row>
    <row r="871" ht="15.75" customHeight="1">
      <c r="A871" s="3" t="s">
        <v>38</v>
      </c>
      <c r="B871" s="3">
        <v>2018.0</v>
      </c>
      <c r="C871" s="3" t="s">
        <v>14</v>
      </c>
      <c r="D871" s="3">
        <v>198.8</v>
      </c>
      <c r="E871" s="3">
        <v>553.3</v>
      </c>
      <c r="F871" s="3">
        <v>160.5</v>
      </c>
      <c r="G871" s="3">
        <v>9.0</v>
      </c>
      <c r="H871" s="3">
        <v>44.8</v>
      </c>
    </row>
    <row r="872" ht="15.75" customHeight="1">
      <c r="A872" s="3" t="s">
        <v>38</v>
      </c>
      <c r="B872" s="3">
        <v>2019.0</v>
      </c>
      <c r="C872" s="3" t="s">
        <v>9</v>
      </c>
      <c r="D872" s="3">
        <v>190.8</v>
      </c>
      <c r="E872" s="3">
        <v>455.8</v>
      </c>
      <c r="F872" s="3">
        <v>271.1</v>
      </c>
      <c r="G872" s="3">
        <v>2.0</v>
      </c>
      <c r="H872" s="3">
        <v>39.5</v>
      </c>
    </row>
    <row r="873" ht="15.75" customHeight="1">
      <c r="A873" s="3" t="s">
        <v>38</v>
      </c>
      <c r="B873" s="3">
        <v>2019.0</v>
      </c>
      <c r="C873" s="3" t="s">
        <v>10</v>
      </c>
      <c r="D873" s="3">
        <v>299.1</v>
      </c>
      <c r="E873" s="3">
        <v>881.1</v>
      </c>
      <c r="F873" s="3">
        <v>251.3</v>
      </c>
      <c r="G873" s="3">
        <v>9.0</v>
      </c>
      <c r="H873" s="3">
        <v>3.5</v>
      </c>
    </row>
    <row r="874" ht="15.75" customHeight="1">
      <c r="A874" s="3" t="s">
        <v>38</v>
      </c>
      <c r="B874" s="3">
        <v>2019.0</v>
      </c>
      <c r="C874" s="3" t="s">
        <v>11</v>
      </c>
      <c r="D874" s="3">
        <v>243.6</v>
      </c>
      <c r="E874" s="3">
        <v>602.3</v>
      </c>
      <c r="F874" s="3">
        <v>250.2</v>
      </c>
      <c r="G874" s="3">
        <v>11.0</v>
      </c>
      <c r="H874" s="3">
        <v>14.7</v>
      </c>
    </row>
    <row r="875" ht="15.75" customHeight="1">
      <c r="A875" s="3" t="s">
        <v>38</v>
      </c>
      <c r="B875" s="3">
        <v>2019.0</v>
      </c>
      <c r="C875" s="3" t="s">
        <v>13</v>
      </c>
      <c r="D875" s="3">
        <v>279.4</v>
      </c>
      <c r="E875" s="3">
        <v>723.0</v>
      </c>
      <c r="F875" s="3">
        <v>384.0</v>
      </c>
      <c r="G875" s="3">
        <v>5.0</v>
      </c>
      <c r="H875" s="3">
        <v>5.0</v>
      </c>
    </row>
    <row r="876" ht="15.75" customHeight="1">
      <c r="A876" s="3" t="s">
        <v>38</v>
      </c>
      <c r="B876" s="3">
        <v>2019.0</v>
      </c>
      <c r="C876" s="3" t="s">
        <v>14</v>
      </c>
      <c r="D876" s="3">
        <v>241.3</v>
      </c>
      <c r="E876" s="3">
        <v>497.9</v>
      </c>
      <c r="F876" s="3">
        <v>205.6</v>
      </c>
      <c r="G876" s="3">
        <v>4.0</v>
      </c>
      <c r="H876" s="3">
        <v>15.9</v>
      </c>
    </row>
    <row r="877" ht="15.75" customHeight="1">
      <c r="A877" s="3" t="s">
        <v>38</v>
      </c>
      <c r="B877" s="3">
        <v>2020.0</v>
      </c>
      <c r="C877" s="3" t="s">
        <v>9</v>
      </c>
      <c r="D877" s="3">
        <v>324.0</v>
      </c>
      <c r="E877" s="3">
        <v>879.0</v>
      </c>
      <c r="F877" s="3">
        <v>348.3</v>
      </c>
      <c r="G877" s="3">
        <v>8.0</v>
      </c>
      <c r="H877" s="3">
        <v>29.0</v>
      </c>
    </row>
    <row r="878" ht="15.75" customHeight="1">
      <c r="A878" s="3" t="s">
        <v>38</v>
      </c>
      <c r="B878" s="3">
        <v>2020.0</v>
      </c>
      <c r="C878" s="3" t="s">
        <v>10</v>
      </c>
      <c r="D878" s="3">
        <v>300.4</v>
      </c>
      <c r="E878" s="3">
        <v>772.0</v>
      </c>
      <c r="F878" s="3">
        <v>368.6</v>
      </c>
      <c r="G878" s="3">
        <v>7.0</v>
      </c>
      <c r="H878" s="3">
        <v>39.6</v>
      </c>
    </row>
    <row r="879" ht="15.75" customHeight="1">
      <c r="A879" s="3" t="s">
        <v>38</v>
      </c>
      <c r="B879" s="3">
        <v>2020.0</v>
      </c>
      <c r="C879" s="3" t="s">
        <v>11</v>
      </c>
      <c r="D879" s="3">
        <v>269.1</v>
      </c>
      <c r="E879" s="3">
        <v>607.4</v>
      </c>
      <c r="F879" s="3">
        <v>300.0</v>
      </c>
      <c r="G879" s="3">
        <v>6.0</v>
      </c>
      <c r="H879" s="3">
        <v>37.7</v>
      </c>
    </row>
    <row r="880" ht="15.75" customHeight="1">
      <c r="A880" s="3" t="s">
        <v>38</v>
      </c>
      <c r="B880" s="3">
        <v>2020.0</v>
      </c>
      <c r="C880" s="3" t="s">
        <v>13</v>
      </c>
      <c r="D880" s="3">
        <v>357.7</v>
      </c>
      <c r="E880" s="3">
        <v>860.4</v>
      </c>
      <c r="F880" s="3">
        <v>328.5</v>
      </c>
      <c r="G880" s="3">
        <v>9.0</v>
      </c>
      <c r="H880" s="3">
        <v>7.3</v>
      </c>
    </row>
    <row r="881" ht="15.75" customHeight="1">
      <c r="A881" s="3" t="s">
        <v>38</v>
      </c>
      <c r="B881" s="3">
        <v>2020.0</v>
      </c>
      <c r="C881" s="3" t="s">
        <v>14</v>
      </c>
      <c r="D881" s="3">
        <v>327.4</v>
      </c>
      <c r="E881" s="3">
        <v>818.0</v>
      </c>
      <c r="F881" s="3">
        <v>400.2</v>
      </c>
      <c r="G881" s="3">
        <v>12.0</v>
      </c>
      <c r="H881" s="3">
        <v>14.3</v>
      </c>
    </row>
    <row r="882" ht="15.75" customHeight="1">
      <c r="A882" s="3" t="s">
        <v>38</v>
      </c>
      <c r="B882" s="3">
        <v>2021.0</v>
      </c>
      <c r="C882" s="3" t="s">
        <v>9</v>
      </c>
      <c r="D882" s="3">
        <v>287.5</v>
      </c>
      <c r="E882" s="3">
        <v>859.7</v>
      </c>
      <c r="F882" s="3">
        <v>353.0</v>
      </c>
      <c r="G882" s="3">
        <v>3.0</v>
      </c>
      <c r="H882" s="3">
        <v>42.7</v>
      </c>
    </row>
    <row r="883" ht="15.75" customHeight="1">
      <c r="A883" s="3" t="s">
        <v>38</v>
      </c>
      <c r="B883" s="3">
        <v>2021.0</v>
      </c>
      <c r="C883" s="3" t="s">
        <v>10</v>
      </c>
      <c r="D883" s="3">
        <v>340.0</v>
      </c>
      <c r="E883" s="3">
        <v>810.6</v>
      </c>
      <c r="F883" s="3">
        <v>354.5</v>
      </c>
      <c r="G883" s="3">
        <v>12.0</v>
      </c>
      <c r="H883" s="3">
        <v>39.3</v>
      </c>
    </row>
    <row r="884" ht="15.75" customHeight="1">
      <c r="A884" s="3" t="s">
        <v>38</v>
      </c>
      <c r="B884" s="3">
        <v>2021.0</v>
      </c>
      <c r="C884" s="3" t="s">
        <v>11</v>
      </c>
      <c r="D884" s="3">
        <v>288.3</v>
      </c>
      <c r="E884" s="3">
        <v>806.3</v>
      </c>
      <c r="F884" s="3">
        <v>298.9</v>
      </c>
      <c r="G884" s="3">
        <v>6.0</v>
      </c>
      <c r="H884" s="3">
        <v>12.7</v>
      </c>
    </row>
    <row r="885" ht="15.75" customHeight="1">
      <c r="A885" s="3" t="s">
        <v>38</v>
      </c>
      <c r="B885" s="3">
        <v>2021.0</v>
      </c>
      <c r="C885" s="3" t="s">
        <v>13</v>
      </c>
      <c r="D885" s="3">
        <v>245.0</v>
      </c>
      <c r="E885" s="3">
        <v>673.9</v>
      </c>
      <c r="F885" s="3">
        <v>236.5</v>
      </c>
      <c r="G885" s="3">
        <v>9.0</v>
      </c>
      <c r="H885" s="3">
        <v>26.0</v>
      </c>
    </row>
    <row r="886" ht="15.75" customHeight="1">
      <c r="A886" s="3" t="s">
        <v>38</v>
      </c>
      <c r="B886" s="3">
        <v>2021.0</v>
      </c>
      <c r="C886" s="3" t="s">
        <v>14</v>
      </c>
      <c r="D886" s="3">
        <v>306.2</v>
      </c>
      <c r="E886" s="3">
        <v>879.5</v>
      </c>
      <c r="F886" s="3">
        <v>297.3</v>
      </c>
      <c r="G886" s="3">
        <v>11.0</v>
      </c>
      <c r="H886" s="3">
        <v>29.6</v>
      </c>
    </row>
    <row r="887" ht="15.75" customHeight="1">
      <c r="A887" s="3" t="s">
        <v>38</v>
      </c>
      <c r="B887" s="3">
        <v>2022.0</v>
      </c>
      <c r="C887" s="3" t="s">
        <v>9</v>
      </c>
      <c r="D887" s="3">
        <v>362.1</v>
      </c>
      <c r="E887" s="3">
        <v>858.9</v>
      </c>
      <c r="F887" s="3">
        <v>313.1</v>
      </c>
      <c r="G887" s="3">
        <v>9.0</v>
      </c>
      <c r="H887" s="3">
        <v>13.9</v>
      </c>
    </row>
    <row r="888" ht="15.75" customHeight="1">
      <c r="A888" s="3" t="s">
        <v>38</v>
      </c>
      <c r="B888" s="3">
        <v>2022.0</v>
      </c>
      <c r="C888" s="3" t="s">
        <v>10</v>
      </c>
      <c r="D888" s="3">
        <v>286.6</v>
      </c>
      <c r="E888" s="3">
        <v>850.2</v>
      </c>
      <c r="F888" s="3">
        <v>421.5</v>
      </c>
      <c r="G888" s="3">
        <v>7.0</v>
      </c>
      <c r="H888" s="3">
        <v>26.2</v>
      </c>
    </row>
    <row r="889" ht="15.75" customHeight="1">
      <c r="A889" s="3" t="s">
        <v>38</v>
      </c>
      <c r="B889" s="3">
        <v>2022.0</v>
      </c>
      <c r="C889" s="3" t="s">
        <v>11</v>
      </c>
      <c r="D889" s="3">
        <v>335.4</v>
      </c>
      <c r="E889" s="3">
        <v>971.1</v>
      </c>
      <c r="F889" s="3">
        <v>495.2</v>
      </c>
      <c r="G889" s="3">
        <v>12.0</v>
      </c>
      <c r="H889" s="3">
        <v>44.6</v>
      </c>
    </row>
    <row r="890" ht="15.75" customHeight="1">
      <c r="A890" s="3" t="s">
        <v>38</v>
      </c>
      <c r="B890" s="3">
        <v>2022.0</v>
      </c>
      <c r="C890" s="3" t="s">
        <v>13</v>
      </c>
      <c r="D890" s="3">
        <v>413.5</v>
      </c>
      <c r="E890" s="3">
        <v>940.1</v>
      </c>
      <c r="F890" s="3">
        <v>544.0</v>
      </c>
      <c r="G890" s="3">
        <v>10.0</v>
      </c>
      <c r="H890" s="3">
        <v>6.2</v>
      </c>
    </row>
    <row r="891" ht="15.75" customHeight="1">
      <c r="A891" s="3" t="s">
        <v>38</v>
      </c>
      <c r="B891" s="3">
        <v>2022.0</v>
      </c>
      <c r="C891" s="3" t="s">
        <v>14</v>
      </c>
      <c r="D891" s="3">
        <v>298.1</v>
      </c>
      <c r="E891" s="3">
        <v>819.1</v>
      </c>
      <c r="F891" s="3">
        <v>248.5</v>
      </c>
      <c r="G891" s="3">
        <v>7.0</v>
      </c>
      <c r="H891" s="3">
        <v>35.8</v>
      </c>
    </row>
    <row r="892" ht="15.75" customHeight="1">
      <c r="A892" s="3" t="s">
        <v>38</v>
      </c>
      <c r="B892" s="3">
        <v>2023.0</v>
      </c>
      <c r="C892" s="3" t="s">
        <v>9</v>
      </c>
      <c r="D892" s="3">
        <v>321.4</v>
      </c>
      <c r="E892" s="3">
        <v>828.0</v>
      </c>
      <c r="F892" s="3">
        <v>478.3</v>
      </c>
      <c r="G892" s="3">
        <v>7.0</v>
      </c>
      <c r="H892" s="3">
        <v>20.9</v>
      </c>
    </row>
    <row r="893" ht="15.75" customHeight="1">
      <c r="A893" s="3" t="s">
        <v>38</v>
      </c>
      <c r="B893" s="3">
        <v>2023.0</v>
      </c>
      <c r="C893" s="3" t="s">
        <v>10</v>
      </c>
      <c r="D893" s="3">
        <v>296.3</v>
      </c>
      <c r="E893" s="3">
        <v>804.7</v>
      </c>
      <c r="F893" s="3">
        <v>363.0</v>
      </c>
      <c r="G893" s="3">
        <v>9.0</v>
      </c>
      <c r="H893" s="3">
        <v>25.3</v>
      </c>
    </row>
    <row r="894" ht="15.75" customHeight="1">
      <c r="A894" s="3" t="s">
        <v>38</v>
      </c>
      <c r="B894" s="3">
        <v>2023.0</v>
      </c>
      <c r="C894" s="3" t="s">
        <v>11</v>
      </c>
      <c r="D894" s="3">
        <v>357.4</v>
      </c>
      <c r="E894" s="3">
        <v>979.0</v>
      </c>
      <c r="F894" s="3">
        <v>338.7</v>
      </c>
      <c r="G894" s="3">
        <v>9.0</v>
      </c>
      <c r="H894" s="3">
        <v>42.3</v>
      </c>
    </row>
    <row r="895" ht="15.75" customHeight="1">
      <c r="A895" s="3" t="s">
        <v>38</v>
      </c>
      <c r="B895" s="3">
        <v>2023.0</v>
      </c>
      <c r="C895" s="3" t="s">
        <v>13</v>
      </c>
      <c r="D895" s="3">
        <v>331.3</v>
      </c>
      <c r="E895" s="3">
        <v>734.6</v>
      </c>
      <c r="F895" s="3">
        <v>296.0</v>
      </c>
      <c r="G895" s="3">
        <v>6.0</v>
      </c>
      <c r="H895" s="3">
        <v>4.6</v>
      </c>
    </row>
    <row r="896" ht="15.75" customHeight="1">
      <c r="A896" s="3" t="s">
        <v>38</v>
      </c>
      <c r="B896" s="3">
        <v>2023.0</v>
      </c>
      <c r="C896" s="3" t="s">
        <v>14</v>
      </c>
      <c r="D896" s="3">
        <v>345.5</v>
      </c>
      <c r="E896" s="3">
        <v>994.3</v>
      </c>
      <c r="F896" s="3">
        <v>298.1</v>
      </c>
      <c r="G896" s="3">
        <v>11.0</v>
      </c>
      <c r="H896" s="3">
        <v>12.7</v>
      </c>
    </row>
    <row r="897" ht="15.75" customHeight="1">
      <c r="A897" s="3" t="s">
        <v>38</v>
      </c>
      <c r="B897" s="3">
        <v>2024.0</v>
      </c>
      <c r="C897" s="3" t="s">
        <v>9</v>
      </c>
      <c r="D897" s="3">
        <v>330.6</v>
      </c>
      <c r="E897" s="3">
        <v>912.5</v>
      </c>
      <c r="F897" s="3">
        <v>431.6</v>
      </c>
      <c r="G897" s="3">
        <v>12.0</v>
      </c>
      <c r="H897" s="3">
        <v>11.7</v>
      </c>
    </row>
    <row r="898" ht="15.75" customHeight="1">
      <c r="A898" s="3" t="s">
        <v>38</v>
      </c>
      <c r="B898" s="3">
        <v>2024.0</v>
      </c>
      <c r="C898" s="3" t="s">
        <v>10</v>
      </c>
      <c r="D898" s="3">
        <v>378.8</v>
      </c>
      <c r="E898" s="3">
        <v>1119.3</v>
      </c>
      <c r="F898" s="3">
        <v>515.2</v>
      </c>
      <c r="G898" s="3">
        <v>12.0</v>
      </c>
      <c r="H898" s="3">
        <v>15.9</v>
      </c>
    </row>
    <row r="899" ht="15.75" customHeight="1">
      <c r="A899" s="3" t="s">
        <v>38</v>
      </c>
      <c r="B899" s="3">
        <v>2024.0</v>
      </c>
      <c r="C899" s="3" t="s">
        <v>11</v>
      </c>
      <c r="D899" s="3">
        <v>395.0</v>
      </c>
      <c r="E899" s="3">
        <v>915.1</v>
      </c>
      <c r="F899" s="3">
        <v>389.8</v>
      </c>
      <c r="G899" s="3">
        <v>12.0</v>
      </c>
      <c r="H899" s="3">
        <v>39.1</v>
      </c>
    </row>
    <row r="900" ht="15.75" customHeight="1">
      <c r="A900" s="3" t="s">
        <v>38</v>
      </c>
      <c r="B900" s="3">
        <v>2024.0</v>
      </c>
      <c r="C900" s="3" t="s">
        <v>13</v>
      </c>
      <c r="D900" s="3">
        <v>384.2</v>
      </c>
      <c r="E900" s="3">
        <v>857.7</v>
      </c>
      <c r="F900" s="3">
        <v>478.3</v>
      </c>
      <c r="G900" s="3">
        <v>5.0</v>
      </c>
      <c r="H900" s="3">
        <v>1.5</v>
      </c>
    </row>
    <row r="901" ht="15.75" customHeight="1">
      <c r="A901" s="3" t="s">
        <v>38</v>
      </c>
      <c r="B901" s="3">
        <v>2024.0</v>
      </c>
      <c r="C901" s="3" t="s">
        <v>14</v>
      </c>
      <c r="D901" s="3">
        <v>399.9</v>
      </c>
      <c r="E901" s="3">
        <v>925.8</v>
      </c>
      <c r="F901" s="3">
        <v>384.0</v>
      </c>
      <c r="G901" s="3">
        <v>10.0</v>
      </c>
      <c r="H901" s="3">
        <v>15.9</v>
      </c>
    </row>
    <row r="902" ht="15.75" customHeight="1">
      <c r="A902" s="3" t="s">
        <v>39</v>
      </c>
      <c r="B902" s="3">
        <v>2015.0</v>
      </c>
      <c r="C902" s="3" t="s">
        <v>9</v>
      </c>
      <c r="D902" s="3">
        <v>141.8</v>
      </c>
      <c r="E902" s="3">
        <v>423.2</v>
      </c>
      <c r="F902" s="3">
        <v>203.8</v>
      </c>
      <c r="G902" s="3">
        <v>8.0</v>
      </c>
      <c r="H902" s="3">
        <v>49.4</v>
      </c>
    </row>
    <row r="903" ht="15.75" customHeight="1">
      <c r="A903" s="3" t="s">
        <v>39</v>
      </c>
      <c r="B903" s="3">
        <v>2015.0</v>
      </c>
      <c r="C903" s="3" t="s">
        <v>10</v>
      </c>
      <c r="D903" s="3">
        <v>129.0</v>
      </c>
      <c r="E903" s="3">
        <v>271.4</v>
      </c>
      <c r="F903" s="3">
        <v>154.5</v>
      </c>
      <c r="G903" s="3">
        <v>9.0</v>
      </c>
      <c r="H903" s="3">
        <v>23.4</v>
      </c>
    </row>
    <row r="904" ht="15.75" customHeight="1">
      <c r="A904" s="3" t="s">
        <v>39</v>
      </c>
      <c r="B904" s="3">
        <v>2015.0</v>
      </c>
      <c r="C904" s="3" t="s">
        <v>11</v>
      </c>
      <c r="D904" s="3">
        <v>148.7</v>
      </c>
      <c r="E904" s="3">
        <v>338.2</v>
      </c>
      <c r="F904" s="3">
        <v>168.3</v>
      </c>
      <c r="G904" s="3">
        <v>6.0</v>
      </c>
      <c r="H904" s="3">
        <v>26.4</v>
      </c>
    </row>
    <row r="905" ht="15.75" customHeight="1">
      <c r="A905" s="3" t="s">
        <v>39</v>
      </c>
      <c r="B905" s="3">
        <v>2015.0</v>
      </c>
      <c r="C905" s="3" t="s">
        <v>13</v>
      </c>
      <c r="D905" s="3">
        <v>181.7</v>
      </c>
      <c r="E905" s="3">
        <v>462.8</v>
      </c>
      <c r="F905" s="3">
        <v>236.2</v>
      </c>
      <c r="G905" s="3">
        <v>4.0</v>
      </c>
      <c r="H905" s="3">
        <v>3.5</v>
      </c>
    </row>
    <row r="906" ht="15.75" customHeight="1">
      <c r="A906" s="3" t="s">
        <v>39</v>
      </c>
      <c r="B906" s="3">
        <v>2015.0</v>
      </c>
      <c r="C906" s="3" t="s">
        <v>14</v>
      </c>
      <c r="D906" s="3">
        <v>131.5</v>
      </c>
      <c r="E906" s="3">
        <v>321.7</v>
      </c>
      <c r="F906" s="3">
        <v>156.2</v>
      </c>
      <c r="G906" s="3">
        <v>8.0</v>
      </c>
      <c r="H906" s="3">
        <v>46.5</v>
      </c>
    </row>
    <row r="907" ht="15.75" customHeight="1">
      <c r="A907" s="3" t="s">
        <v>39</v>
      </c>
      <c r="B907" s="3">
        <v>2016.0</v>
      </c>
      <c r="C907" s="3" t="s">
        <v>9</v>
      </c>
      <c r="D907" s="3">
        <v>124.6</v>
      </c>
      <c r="E907" s="3">
        <v>269.6</v>
      </c>
      <c r="F907" s="3">
        <v>126.2</v>
      </c>
      <c r="G907" s="3">
        <v>7.0</v>
      </c>
      <c r="H907" s="3">
        <v>15.8</v>
      </c>
    </row>
    <row r="908" ht="15.75" customHeight="1">
      <c r="A908" s="3" t="s">
        <v>39</v>
      </c>
      <c r="B908" s="3">
        <v>2016.0</v>
      </c>
      <c r="C908" s="3" t="s">
        <v>10</v>
      </c>
      <c r="D908" s="3">
        <v>122.6</v>
      </c>
      <c r="E908" s="3">
        <v>344.1</v>
      </c>
      <c r="F908" s="3">
        <v>119.7</v>
      </c>
      <c r="G908" s="3">
        <v>3.0</v>
      </c>
      <c r="H908" s="3">
        <v>32.3</v>
      </c>
    </row>
    <row r="909" ht="15.75" customHeight="1">
      <c r="A909" s="3" t="s">
        <v>39</v>
      </c>
      <c r="B909" s="3">
        <v>2016.0</v>
      </c>
      <c r="C909" s="3" t="s">
        <v>11</v>
      </c>
      <c r="D909" s="3">
        <v>172.4</v>
      </c>
      <c r="E909" s="3">
        <v>419.9</v>
      </c>
      <c r="F909" s="3">
        <v>173.3</v>
      </c>
      <c r="G909" s="3">
        <v>3.0</v>
      </c>
      <c r="H909" s="3">
        <v>11.8</v>
      </c>
    </row>
    <row r="910" ht="15.75" customHeight="1">
      <c r="A910" s="3" t="s">
        <v>39</v>
      </c>
      <c r="B910" s="3">
        <v>2016.0</v>
      </c>
      <c r="C910" s="3" t="s">
        <v>13</v>
      </c>
      <c r="D910" s="3">
        <v>127.4</v>
      </c>
      <c r="E910" s="3">
        <v>314.2</v>
      </c>
      <c r="F910" s="3">
        <v>111.4</v>
      </c>
      <c r="G910" s="3">
        <v>8.0</v>
      </c>
      <c r="H910" s="3">
        <v>22.3</v>
      </c>
    </row>
    <row r="911" ht="15.75" customHeight="1">
      <c r="A911" s="3" t="s">
        <v>39</v>
      </c>
      <c r="B911" s="3">
        <v>2016.0</v>
      </c>
      <c r="C911" s="3" t="s">
        <v>14</v>
      </c>
      <c r="D911" s="3">
        <v>185.6</v>
      </c>
      <c r="E911" s="3">
        <v>509.0</v>
      </c>
      <c r="F911" s="3">
        <v>232.1</v>
      </c>
      <c r="G911" s="3">
        <v>8.0</v>
      </c>
      <c r="H911" s="3">
        <v>7.6</v>
      </c>
    </row>
    <row r="912" ht="15.75" customHeight="1">
      <c r="A912" s="3" t="s">
        <v>39</v>
      </c>
      <c r="B912" s="3">
        <v>2017.0</v>
      </c>
      <c r="C912" s="3" t="s">
        <v>9</v>
      </c>
      <c r="D912" s="3">
        <v>182.9</v>
      </c>
      <c r="E912" s="3">
        <v>515.9</v>
      </c>
      <c r="F912" s="3">
        <v>270.4</v>
      </c>
      <c r="G912" s="3">
        <v>4.0</v>
      </c>
      <c r="H912" s="3">
        <v>37.1</v>
      </c>
    </row>
    <row r="913" ht="15.75" customHeight="1">
      <c r="A913" s="3" t="s">
        <v>39</v>
      </c>
      <c r="B913" s="3">
        <v>2017.0</v>
      </c>
      <c r="C913" s="3" t="s">
        <v>10</v>
      </c>
      <c r="D913" s="3">
        <v>163.5</v>
      </c>
      <c r="E913" s="3">
        <v>431.5</v>
      </c>
      <c r="F913" s="3">
        <v>169.8</v>
      </c>
      <c r="G913" s="3">
        <v>5.0</v>
      </c>
      <c r="H913" s="3">
        <v>23.7</v>
      </c>
    </row>
    <row r="914" ht="15.75" customHeight="1">
      <c r="A914" s="3" t="s">
        <v>39</v>
      </c>
      <c r="B914" s="3">
        <v>2017.0</v>
      </c>
      <c r="C914" s="3" t="s">
        <v>11</v>
      </c>
      <c r="D914" s="3">
        <v>252.7</v>
      </c>
      <c r="E914" s="3">
        <v>757.7</v>
      </c>
      <c r="F914" s="3">
        <v>215.4</v>
      </c>
      <c r="G914" s="3">
        <v>3.0</v>
      </c>
      <c r="H914" s="3">
        <v>42.0</v>
      </c>
    </row>
    <row r="915" ht="15.75" customHeight="1">
      <c r="A915" s="3" t="s">
        <v>39</v>
      </c>
      <c r="B915" s="3">
        <v>2017.0</v>
      </c>
      <c r="C915" s="3" t="s">
        <v>13</v>
      </c>
      <c r="D915" s="3">
        <v>218.2</v>
      </c>
      <c r="E915" s="3">
        <v>441.1</v>
      </c>
      <c r="F915" s="3">
        <v>188.6</v>
      </c>
      <c r="G915" s="3">
        <v>4.0</v>
      </c>
      <c r="H915" s="3">
        <v>44.1</v>
      </c>
    </row>
    <row r="916" ht="15.75" customHeight="1">
      <c r="A916" s="3" t="s">
        <v>39</v>
      </c>
      <c r="B916" s="3">
        <v>2017.0</v>
      </c>
      <c r="C916" s="3" t="s">
        <v>14</v>
      </c>
      <c r="D916" s="3">
        <v>212.6</v>
      </c>
      <c r="E916" s="3">
        <v>634.0</v>
      </c>
      <c r="F916" s="3">
        <v>305.7</v>
      </c>
      <c r="G916" s="3">
        <v>8.0</v>
      </c>
      <c r="H916" s="3">
        <v>29.8</v>
      </c>
    </row>
    <row r="917" ht="15.75" customHeight="1">
      <c r="A917" s="3" t="s">
        <v>39</v>
      </c>
      <c r="B917" s="3">
        <v>2018.0</v>
      </c>
      <c r="C917" s="3" t="s">
        <v>9</v>
      </c>
      <c r="D917" s="3">
        <v>205.8</v>
      </c>
      <c r="E917" s="3">
        <v>486.3</v>
      </c>
      <c r="F917" s="3">
        <v>283.8</v>
      </c>
      <c r="G917" s="3">
        <v>7.0</v>
      </c>
      <c r="H917" s="3">
        <v>43.1</v>
      </c>
    </row>
    <row r="918" ht="15.75" customHeight="1">
      <c r="A918" s="3" t="s">
        <v>39</v>
      </c>
      <c r="B918" s="3">
        <v>2018.0</v>
      </c>
      <c r="C918" s="3" t="s">
        <v>10</v>
      </c>
      <c r="D918" s="3">
        <v>226.3</v>
      </c>
      <c r="E918" s="3">
        <v>597.7</v>
      </c>
      <c r="F918" s="3">
        <v>230.4</v>
      </c>
      <c r="G918" s="3">
        <v>8.0</v>
      </c>
      <c r="H918" s="3">
        <v>46.6</v>
      </c>
    </row>
    <row r="919" ht="15.75" customHeight="1">
      <c r="A919" s="3" t="s">
        <v>39</v>
      </c>
      <c r="B919" s="3">
        <v>2018.0</v>
      </c>
      <c r="C919" s="3" t="s">
        <v>11</v>
      </c>
      <c r="D919" s="3">
        <v>237.3</v>
      </c>
      <c r="E919" s="3">
        <v>691.5</v>
      </c>
      <c r="F919" s="3">
        <v>352.8</v>
      </c>
      <c r="G919" s="3">
        <v>7.0</v>
      </c>
      <c r="H919" s="3">
        <v>18.4</v>
      </c>
    </row>
    <row r="920" ht="15.75" customHeight="1">
      <c r="A920" s="3" t="s">
        <v>39</v>
      </c>
      <c r="B920" s="3">
        <v>2018.0</v>
      </c>
      <c r="C920" s="3" t="s">
        <v>13</v>
      </c>
      <c r="D920" s="3">
        <v>255.1</v>
      </c>
      <c r="E920" s="3">
        <v>588.4</v>
      </c>
      <c r="F920" s="3">
        <v>214.3</v>
      </c>
      <c r="G920" s="3">
        <v>7.0</v>
      </c>
      <c r="H920" s="3">
        <v>7.1</v>
      </c>
    </row>
    <row r="921" ht="15.75" customHeight="1">
      <c r="A921" s="3" t="s">
        <v>39</v>
      </c>
      <c r="B921" s="3">
        <v>2018.0</v>
      </c>
      <c r="C921" s="3" t="s">
        <v>14</v>
      </c>
      <c r="D921" s="3">
        <v>216.4</v>
      </c>
      <c r="E921" s="3">
        <v>441.3</v>
      </c>
      <c r="F921" s="3">
        <v>263.6</v>
      </c>
      <c r="G921" s="3">
        <v>6.0</v>
      </c>
      <c r="H921" s="3">
        <v>36.1</v>
      </c>
    </row>
    <row r="922" ht="15.75" customHeight="1">
      <c r="A922" s="3" t="s">
        <v>39</v>
      </c>
      <c r="B922" s="3">
        <v>2019.0</v>
      </c>
      <c r="C922" s="3" t="s">
        <v>9</v>
      </c>
      <c r="D922" s="3">
        <v>158.6</v>
      </c>
      <c r="E922" s="3">
        <v>329.3</v>
      </c>
      <c r="F922" s="3">
        <v>201.3</v>
      </c>
      <c r="G922" s="3">
        <v>7.0</v>
      </c>
      <c r="H922" s="3">
        <v>25.6</v>
      </c>
    </row>
    <row r="923" ht="15.75" customHeight="1">
      <c r="A923" s="3" t="s">
        <v>39</v>
      </c>
      <c r="B923" s="3">
        <v>2019.0</v>
      </c>
      <c r="C923" s="3" t="s">
        <v>10</v>
      </c>
      <c r="D923" s="3">
        <v>194.1</v>
      </c>
      <c r="E923" s="3">
        <v>469.9</v>
      </c>
      <c r="F923" s="3">
        <v>269.2</v>
      </c>
      <c r="G923" s="3">
        <v>9.0</v>
      </c>
      <c r="H923" s="3">
        <v>12.9</v>
      </c>
    </row>
    <row r="924" ht="15.75" customHeight="1">
      <c r="A924" s="3" t="s">
        <v>39</v>
      </c>
      <c r="B924" s="3">
        <v>2019.0</v>
      </c>
      <c r="C924" s="3" t="s">
        <v>11</v>
      </c>
      <c r="D924" s="3">
        <v>227.1</v>
      </c>
      <c r="E924" s="3">
        <v>597.5</v>
      </c>
      <c r="F924" s="3">
        <v>185.6</v>
      </c>
      <c r="G924" s="3">
        <v>10.0</v>
      </c>
      <c r="H924" s="3">
        <v>3.4</v>
      </c>
    </row>
    <row r="925" ht="15.75" customHeight="1">
      <c r="A925" s="3" t="s">
        <v>39</v>
      </c>
      <c r="B925" s="3">
        <v>2019.0</v>
      </c>
      <c r="C925" s="3" t="s">
        <v>13</v>
      </c>
      <c r="D925" s="3">
        <v>232.7</v>
      </c>
      <c r="E925" s="3">
        <v>606.4</v>
      </c>
      <c r="F925" s="3">
        <v>289.1</v>
      </c>
      <c r="G925" s="3">
        <v>11.0</v>
      </c>
      <c r="H925" s="3">
        <v>5.5</v>
      </c>
    </row>
    <row r="926" ht="15.75" customHeight="1">
      <c r="A926" s="3" t="s">
        <v>39</v>
      </c>
      <c r="B926" s="3">
        <v>2019.0</v>
      </c>
      <c r="C926" s="3" t="s">
        <v>14</v>
      </c>
      <c r="D926" s="3">
        <v>249.9</v>
      </c>
      <c r="E926" s="3">
        <v>717.0</v>
      </c>
      <c r="F926" s="3">
        <v>233.0</v>
      </c>
      <c r="G926" s="3">
        <v>7.0</v>
      </c>
      <c r="H926" s="3">
        <v>3.8</v>
      </c>
    </row>
    <row r="927" ht="15.75" customHeight="1">
      <c r="A927" s="3" t="s">
        <v>39</v>
      </c>
      <c r="B927" s="3">
        <v>2020.0</v>
      </c>
      <c r="C927" s="3" t="s">
        <v>9</v>
      </c>
      <c r="D927" s="3">
        <v>279.7</v>
      </c>
      <c r="E927" s="3">
        <v>670.3</v>
      </c>
      <c r="F927" s="3">
        <v>248.2</v>
      </c>
      <c r="G927" s="3">
        <v>8.0</v>
      </c>
      <c r="H927" s="3">
        <v>3.4</v>
      </c>
    </row>
    <row r="928" ht="15.75" customHeight="1">
      <c r="A928" s="3" t="s">
        <v>39</v>
      </c>
      <c r="B928" s="3">
        <v>2020.0</v>
      </c>
      <c r="C928" s="3" t="s">
        <v>10</v>
      </c>
      <c r="D928" s="3">
        <v>213.6</v>
      </c>
      <c r="E928" s="3">
        <v>639.6</v>
      </c>
      <c r="F928" s="3">
        <v>315.4</v>
      </c>
      <c r="G928" s="3">
        <v>5.0</v>
      </c>
      <c r="H928" s="3">
        <v>13.8</v>
      </c>
    </row>
    <row r="929" ht="15.75" customHeight="1">
      <c r="A929" s="3" t="s">
        <v>39</v>
      </c>
      <c r="B929" s="3">
        <v>2020.0</v>
      </c>
      <c r="C929" s="3" t="s">
        <v>11</v>
      </c>
      <c r="D929" s="3">
        <v>244.2</v>
      </c>
      <c r="E929" s="3">
        <v>706.6</v>
      </c>
      <c r="F929" s="3">
        <v>313.2</v>
      </c>
      <c r="G929" s="3">
        <v>11.0</v>
      </c>
      <c r="H929" s="3">
        <v>7.2</v>
      </c>
    </row>
    <row r="930" ht="15.75" customHeight="1">
      <c r="A930" s="3" t="s">
        <v>39</v>
      </c>
      <c r="B930" s="3">
        <v>2020.0</v>
      </c>
      <c r="C930" s="3" t="s">
        <v>13</v>
      </c>
      <c r="D930" s="3">
        <v>306.6</v>
      </c>
      <c r="E930" s="3">
        <v>803.3</v>
      </c>
      <c r="F930" s="3">
        <v>261.9</v>
      </c>
      <c r="G930" s="3">
        <v>7.0</v>
      </c>
      <c r="H930" s="3">
        <v>17.8</v>
      </c>
    </row>
    <row r="931" ht="15.75" customHeight="1">
      <c r="A931" s="3" t="s">
        <v>39</v>
      </c>
      <c r="B931" s="3">
        <v>2020.0</v>
      </c>
      <c r="C931" s="3" t="s">
        <v>14</v>
      </c>
      <c r="D931" s="3">
        <v>272.3</v>
      </c>
      <c r="E931" s="3">
        <v>708.6</v>
      </c>
      <c r="F931" s="3">
        <v>279.3</v>
      </c>
      <c r="G931" s="3">
        <v>7.0</v>
      </c>
      <c r="H931" s="3">
        <v>39.3</v>
      </c>
    </row>
    <row r="932" ht="15.75" customHeight="1">
      <c r="A932" s="3" t="s">
        <v>39</v>
      </c>
      <c r="B932" s="3">
        <v>2021.0</v>
      </c>
      <c r="C932" s="3" t="s">
        <v>9</v>
      </c>
      <c r="D932" s="3">
        <v>247.2</v>
      </c>
      <c r="E932" s="3">
        <v>652.6</v>
      </c>
      <c r="F932" s="3">
        <v>252.1</v>
      </c>
      <c r="G932" s="3">
        <v>3.0</v>
      </c>
      <c r="H932" s="3">
        <v>2.6</v>
      </c>
    </row>
    <row r="933" ht="15.75" customHeight="1">
      <c r="A933" s="3" t="s">
        <v>39</v>
      </c>
      <c r="B933" s="3">
        <v>2021.0</v>
      </c>
      <c r="C933" s="3" t="s">
        <v>10</v>
      </c>
      <c r="D933" s="3">
        <v>284.7</v>
      </c>
      <c r="E933" s="3">
        <v>772.2</v>
      </c>
      <c r="F933" s="3">
        <v>262.8</v>
      </c>
      <c r="G933" s="3">
        <v>8.0</v>
      </c>
      <c r="H933" s="3">
        <v>31.4</v>
      </c>
    </row>
    <row r="934" ht="15.75" customHeight="1">
      <c r="A934" s="3" t="s">
        <v>39</v>
      </c>
      <c r="B934" s="3">
        <v>2021.0</v>
      </c>
      <c r="C934" s="3" t="s">
        <v>11</v>
      </c>
      <c r="D934" s="3">
        <v>316.6</v>
      </c>
      <c r="E934" s="3">
        <v>791.7</v>
      </c>
      <c r="F934" s="3">
        <v>455.4</v>
      </c>
      <c r="G934" s="3">
        <v>4.0</v>
      </c>
      <c r="H934" s="3">
        <v>13.4</v>
      </c>
    </row>
    <row r="935" ht="15.75" customHeight="1">
      <c r="A935" s="3" t="s">
        <v>39</v>
      </c>
      <c r="B935" s="3">
        <v>2021.0</v>
      </c>
      <c r="C935" s="3" t="s">
        <v>13</v>
      </c>
      <c r="D935" s="3">
        <v>257.7</v>
      </c>
      <c r="E935" s="3">
        <v>663.2</v>
      </c>
      <c r="F935" s="3">
        <v>269.4</v>
      </c>
      <c r="G935" s="3">
        <v>3.0</v>
      </c>
      <c r="H935" s="3">
        <v>38.0</v>
      </c>
    </row>
    <row r="936" ht="15.75" customHeight="1">
      <c r="A936" s="3" t="s">
        <v>39</v>
      </c>
      <c r="B936" s="3">
        <v>2021.0</v>
      </c>
      <c r="C936" s="3" t="s">
        <v>14</v>
      </c>
      <c r="D936" s="3">
        <v>261.9</v>
      </c>
      <c r="E936" s="3">
        <v>781.6</v>
      </c>
      <c r="F936" s="3">
        <v>263.1</v>
      </c>
      <c r="G936" s="3">
        <v>9.0</v>
      </c>
      <c r="H936" s="3">
        <v>45.4</v>
      </c>
    </row>
    <row r="937" ht="15.75" customHeight="1">
      <c r="A937" s="3" t="s">
        <v>39</v>
      </c>
      <c r="B937" s="3">
        <v>2022.0</v>
      </c>
      <c r="C937" s="3" t="s">
        <v>9</v>
      </c>
      <c r="D937" s="3">
        <v>303.2</v>
      </c>
      <c r="E937" s="3">
        <v>777.5</v>
      </c>
      <c r="F937" s="3">
        <v>296.1</v>
      </c>
      <c r="G937" s="3">
        <v>6.0</v>
      </c>
      <c r="H937" s="3">
        <v>13.7</v>
      </c>
    </row>
    <row r="938" ht="15.75" customHeight="1">
      <c r="A938" s="3" t="s">
        <v>39</v>
      </c>
      <c r="B938" s="3">
        <v>2022.0</v>
      </c>
      <c r="C938" s="3" t="s">
        <v>10</v>
      </c>
      <c r="D938" s="3">
        <v>358.7</v>
      </c>
      <c r="E938" s="3">
        <v>778.0</v>
      </c>
      <c r="F938" s="3">
        <v>530.1</v>
      </c>
      <c r="G938" s="3">
        <v>5.0</v>
      </c>
      <c r="H938" s="3">
        <v>34.5</v>
      </c>
    </row>
    <row r="939" ht="15.75" customHeight="1">
      <c r="A939" s="3" t="s">
        <v>39</v>
      </c>
      <c r="B939" s="3">
        <v>2022.0</v>
      </c>
      <c r="C939" s="3" t="s">
        <v>11</v>
      </c>
      <c r="D939" s="3">
        <v>329.0</v>
      </c>
      <c r="E939" s="3">
        <v>880.6</v>
      </c>
      <c r="F939" s="3">
        <v>332.6</v>
      </c>
      <c r="G939" s="3">
        <v>11.0</v>
      </c>
      <c r="H939" s="3">
        <v>4.5</v>
      </c>
    </row>
    <row r="940" ht="15.75" customHeight="1">
      <c r="A940" s="3" t="s">
        <v>39</v>
      </c>
      <c r="B940" s="3">
        <v>2022.0</v>
      </c>
      <c r="C940" s="3" t="s">
        <v>13</v>
      </c>
      <c r="D940" s="3">
        <v>313.7</v>
      </c>
      <c r="E940" s="3">
        <v>876.9</v>
      </c>
      <c r="F940" s="3">
        <v>282.0</v>
      </c>
      <c r="G940" s="3">
        <v>9.0</v>
      </c>
      <c r="H940" s="3">
        <v>23.2</v>
      </c>
    </row>
    <row r="941" ht="15.75" customHeight="1">
      <c r="A941" s="3" t="s">
        <v>39</v>
      </c>
      <c r="B941" s="3">
        <v>2022.0</v>
      </c>
      <c r="C941" s="3" t="s">
        <v>14</v>
      </c>
      <c r="D941" s="3">
        <v>314.6</v>
      </c>
      <c r="E941" s="3">
        <v>800.7</v>
      </c>
      <c r="F941" s="3">
        <v>270.8</v>
      </c>
      <c r="G941" s="3">
        <v>7.0</v>
      </c>
      <c r="H941" s="3">
        <v>41.3</v>
      </c>
    </row>
    <row r="942" ht="15.75" customHeight="1">
      <c r="A942" s="3" t="s">
        <v>39</v>
      </c>
      <c r="B942" s="3">
        <v>2023.0</v>
      </c>
      <c r="C942" s="3" t="s">
        <v>9</v>
      </c>
      <c r="D942" s="3">
        <v>359.4</v>
      </c>
      <c r="E942" s="3">
        <v>801.2</v>
      </c>
      <c r="F942" s="3">
        <v>342.4</v>
      </c>
      <c r="G942" s="3">
        <v>10.0</v>
      </c>
      <c r="H942" s="3">
        <v>1.9</v>
      </c>
    </row>
    <row r="943" ht="15.75" customHeight="1">
      <c r="A943" s="3" t="s">
        <v>39</v>
      </c>
      <c r="B943" s="3">
        <v>2023.0</v>
      </c>
      <c r="C943" s="3" t="s">
        <v>10</v>
      </c>
      <c r="D943" s="3">
        <v>321.1</v>
      </c>
      <c r="E943" s="3">
        <v>654.7</v>
      </c>
      <c r="F943" s="3">
        <v>359.3</v>
      </c>
      <c r="G943" s="3">
        <v>6.0</v>
      </c>
      <c r="H943" s="3">
        <v>41.8</v>
      </c>
    </row>
    <row r="944" ht="15.75" customHeight="1">
      <c r="A944" s="3" t="s">
        <v>39</v>
      </c>
      <c r="B944" s="3">
        <v>2023.0</v>
      </c>
      <c r="C944" s="3" t="s">
        <v>11</v>
      </c>
      <c r="D944" s="3">
        <v>383.0</v>
      </c>
      <c r="E944" s="3">
        <v>1024.3</v>
      </c>
      <c r="F944" s="3">
        <v>569.2</v>
      </c>
      <c r="G944" s="3">
        <v>6.0</v>
      </c>
      <c r="H944" s="3">
        <v>12.1</v>
      </c>
    </row>
    <row r="945" ht="15.75" customHeight="1">
      <c r="A945" s="3" t="s">
        <v>39</v>
      </c>
      <c r="B945" s="3">
        <v>2023.0</v>
      </c>
      <c r="C945" s="3" t="s">
        <v>13</v>
      </c>
      <c r="D945" s="3">
        <v>350.6</v>
      </c>
      <c r="E945" s="3">
        <v>786.7</v>
      </c>
      <c r="F945" s="3">
        <v>476.5</v>
      </c>
      <c r="G945" s="3">
        <v>6.0</v>
      </c>
      <c r="H945" s="3">
        <v>12.0</v>
      </c>
    </row>
    <row r="946" ht="15.75" customHeight="1">
      <c r="A946" s="3" t="s">
        <v>39</v>
      </c>
      <c r="B946" s="3">
        <v>2023.0</v>
      </c>
      <c r="C946" s="3" t="s">
        <v>14</v>
      </c>
      <c r="D946" s="3">
        <v>316.6</v>
      </c>
      <c r="E946" s="3">
        <v>702.2</v>
      </c>
      <c r="F946" s="3">
        <v>270.7</v>
      </c>
      <c r="G946" s="3">
        <v>8.0</v>
      </c>
      <c r="H946" s="3">
        <v>38.3</v>
      </c>
    </row>
    <row r="947" ht="15.75" customHeight="1">
      <c r="A947" s="3" t="s">
        <v>39</v>
      </c>
      <c r="B947" s="3">
        <v>2024.0</v>
      </c>
      <c r="C947" s="3" t="s">
        <v>9</v>
      </c>
      <c r="D947" s="3">
        <v>292.9</v>
      </c>
      <c r="E947" s="3">
        <v>861.4</v>
      </c>
      <c r="F947" s="3">
        <v>270.2</v>
      </c>
      <c r="G947" s="3">
        <v>11.0</v>
      </c>
      <c r="H947" s="3">
        <v>31.6</v>
      </c>
    </row>
    <row r="948" ht="15.75" customHeight="1">
      <c r="A948" s="3" t="s">
        <v>39</v>
      </c>
      <c r="B948" s="3">
        <v>2024.0</v>
      </c>
      <c r="C948" s="3" t="s">
        <v>10</v>
      </c>
      <c r="D948" s="3">
        <v>379.3</v>
      </c>
      <c r="E948" s="3">
        <v>998.8</v>
      </c>
      <c r="F948" s="3">
        <v>494.9</v>
      </c>
      <c r="G948" s="3">
        <v>9.0</v>
      </c>
      <c r="H948" s="3">
        <v>36.3</v>
      </c>
    </row>
    <row r="949" ht="15.75" customHeight="1">
      <c r="A949" s="3" t="s">
        <v>39</v>
      </c>
      <c r="B949" s="3">
        <v>2024.0</v>
      </c>
      <c r="C949" s="3" t="s">
        <v>11</v>
      </c>
      <c r="D949" s="3">
        <v>371.1</v>
      </c>
      <c r="E949" s="3">
        <v>994.7</v>
      </c>
      <c r="F949" s="3">
        <v>374.7</v>
      </c>
      <c r="G949" s="3">
        <v>5.0</v>
      </c>
      <c r="H949" s="3">
        <v>8.2</v>
      </c>
    </row>
    <row r="950" ht="15.75" customHeight="1">
      <c r="A950" s="3" t="s">
        <v>39</v>
      </c>
      <c r="B950" s="3">
        <v>2024.0</v>
      </c>
      <c r="C950" s="3" t="s">
        <v>13</v>
      </c>
      <c r="D950" s="3">
        <v>417.6</v>
      </c>
      <c r="E950" s="3">
        <v>909.2</v>
      </c>
      <c r="F950" s="3">
        <v>336.1</v>
      </c>
      <c r="G950" s="3">
        <v>13.0</v>
      </c>
      <c r="H950" s="3">
        <v>11.4</v>
      </c>
    </row>
    <row r="951" ht="15.75" customHeight="1">
      <c r="A951" s="3" t="s">
        <v>39</v>
      </c>
      <c r="B951" s="3">
        <v>2024.0</v>
      </c>
      <c r="C951" s="3" t="s">
        <v>14</v>
      </c>
      <c r="D951" s="3">
        <v>399.8</v>
      </c>
      <c r="E951" s="3">
        <v>1018.0</v>
      </c>
      <c r="F951" s="3">
        <v>537.8</v>
      </c>
      <c r="G951" s="3">
        <v>8.0</v>
      </c>
      <c r="H951" s="3">
        <v>45.9</v>
      </c>
    </row>
    <row r="952" ht="15.75" customHeight="1">
      <c r="A952" s="3" t="s">
        <v>40</v>
      </c>
      <c r="B952" s="3">
        <v>2015.0</v>
      </c>
      <c r="C952" s="3" t="s">
        <v>9</v>
      </c>
      <c r="D952" s="3">
        <v>141.6</v>
      </c>
      <c r="E952" s="3">
        <v>423.3</v>
      </c>
      <c r="F952" s="3">
        <v>147.4</v>
      </c>
      <c r="G952" s="3">
        <v>2.0</v>
      </c>
      <c r="H952" s="3">
        <v>15.7</v>
      </c>
    </row>
    <row r="953" ht="15.75" customHeight="1">
      <c r="A953" s="3" t="s">
        <v>40</v>
      </c>
      <c r="B953" s="3">
        <v>2015.0</v>
      </c>
      <c r="C953" s="3" t="s">
        <v>10</v>
      </c>
      <c r="D953" s="3">
        <v>147.7</v>
      </c>
      <c r="E953" s="3">
        <v>326.8</v>
      </c>
      <c r="F953" s="3">
        <v>198.9</v>
      </c>
      <c r="G953" s="3">
        <v>10.0</v>
      </c>
      <c r="H953" s="3">
        <v>13.8</v>
      </c>
    </row>
    <row r="954" ht="15.75" customHeight="1">
      <c r="A954" s="3" t="s">
        <v>40</v>
      </c>
      <c r="B954" s="3">
        <v>2015.0</v>
      </c>
      <c r="C954" s="3" t="s">
        <v>11</v>
      </c>
      <c r="D954" s="3">
        <v>52.7</v>
      </c>
      <c r="E954" s="3">
        <v>114.2</v>
      </c>
      <c r="F954" s="3">
        <v>78.5</v>
      </c>
      <c r="G954" s="3">
        <v>7.0</v>
      </c>
      <c r="H954" s="3">
        <v>3.7</v>
      </c>
    </row>
    <row r="955" ht="15.75" customHeight="1">
      <c r="A955" s="3" t="s">
        <v>40</v>
      </c>
      <c r="B955" s="3">
        <v>2015.0</v>
      </c>
      <c r="C955" s="3" t="s">
        <v>13</v>
      </c>
      <c r="D955" s="3">
        <v>135.6</v>
      </c>
      <c r="E955" s="3">
        <v>280.7</v>
      </c>
      <c r="F955" s="3">
        <v>113.9</v>
      </c>
      <c r="G955" s="3">
        <v>3.0</v>
      </c>
      <c r="H955" s="3">
        <v>12.9</v>
      </c>
    </row>
    <row r="956" ht="15.75" customHeight="1">
      <c r="A956" s="3" t="s">
        <v>40</v>
      </c>
      <c r="B956" s="3">
        <v>2015.0</v>
      </c>
      <c r="C956" s="3" t="s">
        <v>14</v>
      </c>
      <c r="D956" s="3">
        <v>201.3</v>
      </c>
      <c r="E956" s="3">
        <v>549.9</v>
      </c>
      <c r="F956" s="3">
        <v>185.5</v>
      </c>
      <c r="G956" s="3">
        <v>11.0</v>
      </c>
      <c r="H956" s="3">
        <v>37.9</v>
      </c>
    </row>
    <row r="957" ht="15.75" customHeight="1">
      <c r="A957" s="3" t="s">
        <v>40</v>
      </c>
      <c r="B957" s="3">
        <v>2016.0</v>
      </c>
      <c r="C957" s="3" t="s">
        <v>9</v>
      </c>
      <c r="D957" s="3">
        <v>125.2</v>
      </c>
      <c r="E957" s="3">
        <v>259.2</v>
      </c>
      <c r="F957" s="3">
        <v>131.8</v>
      </c>
      <c r="G957" s="3">
        <v>8.0</v>
      </c>
      <c r="H957" s="3">
        <v>15.7</v>
      </c>
    </row>
    <row r="958" ht="15.75" customHeight="1">
      <c r="A958" s="3" t="s">
        <v>40</v>
      </c>
      <c r="B958" s="3">
        <v>2016.0</v>
      </c>
      <c r="C958" s="3" t="s">
        <v>10</v>
      </c>
      <c r="D958" s="3">
        <v>152.4</v>
      </c>
      <c r="E958" s="3">
        <v>370.6</v>
      </c>
      <c r="F958" s="3">
        <v>206.8</v>
      </c>
      <c r="G958" s="3">
        <v>2.0</v>
      </c>
      <c r="H958" s="3">
        <v>44.4</v>
      </c>
    </row>
    <row r="959" ht="15.75" customHeight="1">
      <c r="A959" s="3" t="s">
        <v>40</v>
      </c>
      <c r="B959" s="3">
        <v>2016.0</v>
      </c>
      <c r="C959" s="3" t="s">
        <v>11</v>
      </c>
      <c r="D959" s="3">
        <v>171.7</v>
      </c>
      <c r="E959" s="3">
        <v>386.2</v>
      </c>
      <c r="F959" s="3">
        <v>246.8</v>
      </c>
      <c r="G959" s="3">
        <v>3.0</v>
      </c>
      <c r="H959" s="3">
        <v>8.1</v>
      </c>
    </row>
    <row r="960" ht="15.75" customHeight="1">
      <c r="A960" s="3" t="s">
        <v>40</v>
      </c>
      <c r="B960" s="3">
        <v>2016.0</v>
      </c>
      <c r="C960" s="3" t="s">
        <v>13</v>
      </c>
      <c r="D960" s="3">
        <v>139.0</v>
      </c>
      <c r="E960" s="3">
        <v>380.3</v>
      </c>
      <c r="F960" s="3">
        <v>142.3</v>
      </c>
      <c r="G960" s="3">
        <v>9.0</v>
      </c>
      <c r="H960" s="3">
        <v>44.2</v>
      </c>
    </row>
    <row r="961" ht="15.75" customHeight="1">
      <c r="A961" s="3" t="s">
        <v>40</v>
      </c>
      <c r="B961" s="3">
        <v>2016.0</v>
      </c>
      <c r="C961" s="3" t="s">
        <v>14</v>
      </c>
      <c r="D961" s="3">
        <v>108.9</v>
      </c>
      <c r="E961" s="3">
        <v>295.9</v>
      </c>
      <c r="F961" s="3">
        <v>137.8</v>
      </c>
      <c r="G961" s="3">
        <v>9.0</v>
      </c>
      <c r="H961" s="3">
        <v>34.8</v>
      </c>
    </row>
    <row r="962" ht="15.75" customHeight="1">
      <c r="A962" s="3" t="s">
        <v>40</v>
      </c>
      <c r="B962" s="3">
        <v>2017.0</v>
      </c>
      <c r="C962" s="3" t="s">
        <v>9</v>
      </c>
      <c r="D962" s="3">
        <v>167.7</v>
      </c>
      <c r="E962" s="3">
        <v>411.7</v>
      </c>
      <c r="F962" s="3">
        <v>194.9</v>
      </c>
      <c r="G962" s="3">
        <v>8.0</v>
      </c>
      <c r="H962" s="3">
        <v>37.6</v>
      </c>
    </row>
    <row r="963" ht="15.75" customHeight="1">
      <c r="A963" s="3" t="s">
        <v>40</v>
      </c>
      <c r="B963" s="3">
        <v>2017.0</v>
      </c>
      <c r="C963" s="3" t="s">
        <v>10</v>
      </c>
      <c r="D963" s="3">
        <v>162.7</v>
      </c>
      <c r="E963" s="3">
        <v>397.5</v>
      </c>
      <c r="F963" s="3">
        <v>213.6</v>
      </c>
      <c r="G963" s="3">
        <v>8.0</v>
      </c>
      <c r="H963" s="3">
        <v>19.8</v>
      </c>
    </row>
    <row r="964" ht="15.75" customHeight="1">
      <c r="A964" s="3" t="s">
        <v>40</v>
      </c>
      <c r="B964" s="3">
        <v>2017.0</v>
      </c>
      <c r="C964" s="3" t="s">
        <v>11</v>
      </c>
      <c r="D964" s="3">
        <v>127.0</v>
      </c>
      <c r="E964" s="3">
        <v>262.9</v>
      </c>
      <c r="F964" s="3">
        <v>153.0</v>
      </c>
      <c r="G964" s="3">
        <v>6.0</v>
      </c>
      <c r="H964" s="3">
        <v>13.7</v>
      </c>
    </row>
    <row r="965" ht="15.75" customHeight="1">
      <c r="A965" s="3" t="s">
        <v>40</v>
      </c>
      <c r="B965" s="3">
        <v>2017.0</v>
      </c>
      <c r="C965" s="3" t="s">
        <v>13</v>
      </c>
      <c r="D965" s="3">
        <v>92.6</v>
      </c>
      <c r="E965" s="3">
        <v>187.9</v>
      </c>
      <c r="F965" s="3">
        <v>109.1</v>
      </c>
      <c r="G965" s="3">
        <v>1.0</v>
      </c>
      <c r="H965" s="3">
        <v>24.9</v>
      </c>
    </row>
    <row r="966" ht="15.75" customHeight="1">
      <c r="A966" s="3" t="s">
        <v>40</v>
      </c>
      <c r="B966" s="3">
        <v>2017.0</v>
      </c>
      <c r="C966" s="3" t="s">
        <v>14</v>
      </c>
      <c r="D966" s="3">
        <v>176.8</v>
      </c>
      <c r="E966" s="3">
        <v>443.2</v>
      </c>
      <c r="F966" s="3">
        <v>196.0</v>
      </c>
      <c r="G966" s="3">
        <v>2.0</v>
      </c>
      <c r="H966" s="3">
        <v>28.7</v>
      </c>
    </row>
    <row r="967" ht="15.75" customHeight="1">
      <c r="A967" s="3" t="s">
        <v>40</v>
      </c>
      <c r="B967" s="3">
        <v>2018.0</v>
      </c>
      <c r="C967" s="3" t="s">
        <v>9</v>
      </c>
      <c r="D967" s="3">
        <v>190.8</v>
      </c>
      <c r="E967" s="3">
        <v>534.5</v>
      </c>
      <c r="F967" s="3">
        <v>212.9</v>
      </c>
      <c r="G967" s="3">
        <v>9.0</v>
      </c>
      <c r="H967" s="3">
        <v>30.1</v>
      </c>
    </row>
    <row r="968" ht="15.75" customHeight="1">
      <c r="A968" s="3" t="s">
        <v>40</v>
      </c>
      <c r="B968" s="3">
        <v>2018.0</v>
      </c>
      <c r="C968" s="3" t="s">
        <v>10</v>
      </c>
      <c r="D968" s="3">
        <v>168.2</v>
      </c>
      <c r="E968" s="3">
        <v>414.5</v>
      </c>
      <c r="F968" s="3">
        <v>163.5</v>
      </c>
      <c r="G968" s="3">
        <v>7.0</v>
      </c>
      <c r="H968" s="3">
        <v>41.8</v>
      </c>
    </row>
    <row r="969" ht="15.75" customHeight="1">
      <c r="A969" s="3" t="s">
        <v>40</v>
      </c>
      <c r="B969" s="3">
        <v>2018.0</v>
      </c>
      <c r="C969" s="3" t="s">
        <v>11</v>
      </c>
      <c r="D969" s="3">
        <v>174.0</v>
      </c>
      <c r="E969" s="3">
        <v>432.6</v>
      </c>
      <c r="F969" s="3">
        <v>253.0</v>
      </c>
      <c r="G969" s="3">
        <v>7.0</v>
      </c>
      <c r="H969" s="3">
        <v>45.0</v>
      </c>
    </row>
    <row r="970" ht="15.75" customHeight="1">
      <c r="A970" s="3" t="s">
        <v>40</v>
      </c>
      <c r="B970" s="3">
        <v>2018.0</v>
      </c>
      <c r="C970" s="3" t="s">
        <v>13</v>
      </c>
      <c r="D970" s="3">
        <v>193.0</v>
      </c>
      <c r="E970" s="3">
        <v>506.3</v>
      </c>
      <c r="F970" s="3">
        <v>214.8</v>
      </c>
      <c r="G970" s="3">
        <v>6.0</v>
      </c>
      <c r="H970" s="3">
        <v>15.8</v>
      </c>
    </row>
    <row r="971" ht="15.75" customHeight="1">
      <c r="A971" s="3" t="s">
        <v>40</v>
      </c>
      <c r="B971" s="3">
        <v>2018.0</v>
      </c>
      <c r="C971" s="3" t="s">
        <v>14</v>
      </c>
      <c r="D971" s="3">
        <v>170.6</v>
      </c>
      <c r="E971" s="3">
        <v>369.2</v>
      </c>
      <c r="F971" s="3">
        <v>185.0</v>
      </c>
      <c r="G971" s="3">
        <v>3.0</v>
      </c>
      <c r="H971" s="3">
        <v>35.8</v>
      </c>
    </row>
    <row r="972" ht="15.75" customHeight="1">
      <c r="A972" s="3" t="s">
        <v>40</v>
      </c>
      <c r="B972" s="3">
        <v>2019.0</v>
      </c>
      <c r="C972" s="3" t="s">
        <v>9</v>
      </c>
      <c r="D972" s="3">
        <v>224.2</v>
      </c>
      <c r="E972" s="3">
        <v>454.6</v>
      </c>
      <c r="F972" s="3">
        <v>313.5</v>
      </c>
      <c r="G972" s="3">
        <v>9.0</v>
      </c>
      <c r="H972" s="3">
        <v>15.0</v>
      </c>
    </row>
    <row r="973" ht="15.75" customHeight="1">
      <c r="A973" s="3" t="s">
        <v>40</v>
      </c>
      <c r="B973" s="3">
        <v>2019.0</v>
      </c>
      <c r="C973" s="3" t="s">
        <v>10</v>
      </c>
      <c r="D973" s="3">
        <v>189.9</v>
      </c>
      <c r="E973" s="3">
        <v>400.6</v>
      </c>
      <c r="F973" s="3">
        <v>280.3</v>
      </c>
      <c r="G973" s="3">
        <v>5.0</v>
      </c>
      <c r="H973" s="3">
        <v>48.1</v>
      </c>
    </row>
    <row r="974" ht="15.75" customHeight="1">
      <c r="A974" s="3" t="s">
        <v>40</v>
      </c>
      <c r="B974" s="3">
        <v>2019.0</v>
      </c>
      <c r="C974" s="3" t="s">
        <v>11</v>
      </c>
      <c r="D974" s="3">
        <v>290.7</v>
      </c>
      <c r="E974" s="3">
        <v>807.2</v>
      </c>
      <c r="F974" s="3">
        <v>369.6</v>
      </c>
      <c r="G974" s="3">
        <v>4.0</v>
      </c>
      <c r="H974" s="3">
        <v>5.9</v>
      </c>
    </row>
    <row r="975" ht="15.75" customHeight="1">
      <c r="A975" s="3" t="s">
        <v>40</v>
      </c>
      <c r="B975" s="3">
        <v>2019.0</v>
      </c>
      <c r="C975" s="3" t="s">
        <v>13</v>
      </c>
      <c r="D975" s="3">
        <v>211.1</v>
      </c>
      <c r="E975" s="3">
        <v>492.1</v>
      </c>
      <c r="F975" s="3">
        <v>205.6</v>
      </c>
      <c r="G975" s="3">
        <v>10.0</v>
      </c>
      <c r="H975" s="3">
        <v>20.1</v>
      </c>
    </row>
    <row r="976" ht="15.75" customHeight="1">
      <c r="A976" s="3" t="s">
        <v>40</v>
      </c>
      <c r="B976" s="3">
        <v>2019.0</v>
      </c>
      <c r="C976" s="3" t="s">
        <v>14</v>
      </c>
      <c r="D976" s="3">
        <v>178.9</v>
      </c>
      <c r="E976" s="3">
        <v>400.5</v>
      </c>
      <c r="F976" s="3">
        <v>178.3</v>
      </c>
      <c r="G976" s="3">
        <v>10.0</v>
      </c>
      <c r="H976" s="3">
        <v>2.0</v>
      </c>
    </row>
    <row r="977" ht="15.75" customHeight="1">
      <c r="A977" s="3" t="s">
        <v>40</v>
      </c>
      <c r="B977" s="3">
        <v>2020.0</v>
      </c>
      <c r="C977" s="3" t="s">
        <v>9</v>
      </c>
      <c r="D977" s="3">
        <v>298.0</v>
      </c>
      <c r="E977" s="3">
        <v>883.6</v>
      </c>
      <c r="F977" s="3">
        <v>309.6</v>
      </c>
      <c r="G977" s="3">
        <v>4.0</v>
      </c>
      <c r="H977" s="3">
        <v>14.2</v>
      </c>
    </row>
    <row r="978" ht="15.75" customHeight="1">
      <c r="A978" s="3" t="s">
        <v>40</v>
      </c>
      <c r="B978" s="3">
        <v>2020.0</v>
      </c>
      <c r="C978" s="3" t="s">
        <v>10</v>
      </c>
      <c r="D978" s="3">
        <v>323.5</v>
      </c>
      <c r="E978" s="3">
        <v>694.5</v>
      </c>
      <c r="F978" s="3">
        <v>295.0</v>
      </c>
      <c r="G978" s="3">
        <v>12.0</v>
      </c>
      <c r="H978" s="3">
        <v>2.5</v>
      </c>
    </row>
    <row r="979" ht="15.75" customHeight="1">
      <c r="A979" s="3" t="s">
        <v>40</v>
      </c>
      <c r="B979" s="3">
        <v>2020.0</v>
      </c>
      <c r="C979" s="3" t="s">
        <v>11</v>
      </c>
      <c r="D979" s="3">
        <v>297.8</v>
      </c>
      <c r="E979" s="3">
        <v>781.0</v>
      </c>
      <c r="F979" s="3">
        <v>302.6</v>
      </c>
      <c r="G979" s="3">
        <v>11.0</v>
      </c>
      <c r="H979" s="3">
        <v>31.6</v>
      </c>
    </row>
    <row r="980" ht="15.75" customHeight="1">
      <c r="A980" s="3" t="s">
        <v>40</v>
      </c>
      <c r="B980" s="3">
        <v>2020.0</v>
      </c>
      <c r="C980" s="3" t="s">
        <v>13</v>
      </c>
      <c r="D980" s="3">
        <v>238.0</v>
      </c>
      <c r="E980" s="3">
        <v>701.6</v>
      </c>
      <c r="F980" s="3">
        <v>258.2</v>
      </c>
      <c r="G980" s="3">
        <v>6.0</v>
      </c>
      <c r="H980" s="3">
        <v>5.0</v>
      </c>
    </row>
    <row r="981" ht="15.75" customHeight="1">
      <c r="A981" s="3" t="s">
        <v>40</v>
      </c>
      <c r="B981" s="3">
        <v>2020.0</v>
      </c>
      <c r="C981" s="3" t="s">
        <v>14</v>
      </c>
      <c r="D981" s="3">
        <v>283.3</v>
      </c>
      <c r="E981" s="3">
        <v>823.8</v>
      </c>
      <c r="F981" s="3">
        <v>244.0</v>
      </c>
      <c r="G981" s="3">
        <v>6.0</v>
      </c>
      <c r="H981" s="3">
        <v>11.6</v>
      </c>
    </row>
    <row r="982" ht="15.75" customHeight="1">
      <c r="A982" s="3" t="s">
        <v>40</v>
      </c>
      <c r="B982" s="3">
        <v>2021.0</v>
      </c>
      <c r="C982" s="3" t="s">
        <v>9</v>
      </c>
      <c r="D982" s="3">
        <v>342.0</v>
      </c>
      <c r="E982" s="3">
        <v>974.7</v>
      </c>
      <c r="F982" s="3">
        <v>342.8</v>
      </c>
      <c r="G982" s="3">
        <v>8.0</v>
      </c>
      <c r="H982" s="3">
        <v>3.4</v>
      </c>
    </row>
    <row r="983" ht="15.75" customHeight="1">
      <c r="A983" s="3" t="s">
        <v>40</v>
      </c>
      <c r="B983" s="3">
        <v>2021.0</v>
      </c>
      <c r="C983" s="3" t="s">
        <v>10</v>
      </c>
      <c r="D983" s="3">
        <v>308.3</v>
      </c>
      <c r="E983" s="3">
        <v>782.5</v>
      </c>
      <c r="F983" s="3">
        <v>371.0</v>
      </c>
      <c r="G983" s="3">
        <v>8.0</v>
      </c>
      <c r="H983" s="3">
        <v>49.2</v>
      </c>
    </row>
    <row r="984" ht="15.75" customHeight="1">
      <c r="A984" s="3" t="s">
        <v>40</v>
      </c>
      <c r="B984" s="3">
        <v>2021.0</v>
      </c>
      <c r="C984" s="3" t="s">
        <v>11</v>
      </c>
      <c r="D984" s="3">
        <v>320.1</v>
      </c>
      <c r="E984" s="3">
        <v>938.7</v>
      </c>
      <c r="F984" s="3">
        <v>405.3</v>
      </c>
      <c r="G984" s="3">
        <v>8.0</v>
      </c>
      <c r="H984" s="3">
        <v>17.7</v>
      </c>
    </row>
    <row r="985" ht="15.75" customHeight="1">
      <c r="A985" s="3" t="s">
        <v>40</v>
      </c>
      <c r="B985" s="3">
        <v>2021.0</v>
      </c>
      <c r="C985" s="3" t="s">
        <v>13</v>
      </c>
      <c r="D985" s="3">
        <v>302.8</v>
      </c>
      <c r="E985" s="3">
        <v>769.7</v>
      </c>
      <c r="F985" s="3">
        <v>339.6</v>
      </c>
      <c r="G985" s="3">
        <v>9.0</v>
      </c>
      <c r="H985" s="3">
        <v>33.7</v>
      </c>
    </row>
    <row r="986" ht="15.75" customHeight="1">
      <c r="A986" s="3" t="s">
        <v>40</v>
      </c>
      <c r="B986" s="3">
        <v>2021.0</v>
      </c>
      <c r="C986" s="3" t="s">
        <v>14</v>
      </c>
      <c r="D986" s="3">
        <v>331.8</v>
      </c>
      <c r="E986" s="3">
        <v>824.6</v>
      </c>
      <c r="F986" s="3">
        <v>300.1</v>
      </c>
      <c r="G986" s="3">
        <v>4.0</v>
      </c>
      <c r="H986" s="3">
        <v>27.3</v>
      </c>
    </row>
    <row r="987" ht="15.75" customHeight="1">
      <c r="A987" s="3" t="s">
        <v>40</v>
      </c>
      <c r="B987" s="3">
        <v>2022.0</v>
      </c>
      <c r="C987" s="3" t="s">
        <v>9</v>
      </c>
      <c r="D987" s="3">
        <v>294.6</v>
      </c>
      <c r="E987" s="3">
        <v>846.2</v>
      </c>
      <c r="F987" s="3">
        <v>362.1</v>
      </c>
      <c r="G987" s="3">
        <v>11.0</v>
      </c>
      <c r="H987" s="3">
        <v>5.1</v>
      </c>
    </row>
    <row r="988" ht="15.75" customHeight="1">
      <c r="A988" s="3" t="s">
        <v>40</v>
      </c>
      <c r="B988" s="3">
        <v>2022.0</v>
      </c>
      <c r="C988" s="3" t="s">
        <v>10</v>
      </c>
      <c r="D988" s="3">
        <v>300.3</v>
      </c>
      <c r="E988" s="3">
        <v>788.8</v>
      </c>
      <c r="F988" s="3">
        <v>293.4</v>
      </c>
      <c r="G988" s="3">
        <v>9.0</v>
      </c>
      <c r="H988" s="3">
        <v>41.1</v>
      </c>
    </row>
    <row r="989" ht="15.75" customHeight="1">
      <c r="A989" s="3" t="s">
        <v>40</v>
      </c>
      <c r="B989" s="3">
        <v>2022.0</v>
      </c>
      <c r="C989" s="3" t="s">
        <v>11</v>
      </c>
      <c r="D989" s="3">
        <v>343.0</v>
      </c>
      <c r="E989" s="3">
        <v>1006.6</v>
      </c>
      <c r="F989" s="3">
        <v>324.0</v>
      </c>
      <c r="G989" s="3">
        <v>11.0</v>
      </c>
      <c r="H989" s="3">
        <v>37.9</v>
      </c>
    </row>
    <row r="990" ht="15.75" customHeight="1">
      <c r="A990" s="3" t="s">
        <v>40</v>
      </c>
      <c r="B990" s="3">
        <v>2022.0</v>
      </c>
      <c r="C990" s="3" t="s">
        <v>13</v>
      </c>
      <c r="D990" s="3">
        <v>369.6</v>
      </c>
      <c r="E990" s="3">
        <v>835.5</v>
      </c>
      <c r="F990" s="3">
        <v>372.5</v>
      </c>
      <c r="G990" s="3">
        <v>10.0</v>
      </c>
      <c r="H990" s="3">
        <v>48.2</v>
      </c>
    </row>
    <row r="991" ht="15.75" customHeight="1">
      <c r="A991" s="3" t="s">
        <v>40</v>
      </c>
      <c r="B991" s="3">
        <v>2022.0</v>
      </c>
      <c r="C991" s="3" t="s">
        <v>14</v>
      </c>
      <c r="D991" s="3">
        <v>352.4</v>
      </c>
      <c r="E991" s="3">
        <v>862.6</v>
      </c>
      <c r="F991" s="3">
        <v>307.1</v>
      </c>
      <c r="G991" s="3">
        <v>10.0</v>
      </c>
      <c r="H991" s="3">
        <v>6.0</v>
      </c>
    </row>
    <row r="992" ht="15.75" customHeight="1">
      <c r="A992" s="3" t="s">
        <v>40</v>
      </c>
      <c r="B992" s="3">
        <v>2023.0</v>
      </c>
      <c r="C992" s="3" t="s">
        <v>9</v>
      </c>
      <c r="D992" s="3">
        <v>414.5</v>
      </c>
      <c r="E992" s="3">
        <v>925.9</v>
      </c>
      <c r="F992" s="3">
        <v>517.1</v>
      </c>
      <c r="G992" s="3">
        <v>10.0</v>
      </c>
      <c r="H992" s="3">
        <v>16.7</v>
      </c>
    </row>
    <row r="993" ht="15.75" customHeight="1">
      <c r="A993" s="3" t="s">
        <v>40</v>
      </c>
      <c r="B993" s="3">
        <v>2023.0</v>
      </c>
      <c r="C993" s="3" t="s">
        <v>10</v>
      </c>
      <c r="D993" s="3">
        <v>325.3</v>
      </c>
      <c r="E993" s="3">
        <v>911.6</v>
      </c>
      <c r="F993" s="3">
        <v>347.9</v>
      </c>
      <c r="G993" s="3">
        <v>7.0</v>
      </c>
      <c r="H993" s="3">
        <v>30.1</v>
      </c>
    </row>
    <row r="994" ht="15.75" customHeight="1">
      <c r="A994" s="3" t="s">
        <v>40</v>
      </c>
      <c r="B994" s="3">
        <v>2023.0</v>
      </c>
      <c r="C994" s="3" t="s">
        <v>11</v>
      </c>
      <c r="D994" s="3">
        <v>366.6</v>
      </c>
      <c r="E994" s="3">
        <v>776.2</v>
      </c>
      <c r="F994" s="3">
        <v>409.6</v>
      </c>
      <c r="G994" s="3">
        <v>8.0</v>
      </c>
      <c r="H994" s="3">
        <v>6.2</v>
      </c>
    </row>
    <row r="995" ht="15.75" customHeight="1">
      <c r="A995" s="3" t="s">
        <v>40</v>
      </c>
      <c r="B995" s="3">
        <v>2023.0</v>
      </c>
      <c r="C995" s="3" t="s">
        <v>13</v>
      </c>
      <c r="D995" s="3">
        <v>314.5</v>
      </c>
      <c r="E995" s="3">
        <v>653.8</v>
      </c>
      <c r="F995" s="3">
        <v>293.8</v>
      </c>
      <c r="G995" s="3">
        <v>10.0</v>
      </c>
      <c r="H995" s="3">
        <v>26.2</v>
      </c>
    </row>
    <row r="996" ht="15.75" customHeight="1">
      <c r="A996" s="3" t="s">
        <v>40</v>
      </c>
      <c r="B996" s="3">
        <v>2023.0</v>
      </c>
      <c r="C996" s="3" t="s">
        <v>14</v>
      </c>
      <c r="D996" s="3">
        <v>307.4</v>
      </c>
      <c r="E996" s="3">
        <v>875.5</v>
      </c>
      <c r="F996" s="3">
        <v>352.0</v>
      </c>
      <c r="G996" s="3">
        <v>5.0</v>
      </c>
      <c r="H996" s="3">
        <v>25.0</v>
      </c>
    </row>
    <row r="997" ht="15.75" customHeight="1">
      <c r="A997" s="3" t="s">
        <v>40</v>
      </c>
      <c r="B997" s="3">
        <v>2024.0</v>
      </c>
      <c r="C997" s="3" t="s">
        <v>9</v>
      </c>
      <c r="D997" s="3">
        <v>405.5</v>
      </c>
      <c r="E997" s="3">
        <v>1148.3</v>
      </c>
      <c r="F997" s="3">
        <v>438.9</v>
      </c>
      <c r="G997" s="3">
        <v>5.0</v>
      </c>
      <c r="H997" s="3">
        <v>46.8</v>
      </c>
    </row>
    <row r="998" ht="15.75" customHeight="1">
      <c r="A998" s="3" t="s">
        <v>40</v>
      </c>
      <c r="B998" s="3">
        <v>2024.0</v>
      </c>
      <c r="C998" s="3" t="s">
        <v>10</v>
      </c>
      <c r="D998" s="3">
        <v>357.8</v>
      </c>
      <c r="E998" s="3">
        <v>999.8</v>
      </c>
      <c r="F998" s="3">
        <v>408.1</v>
      </c>
      <c r="G998" s="3">
        <v>7.0</v>
      </c>
      <c r="H998" s="3">
        <v>28.3</v>
      </c>
    </row>
    <row r="999" ht="15.75" customHeight="1">
      <c r="A999" s="3" t="s">
        <v>40</v>
      </c>
      <c r="B999" s="3">
        <v>2024.0</v>
      </c>
      <c r="C999" s="3" t="s">
        <v>11</v>
      </c>
      <c r="D999" s="3">
        <v>372.6</v>
      </c>
      <c r="E999" s="3">
        <v>858.8</v>
      </c>
      <c r="F999" s="3">
        <v>342.1</v>
      </c>
      <c r="G999" s="3">
        <v>4.0</v>
      </c>
      <c r="H999" s="3">
        <v>2.7</v>
      </c>
    </row>
    <row r="1000" ht="15.75" customHeight="1">
      <c r="A1000" s="3" t="s">
        <v>40</v>
      </c>
      <c r="B1000" s="3">
        <v>2024.0</v>
      </c>
      <c r="C1000" s="3" t="s">
        <v>13</v>
      </c>
      <c r="D1000" s="3">
        <v>353.8</v>
      </c>
      <c r="E1000" s="3">
        <v>736.7</v>
      </c>
      <c r="F1000" s="3">
        <v>357.0</v>
      </c>
      <c r="G1000" s="3">
        <v>8.0</v>
      </c>
      <c r="H1000" s="3">
        <v>48.3</v>
      </c>
    </row>
    <row r="1001" ht="15.75" customHeight="1">
      <c r="A1001" s="3" t="s">
        <v>40</v>
      </c>
      <c r="B1001" s="3">
        <v>2024.0</v>
      </c>
      <c r="C1001" s="3" t="s">
        <v>14</v>
      </c>
      <c r="D1001" s="3">
        <v>398.0</v>
      </c>
      <c r="E1001" s="3">
        <v>843.4</v>
      </c>
      <c r="F1001" s="3">
        <v>443.4</v>
      </c>
      <c r="G1001" s="3">
        <v>7.0</v>
      </c>
      <c r="H1001" s="3">
        <v>36.8</v>
      </c>
    </row>
    <row r="1002" ht="15.75" customHeight="1">
      <c r="A1002" s="3" t="s">
        <v>41</v>
      </c>
      <c r="B1002" s="3">
        <v>2015.0</v>
      </c>
      <c r="C1002" s="3" t="s">
        <v>9</v>
      </c>
      <c r="D1002" s="3">
        <v>130.8</v>
      </c>
      <c r="E1002" s="3">
        <v>306.0</v>
      </c>
      <c r="F1002" s="3">
        <v>156.3</v>
      </c>
      <c r="G1002" s="3">
        <v>7.0</v>
      </c>
      <c r="H1002" s="3">
        <v>45.9</v>
      </c>
    </row>
    <row r="1003" ht="15.75" customHeight="1">
      <c r="A1003" s="3" t="s">
        <v>41</v>
      </c>
      <c r="B1003" s="3">
        <v>2015.0</v>
      </c>
      <c r="C1003" s="3" t="s">
        <v>10</v>
      </c>
      <c r="D1003" s="3">
        <v>113.4</v>
      </c>
      <c r="E1003" s="3">
        <v>232.8</v>
      </c>
      <c r="F1003" s="3">
        <v>158.4</v>
      </c>
      <c r="G1003" s="3">
        <v>7.0</v>
      </c>
      <c r="H1003" s="3">
        <v>10.0</v>
      </c>
    </row>
    <row r="1004" ht="15.75" customHeight="1">
      <c r="A1004" s="3" t="s">
        <v>41</v>
      </c>
      <c r="B1004" s="3">
        <v>2015.0</v>
      </c>
      <c r="C1004" s="3" t="s">
        <v>11</v>
      </c>
      <c r="D1004" s="3">
        <v>128.8</v>
      </c>
      <c r="E1004" s="3">
        <v>274.0</v>
      </c>
      <c r="F1004" s="3">
        <v>119.2</v>
      </c>
      <c r="G1004" s="3">
        <v>9.0</v>
      </c>
      <c r="H1004" s="3">
        <v>12.5</v>
      </c>
    </row>
    <row r="1005" ht="15.75" customHeight="1">
      <c r="A1005" s="3" t="s">
        <v>41</v>
      </c>
      <c r="B1005" s="3">
        <v>2015.0</v>
      </c>
      <c r="C1005" s="3" t="s">
        <v>13</v>
      </c>
      <c r="D1005" s="3">
        <v>128.6</v>
      </c>
      <c r="E1005" s="3">
        <v>282.4</v>
      </c>
      <c r="F1005" s="3">
        <v>187.9</v>
      </c>
      <c r="G1005" s="3">
        <v>7.0</v>
      </c>
      <c r="H1005" s="3">
        <v>37.0</v>
      </c>
    </row>
    <row r="1006" ht="15.75" customHeight="1">
      <c r="A1006" s="3" t="s">
        <v>41</v>
      </c>
      <c r="B1006" s="3">
        <v>2015.0</v>
      </c>
      <c r="C1006" s="3" t="s">
        <v>14</v>
      </c>
      <c r="D1006" s="3">
        <v>140.5</v>
      </c>
      <c r="E1006" s="3">
        <v>319.0</v>
      </c>
      <c r="F1006" s="3">
        <v>181.5</v>
      </c>
      <c r="G1006" s="3">
        <v>4.0</v>
      </c>
      <c r="H1006" s="3">
        <v>49.5</v>
      </c>
    </row>
    <row r="1007" ht="15.75" customHeight="1">
      <c r="A1007" s="3" t="s">
        <v>41</v>
      </c>
      <c r="B1007" s="3">
        <v>2016.0</v>
      </c>
      <c r="C1007" s="3" t="s">
        <v>9</v>
      </c>
      <c r="D1007" s="3">
        <v>152.9</v>
      </c>
      <c r="E1007" s="3">
        <v>417.3</v>
      </c>
      <c r="F1007" s="3">
        <v>178.9</v>
      </c>
      <c r="G1007" s="3">
        <v>6.0</v>
      </c>
      <c r="H1007" s="3">
        <v>6.4</v>
      </c>
    </row>
    <row r="1008" ht="15.75" customHeight="1">
      <c r="A1008" s="3" t="s">
        <v>41</v>
      </c>
      <c r="B1008" s="3">
        <v>2016.0</v>
      </c>
      <c r="C1008" s="3" t="s">
        <v>10</v>
      </c>
      <c r="D1008" s="3">
        <v>175.4</v>
      </c>
      <c r="E1008" s="3">
        <v>456.4</v>
      </c>
      <c r="F1008" s="3">
        <v>229.6</v>
      </c>
      <c r="G1008" s="3">
        <v>4.0</v>
      </c>
      <c r="H1008" s="3">
        <v>8.4</v>
      </c>
    </row>
    <row r="1009" ht="15.75" customHeight="1">
      <c r="A1009" s="3" t="s">
        <v>41</v>
      </c>
      <c r="B1009" s="3">
        <v>2016.0</v>
      </c>
      <c r="C1009" s="3" t="s">
        <v>11</v>
      </c>
      <c r="D1009" s="3">
        <v>143.1</v>
      </c>
      <c r="E1009" s="3">
        <v>381.6</v>
      </c>
      <c r="F1009" s="3">
        <v>134.6</v>
      </c>
      <c r="G1009" s="3">
        <v>3.0</v>
      </c>
      <c r="H1009" s="3">
        <v>10.6</v>
      </c>
    </row>
    <row r="1010" ht="15.75" customHeight="1">
      <c r="A1010" s="3" t="s">
        <v>41</v>
      </c>
      <c r="B1010" s="3">
        <v>2016.0</v>
      </c>
      <c r="C1010" s="3" t="s">
        <v>13</v>
      </c>
      <c r="D1010" s="3">
        <v>156.3</v>
      </c>
      <c r="E1010" s="3">
        <v>421.9</v>
      </c>
      <c r="F1010" s="3">
        <v>137.3</v>
      </c>
      <c r="G1010" s="3">
        <v>4.0</v>
      </c>
      <c r="H1010" s="3">
        <v>23.9</v>
      </c>
    </row>
    <row r="1011" ht="15.75" customHeight="1">
      <c r="A1011" s="3" t="s">
        <v>41</v>
      </c>
      <c r="B1011" s="3">
        <v>2016.0</v>
      </c>
      <c r="C1011" s="3" t="s">
        <v>14</v>
      </c>
      <c r="D1011" s="3">
        <v>214.5</v>
      </c>
      <c r="E1011" s="3">
        <v>452.2</v>
      </c>
      <c r="F1011" s="3">
        <v>303.1</v>
      </c>
      <c r="G1011" s="3">
        <v>7.0</v>
      </c>
      <c r="H1011" s="3">
        <v>38.1</v>
      </c>
    </row>
    <row r="1012" ht="15.75" customHeight="1">
      <c r="A1012" s="3" t="s">
        <v>41</v>
      </c>
      <c r="B1012" s="3">
        <v>2017.0</v>
      </c>
      <c r="C1012" s="3" t="s">
        <v>9</v>
      </c>
      <c r="D1012" s="3">
        <v>186.7</v>
      </c>
      <c r="E1012" s="3">
        <v>559.0</v>
      </c>
      <c r="F1012" s="3">
        <v>172.2</v>
      </c>
      <c r="G1012" s="3">
        <v>4.0</v>
      </c>
      <c r="H1012" s="3">
        <v>3.5</v>
      </c>
    </row>
    <row r="1013" ht="15.75" customHeight="1">
      <c r="A1013" s="3" t="s">
        <v>41</v>
      </c>
      <c r="B1013" s="3">
        <v>2017.0</v>
      </c>
      <c r="C1013" s="3" t="s">
        <v>10</v>
      </c>
      <c r="D1013" s="3">
        <v>183.8</v>
      </c>
      <c r="E1013" s="3">
        <v>402.1</v>
      </c>
      <c r="F1013" s="3">
        <v>151.2</v>
      </c>
      <c r="G1013" s="3">
        <v>6.0</v>
      </c>
      <c r="H1013" s="3">
        <v>37.5</v>
      </c>
    </row>
    <row r="1014" ht="15.75" customHeight="1">
      <c r="A1014" s="3" t="s">
        <v>41</v>
      </c>
      <c r="B1014" s="3">
        <v>2017.0</v>
      </c>
      <c r="C1014" s="3" t="s">
        <v>11</v>
      </c>
      <c r="D1014" s="3">
        <v>157.9</v>
      </c>
      <c r="E1014" s="3">
        <v>340.3</v>
      </c>
      <c r="F1014" s="3">
        <v>159.6</v>
      </c>
      <c r="G1014" s="3">
        <v>3.0</v>
      </c>
      <c r="H1014" s="3">
        <v>36.8</v>
      </c>
    </row>
    <row r="1015" ht="15.75" customHeight="1">
      <c r="A1015" s="3" t="s">
        <v>41</v>
      </c>
      <c r="B1015" s="3">
        <v>2017.0</v>
      </c>
      <c r="C1015" s="3" t="s">
        <v>13</v>
      </c>
      <c r="D1015" s="3">
        <v>203.8</v>
      </c>
      <c r="E1015" s="3">
        <v>459.4</v>
      </c>
      <c r="F1015" s="3">
        <v>232.7</v>
      </c>
      <c r="G1015" s="3">
        <v>11.0</v>
      </c>
      <c r="H1015" s="3">
        <v>11.0</v>
      </c>
    </row>
    <row r="1016" ht="15.75" customHeight="1">
      <c r="A1016" s="3" t="s">
        <v>41</v>
      </c>
      <c r="B1016" s="3">
        <v>2017.0</v>
      </c>
      <c r="C1016" s="3" t="s">
        <v>14</v>
      </c>
      <c r="D1016" s="3">
        <v>178.4</v>
      </c>
      <c r="E1016" s="3">
        <v>366.5</v>
      </c>
      <c r="F1016" s="3">
        <v>247.2</v>
      </c>
      <c r="G1016" s="3">
        <v>3.0</v>
      </c>
      <c r="H1016" s="3">
        <v>44.4</v>
      </c>
    </row>
    <row r="1017" ht="15.75" customHeight="1">
      <c r="A1017" s="3" t="s">
        <v>41</v>
      </c>
      <c r="B1017" s="3">
        <v>2018.0</v>
      </c>
      <c r="C1017" s="3" t="s">
        <v>9</v>
      </c>
      <c r="D1017" s="3">
        <v>220.3</v>
      </c>
      <c r="E1017" s="3">
        <v>635.1</v>
      </c>
      <c r="F1017" s="3">
        <v>264.4</v>
      </c>
      <c r="G1017" s="3">
        <v>4.0</v>
      </c>
      <c r="H1017" s="3">
        <v>16.6</v>
      </c>
    </row>
    <row r="1018" ht="15.75" customHeight="1">
      <c r="A1018" s="3" t="s">
        <v>41</v>
      </c>
      <c r="B1018" s="3">
        <v>2018.0</v>
      </c>
      <c r="C1018" s="3" t="s">
        <v>10</v>
      </c>
      <c r="D1018" s="3">
        <v>178.0</v>
      </c>
      <c r="E1018" s="3">
        <v>375.6</v>
      </c>
      <c r="F1018" s="3">
        <v>191.0</v>
      </c>
      <c r="G1018" s="3">
        <v>2.0</v>
      </c>
      <c r="H1018" s="3">
        <v>1.8</v>
      </c>
    </row>
    <row r="1019" ht="15.75" customHeight="1">
      <c r="A1019" s="3" t="s">
        <v>41</v>
      </c>
      <c r="B1019" s="3">
        <v>2018.0</v>
      </c>
      <c r="C1019" s="3" t="s">
        <v>11</v>
      </c>
      <c r="D1019" s="3">
        <v>360.6</v>
      </c>
      <c r="E1019" s="3">
        <v>828.3</v>
      </c>
      <c r="F1019" s="3">
        <v>322.7</v>
      </c>
      <c r="G1019" s="3">
        <v>5.0</v>
      </c>
      <c r="H1019" s="3">
        <v>5.5</v>
      </c>
    </row>
    <row r="1020" ht="15.75" customHeight="1">
      <c r="A1020" s="3" t="s">
        <v>41</v>
      </c>
      <c r="B1020" s="3">
        <v>2018.0</v>
      </c>
      <c r="C1020" s="3" t="s">
        <v>13</v>
      </c>
      <c r="D1020" s="3">
        <v>194.6</v>
      </c>
      <c r="E1020" s="3">
        <v>440.3</v>
      </c>
      <c r="F1020" s="3">
        <v>260.2</v>
      </c>
      <c r="G1020" s="3">
        <v>3.0</v>
      </c>
      <c r="H1020" s="3">
        <v>16.5</v>
      </c>
    </row>
    <row r="1021" ht="15.75" customHeight="1">
      <c r="A1021" s="3" t="s">
        <v>41</v>
      </c>
      <c r="B1021" s="3">
        <v>2018.0</v>
      </c>
      <c r="C1021" s="3" t="s">
        <v>14</v>
      </c>
      <c r="D1021" s="3">
        <v>222.1</v>
      </c>
      <c r="E1021" s="3">
        <v>595.8</v>
      </c>
      <c r="F1021" s="3">
        <v>315.9</v>
      </c>
      <c r="G1021" s="3">
        <v>7.0</v>
      </c>
      <c r="H1021" s="3">
        <v>20.6</v>
      </c>
    </row>
    <row r="1022" ht="15.75" customHeight="1">
      <c r="A1022" s="3" t="s">
        <v>41</v>
      </c>
      <c r="B1022" s="3">
        <v>2019.0</v>
      </c>
      <c r="C1022" s="3" t="s">
        <v>9</v>
      </c>
      <c r="D1022" s="3">
        <v>195.0</v>
      </c>
      <c r="E1022" s="3">
        <v>491.5</v>
      </c>
      <c r="F1022" s="3">
        <v>233.3</v>
      </c>
      <c r="G1022" s="3">
        <v>10.0</v>
      </c>
      <c r="H1022" s="3">
        <v>39.2</v>
      </c>
    </row>
    <row r="1023" ht="15.75" customHeight="1">
      <c r="A1023" s="3" t="s">
        <v>41</v>
      </c>
      <c r="B1023" s="3">
        <v>2019.0</v>
      </c>
      <c r="C1023" s="3" t="s">
        <v>10</v>
      </c>
      <c r="D1023" s="3">
        <v>190.7</v>
      </c>
      <c r="E1023" s="3">
        <v>516.3</v>
      </c>
      <c r="F1023" s="3">
        <v>178.0</v>
      </c>
      <c r="G1023" s="3">
        <v>8.0</v>
      </c>
      <c r="H1023" s="3">
        <v>6.2</v>
      </c>
    </row>
    <row r="1024" ht="15.75" customHeight="1">
      <c r="A1024" s="3" t="s">
        <v>41</v>
      </c>
      <c r="B1024" s="3">
        <v>2019.0</v>
      </c>
      <c r="C1024" s="3" t="s">
        <v>11</v>
      </c>
      <c r="D1024" s="3">
        <v>236.5</v>
      </c>
      <c r="E1024" s="3">
        <v>609.7</v>
      </c>
      <c r="F1024" s="3">
        <v>340.0</v>
      </c>
      <c r="G1024" s="3">
        <v>5.0</v>
      </c>
      <c r="H1024" s="3">
        <v>25.6</v>
      </c>
    </row>
    <row r="1025" ht="15.75" customHeight="1">
      <c r="A1025" s="3" t="s">
        <v>41</v>
      </c>
      <c r="B1025" s="3">
        <v>2019.0</v>
      </c>
      <c r="C1025" s="3" t="s">
        <v>13</v>
      </c>
      <c r="D1025" s="3">
        <v>258.8</v>
      </c>
      <c r="E1025" s="3">
        <v>558.7</v>
      </c>
      <c r="F1025" s="3">
        <v>271.2</v>
      </c>
      <c r="G1025" s="3">
        <v>10.0</v>
      </c>
      <c r="H1025" s="3">
        <v>43.5</v>
      </c>
    </row>
    <row r="1026" ht="15.75" customHeight="1">
      <c r="A1026" s="3" t="s">
        <v>41</v>
      </c>
      <c r="B1026" s="3">
        <v>2019.0</v>
      </c>
      <c r="C1026" s="3" t="s">
        <v>14</v>
      </c>
      <c r="D1026" s="3">
        <v>172.5</v>
      </c>
      <c r="E1026" s="3">
        <v>383.1</v>
      </c>
      <c r="F1026" s="3">
        <v>226.1</v>
      </c>
      <c r="G1026" s="3">
        <v>10.0</v>
      </c>
      <c r="H1026" s="3">
        <v>38.1</v>
      </c>
    </row>
    <row r="1027" ht="15.75" customHeight="1">
      <c r="A1027" s="3" t="s">
        <v>41</v>
      </c>
      <c r="B1027" s="3">
        <v>2020.0</v>
      </c>
      <c r="C1027" s="3" t="s">
        <v>9</v>
      </c>
      <c r="D1027" s="3">
        <v>289.5</v>
      </c>
      <c r="E1027" s="3">
        <v>627.3</v>
      </c>
      <c r="F1027" s="3">
        <v>393.2</v>
      </c>
      <c r="G1027" s="3">
        <v>6.0</v>
      </c>
      <c r="H1027" s="3">
        <v>5.5</v>
      </c>
    </row>
    <row r="1028" ht="15.75" customHeight="1">
      <c r="A1028" s="3" t="s">
        <v>41</v>
      </c>
      <c r="B1028" s="3">
        <v>2020.0</v>
      </c>
      <c r="C1028" s="3" t="s">
        <v>10</v>
      </c>
      <c r="D1028" s="3">
        <v>215.3</v>
      </c>
      <c r="E1028" s="3">
        <v>503.2</v>
      </c>
      <c r="F1028" s="3">
        <v>175.0</v>
      </c>
      <c r="G1028" s="3">
        <v>6.0</v>
      </c>
      <c r="H1028" s="3">
        <v>27.9</v>
      </c>
    </row>
    <row r="1029" ht="15.75" customHeight="1">
      <c r="A1029" s="3" t="s">
        <v>41</v>
      </c>
      <c r="B1029" s="3">
        <v>2020.0</v>
      </c>
      <c r="C1029" s="3" t="s">
        <v>11</v>
      </c>
      <c r="D1029" s="3">
        <v>252.7</v>
      </c>
      <c r="E1029" s="3">
        <v>673.1</v>
      </c>
      <c r="F1029" s="3">
        <v>350.1</v>
      </c>
      <c r="G1029" s="3">
        <v>3.0</v>
      </c>
      <c r="H1029" s="3">
        <v>44.3</v>
      </c>
    </row>
    <row r="1030" ht="15.75" customHeight="1">
      <c r="A1030" s="3" t="s">
        <v>41</v>
      </c>
      <c r="B1030" s="3">
        <v>2020.0</v>
      </c>
      <c r="C1030" s="3" t="s">
        <v>13</v>
      </c>
      <c r="D1030" s="3">
        <v>217.6</v>
      </c>
      <c r="E1030" s="3">
        <v>535.8</v>
      </c>
      <c r="F1030" s="3">
        <v>311.6</v>
      </c>
      <c r="G1030" s="3">
        <v>8.0</v>
      </c>
      <c r="H1030" s="3">
        <v>43.3</v>
      </c>
    </row>
    <row r="1031" ht="15.75" customHeight="1">
      <c r="A1031" s="3" t="s">
        <v>41</v>
      </c>
      <c r="B1031" s="3">
        <v>2020.0</v>
      </c>
      <c r="C1031" s="3" t="s">
        <v>14</v>
      </c>
      <c r="D1031" s="3">
        <v>271.6</v>
      </c>
      <c r="E1031" s="3">
        <v>787.6</v>
      </c>
      <c r="F1031" s="3">
        <v>396.2</v>
      </c>
      <c r="G1031" s="3">
        <v>4.0</v>
      </c>
      <c r="H1031" s="3">
        <v>46.5</v>
      </c>
    </row>
    <row r="1032" ht="15.75" customHeight="1">
      <c r="A1032" s="3" t="s">
        <v>41</v>
      </c>
      <c r="B1032" s="3">
        <v>2021.0</v>
      </c>
      <c r="C1032" s="3" t="s">
        <v>9</v>
      </c>
      <c r="D1032" s="3">
        <v>298.1</v>
      </c>
      <c r="E1032" s="3">
        <v>882.7</v>
      </c>
      <c r="F1032" s="3">
        <v>400.2</v>
      </c>
      <c r="G1032" s="3">
        <v>8.0</v>
      </c>
      <c r="H1032" s="3">
        <v>18.9</v>
      </c>
    </row>
    <row r="1033" ht="15.75" customHeight="1">
      <c r="A1033" s="3" t="s">
        <v>41</v>
      </c>
      <c r="B1033" s="3">
        <v>2021.0</v>
      </c>
      <c r="C1033" s="3" t="s">
        <v>10</v>
      </c>
      <c r="D1033" s="3">
        <v>259.8</v>
      </c>
      <c r="E1033" s="3">
        <v>570.2</v>
      </c>
      <c r="F1033" s="3">
        <v>358.2</v>
      </c>
      <c r="G1033" s="3">
        <v>5.0</v>
      </c>
      <c r="H1033" s="3">
        <v>25.9</v>
      </c>
    </row>
    <row r="1034" ht="15.75" customHeight="1">
      <c r="A1034" s="3" t="s">
        <v>41</v>
      </c>
      <c r="B1034" s="3">
        <v>2021.0</v>
      </c>
      <c r="C1034" s="3" t="s">
        <v>11</v>
      </c>
      <c r="D1034" s="3">
        <v>232.5</v>
      </c>
      <c r="E1034" s="3">
        <v>597.2</v>
      </c>
      <c r="F1034" s="3">
        <v>327.2</v>
      </c>
      <c r="G1034" s="3">
        <v>10.0</v>
      </c>
      <c r="H1034" s="3">
        <v>48.4</v>
      </c>
    </row>
    <row r="1035" ht="15.75" customHeight="1">
      <c r="A1035" s="3" t="s">
        <v>41</v>
      </c>
      <c r="B1035" s="3">
        <v>2021.0</v>
      </c>
      <c r="C1035" s="3" t="s">
        <v>13</v>
      </c>
      <c r="D1035" s="3">
        <v>288.1</v>
      </c>
      <c r="E1035" s="3">
        <v>617.3</v>
      </c>
      <c r="F1035" s="3">
        <v>309.0</v>
      </c>
      <c r="G1035" s="3">
        <v>9.0</v>
      </c>
      <c r="H1035" s="3">
        <v>36.2</v>
      </c>
    </row>
    <row r="1036" ht="15.75" customHeight="1">
      <c r="A1036" s="3" t="s">
        <v>41</v>
      </c>
      <c r="B1036" s="3">
        <v>2021.0</v>
      </c>
      <c r="C1036" s="3" t="s">
        <v>14</v>
      </c>
      <c r="D1036" s="3">
        <v>293.3</v>
      </c>
      <c r="E1036" s="3">
        <v>799.2</v>
      </c>
      <c r="F1036" s="3">
        <v>298.6</v>
      </c>
      <c r="G1036" s="3">
        <v>10.0</v>
      </c>
      <c r="H1036" s="3">
        <v>2.1</v>
      </c>
    </row>
    <row r="1037" ht="15.75" customHeight="1">
      <c r="A1037" s="3" t="s">
        <v>41</v>
      </c>
      <c r="B1037" s="3">
        <v>2022.0</v>
      </c>
      <c r="C1037" s="3" t="s">
        <v>9</v>
      </c>
      <c r="D1037" s="3">
        <v>316.9</v>
      </c>
      <c r="E1037" s="3">
        <v>880.4</v>
      </c>
      <c r="F1037" s="3">
        <v>338.4</v>
      </c>
      <c r="G1037" s="3">
        <v>9.0</v>
      </c>
      <c r="H1037" s="3">
        <v>25.7</v>
      </c>
    </row>
    <row r="1038" ht="15.75" customHeight="1">
      <c r="A1038" s="3" t="s">
        <v>41</v>
      </c>
      <c r="B1038" s="3">
        <v>2022.0</v>
      </c>
      <c r="C1038" s="3" t="s">
        <v>10</v>
      </c>
      <c r="D1038" s="3">
        <v>365.9</v>
      </c>
      <c r="E1038" s="3">
        <v>1042.4</v>
      </c>
      <c r="F1038" s="3">
        <v>520.4</v>
      </c>
      <c r="G1038" s="3">
        <v>7.0</v>
      </c>
      <c r="H1038" s="3">
        <v>36.7</v>
      </c>
    </row>
    <row r="1039" ht="15.75" customHeight="1">
      <c r="A1039" s="3" t="s">
        <v>41</v>
      </c>
      <c r="B1039" s="3">
        <v>2022.0</v>
      </c>
      <c r="C1039" s="3" t="s">
        <v>11</v>
      </c>
      <c r="D1039" s="3">
        <v>247.9</v>
      </c>
      <c r="E1039" s="3">
        <v>580.6</v>
      </c>
      <c r="F1039" s="3">
        <v>232.1</v>
      </c>
      <c r="G1039" s="3">
        <v>7.0</v>
      </c>
      <c r="H1039" s="3">
        <v>16.4</v>
      </c>
    </row>
    <row r="1040" ht="15.75" customHeight="1">
      <c r="A1040" s="3" t="s">
        <v>41</v>
      </c>
      <c r="B1040" s="3">
        <v>2022.0</v>
      </c>
      <c r="C1040" s="3" t="s">
        <v>13</v>
      </c>
      <c r="D1040" s="3">
        <v>360.5</v>
      </c>
      <c r="E1040" s="3">
        <v>904.7</v>
      </c>
      <c r="F1040" s="3">
        <v>426.1</v>
      </c>
      <c r="G1040" s="3">
        <v>12.0</v>
      </c>
      <c r="H1040" s="3">
        <v>21.9</v>
      </c>
    </row>
    <row r="1041" ht="15.75" customHeight="1">
      <c r="A1041" s="3" t="s">
        <v>41</v>
      </c>
      <c r="B1041" s="3">
        <v>2022.0</v>
      </c>
      <c r="C1041" s="3" t="s">
        <v>14</v>
      </c>
      <c r="D1041" s="3">
        <v>286.9</v>
      </c>
      <c r="E1041" s="3">
        <v>629.4</v>
      </c>
      <c r="F1041" s="3">
        <v>420.5</v>
      </c>
      <c r="G1041" s="3">
        <v>5.0</v>
      </c>
      <c r="H1041" s="3">
        <v>34.4</v>
      </c>
    </row>
    <row r="1042" ht="15.75" customHeight="1">
      <c r="A1042" s="3" t="s">
        <v>41</v>
      </c>
      <c r="B1042" s="3">
        <v>2023.0</v>
      </c>
      <c r="C1042" s="3" t="s">
        <v>9</v>
      </c>
      <c r="D1042" s="3">
        <v>338.4</v>
      </c>
      <c r="E1042" s="3">
        <v>848.9</v>
      </c>
      <c r="F1042" s="3">
        <v>328.3</v>
      </c>
      <c r="G1042" s="3">
        <v>10.0</v>
      </c>
      <c r="H1042" s="3">
        <v>7.2</v>
      </c>
    </row>
    <row r="1043" ht="15.75" customHeight="1">
      <c r="A1043" s="3" t="s">
        <v>41</v>
      </c>
      <c r="B1043" s="3">
        <v>2023.0</v>
      </c>
      <c r="C1043" s="3" t="s">
        <v>10</v>
      </c>
      <c r="D1043" s="3">
        <v>373.5</v>
      </c>
      <c r="E1043" s="3">
        <v>817.9</v>
      </c>
      <c r="F1043" s="3">
        <v>419.2</v>
      </c>
      <c r="G1043" s="3">
        <v>11.0</v>
      </c>
      <c r="H1043" s="3">
        <v>6.2</v>
      </c>
    </row>
    <row r="1044" ht="15.75" customHeight="1">
      <c r="A1044" s="3" t="s">
        <v>41</v>
      </c>
      <c r="B1044" s="3">
        <v>2023.0</v>
      </c>
      <c r="C1044" s="3" t="s">
        <v>11</v>
      </c>
      <c r="D1044" s="3">
        <v>402.5</v>
      </c>
      <c r="E1044" s="3">
        <v>973.0</v>
      </c>
      <c r="F1044" s="3">
        <v>342.6</v>
      </c>
      <c r="G1044" s="3">
        <v>10.0</v>
      </c>
      <c r="H1044" s="3">
        <v>21.3</v>
      </c>
    </row>
    <row r="1045" ht="15.75" customHeight="1">
      <c r="A1045" s="3" t="s">
        <v>41</v>
      </c>
      <c r="B1045" s="3">
        <v>2023.0</v>
      </c>
      <c r="C1045" s="3" t="s">
        <v>13</v>
      </c>
      <c r="D1045" s="3">
        <v>389.6</v>
      </c>
      <c r="E1045" s="3">
        <v>1011.6</v>
      </c>
      <c r="F1045" s="3">
        <v>505.3</v>
      </c>
      <c r="G1045" s="3">
        <v>10.0</v>
      </c>
      <c r="H1045" s="3">
        <v>26.4</v>
      </c>
    </row>
    <row r="1046" ht="15.75" customHeight="1">
      <c r="A1046" s="3" t="s">
        <v>41</v>
      </c>
      <c r="B1046" s="3">
        <v>2023.0</v>
      </c>
      <c r="C1046" s="3" t="s">
        <v>14</v>
      </c>
      <c r="D1046" s="3">
        <v>365.4</v>
      </c>
      <c r="E1046" s="3">
        <v>894.2</v>
      </c>
      <c r="F1046" s="3">
        <v>536.6</v>
      </c>
      <c r="G1046" s="3">
        <v>5.0</v>
      </c>
      <c r="H1046" s="3">
        <v>47.3</v>
      </c>
    </row>
    <row r="1047" ht="15.75" customHeight="1">
      <c r="A1047" s="3" t="s">
        <v>41</v>
      </c>
      <c r="B1047" s="3">
        <v>2024.0</v>
      </c>
      <c r="C1047" s="3" t="s">
        <v>9</v>
      </c>
      <c r="D1047" s="3">
        <v>448.7</v>
      </c>
      <c r="E1047" s="3">
        <v>991.3</v>
      </c>
      <c r="F1047" s="3">
        <v>625.5</v>
      </c>
      <c r="G1047" s="3">
        <v>5.0</v>
      </c>
      <c r="H1047" s="3">
        <v>27.5</v>
      </c>
    </row>
    <row r="1048" ht="15.75" customHeight="1">
      <c r="A1048" s="3" t="s">
        <v>41</v>
      </c>
      <c r="B1048" s="3">
        <v>2024.0</v>
      </c>
      <c r="C1048" s="3" t="s">
        <v>10</v>
      </c>
      <c r="D1048" s="3">
        <v>448.3</v>
      </c>
      <c r="E1048" s="3">
        <v>1056.6</v>
      </c>
      <c r="F1048" s="3">
        <v>410.2</v>
      </c>
      <c r="G1048" s="3">
        <v>5.0</v>
      </c>
      <c r="H1048" s="3">
        <v>41.7</v>
      </c>
    </row>
    <row r="1049" ht="15.75" customHeight="1">
      <c r="A1049" s="3" t="s">
        <v>41</v>
      </c>
      <c r="B1049" s="3">
        <v>2024.0</v>
      </c>
      <c r="C1049" s="3" t="s">
        <v>11</v>
      </c>
      <c r="D1049" s="3">
        <v>324.0</v>
      </c>
      <c r="E1049" s="3">
        <v>847.3</v>
      </c>
      <c r="F1049" s="3">
        <v>302.9</v>
      </c>
      <c r="G1049" s="3">
        <v>12.0</v>
      </c>
      <c r="H1049" s="3">
        <v>2.9</v>
      </c>
    </row>
    <row r="1050" ht="15.75" customHeight="1">
      <c r="A1050" s="3" t="s">
        <v>41</v>
      </c>
      <c r="B1050" s="3">
        <v>2024.0</v>
      </c>
      <c r="C1050" s="3" t="s">
        <v>13</v>
      </c>
      <c r="D1050" s="3">
        <v>411.3</v>
      </c>
      <c r="E1050" s="3">
        <v>1189.5</v>
      </c>
      <c r="F1050" s="3">
        <v>540.0</v>
      </c>
      <c r="G1050" s="3">
        <v>7.0</v>
      </c>
      <c r="H1050" s="3">
        <v>49.6</v>
      </c>
    </row>
    <row r="1051" ht="15.75" customHeight="1">
      <c r="A1051" s="3" t="s">
        <v>41</v>
      </c>
      <c r="B1051" s="3">
        <v>2024.0</v>
      </c>
      <c r="C1051" s="3" t="s">
        <v>14</v>
      </c>
      <c r="D1051" s="3">
        <v>396.4</v>
      </c>
      <c r="E1051" s="3">
        <v>977.7</v>
      </c>
      <c r="F1051" s="3">
        <v>512.7</v>
      </c>
      <c r="G1051" s="3">
        <v>12.0</v>
      </c>
      <c r="H1051" s="3">
        <v>21.3</v>
      </c>
    </row>
    <row r="1052" ht="15.75" customHeight="1">
      <c r="A1052" s="3" t="s">
        <v>42</v>
      </c>
      <c r="B1052" s="3">
        <v>2015.0</v>
      </c>
      <c r="C1052" s="3" t="s">
        <v>9</v>
      </c>
      <c r="D1052" s="3">
        <v>111.6</v>
      </c>
      <c r="E1052" s="3">
        <v>259.9</v>
      </c>
      <c r="F1052" s="3">
        <v>123.7</v>
      </c>
      <c r="G1052" s="3">
        <v>2.0</v>
      </c>
      <c r="H1052" s="3">
        <v>27.9</v>
      </c>
    </row>
    <row r="1053" ht="15.75" customHeight="1">
      <c r="A1053" s="3" t="s">
        <v>42</v>
      </c>
      <c r="B1053" s="3">
        <v>2015.0</v>
      </c>
      <c r="C1053" s="3" t="s">
        <v>10</v>
      </c>
      <c r="D1053" s="3">
        <v>45.0</v>
      </c>
      <c r="E1053" s="3">
        <v>133.1</v>
      </c>
      <c r="F1053" s="3">
        <v>56.7</v>
      </c>
      <c r="G1053" s="3">
        <v>8.0</v>
      </c>
      <c r="H1053" s="3">
        <v>17.1</v>
      </c>
    </row>
    <row r="1054" ht="15.75" customHeight="1">
      <c r="A1054" s="3" t="s">
        <v>42</v>
      </c>
      <c r="B1054" s="3">
        <v>2015.0</v>
      </c>
      <c r="C1054" s="3" t="s">
        <v>11</v>
      </c>
      <c r="D1054" s="3">
        <v>66.8</v>
      </c>
      <c r="E1054" s="3">
        <v>183.7</v>
      </c>
      <c r="F1054" s="3">
        <v>63.2</v>
      </c>
      <c r="G1054" s="3">
        <v>7.0</v>
      </c>
      <c r="H1054" s="3">
        <v>20.4</v>
      </c>
    </row>
    <row r="1055" ht="15.75" customHeight="1">
      <c r="A1055" s="3" t="s">
        <v>42</v>
      </c>
      <c r="B1055" s="3">
        <v>2015.0</v>
      </c>
      <c r="C1055" s="3" t="s">
        <v>13</v>
      </c>
      <c r="D1055" s="3">
        <v>96.4</v>
      </c>
      <c r="E1055" s="3">
        <v>233.9</v>
      </c>
      <c r="F1055" s="3">
        <v>103.2</v>
      </c>
      <c r="G1055" s="3">
        <v>9.0</v>
      </c>
      <c r="H1055" s="3">
        <v>37.0</v>
      </c>
    </row>
    <row r="1056" ht="15.75" customHeight="1">
      <c r="A1056" s="3" t="s">
        <v>42</v>
      </c>
      <c r="B1056" s="3">
        <v>2015.0</v>
      </c>
      <c r="C1056" s="3" t="s">
        <v>14</v>
      </c>
      <c r="D1056" s="3">
        <v>84.4</v>
      </c>
      <c r="E1056" s="3">
        <v>173.7</v>
      </c>
      <c r="F1056" s="3">
        <v>83.0</v>
      </c>
      <c r="G1056" s="3">
        <v>6.0</v>
      </c>
      <c r="H1056" s="3">
        <v>6.0</v>
      </c>
    </row>
    <row r="1057" ht="15.75" customHeight="1">
      <c r="A1057" s="3" t="s">
        <v>42</v>
      </c>
      <c r="B1057" s="3">
        <v>2016.0</v>
      </c>
      <c r="C1057" s="3" t="s">
        <v>9</v>
      </c>
      <c r="D1057" s="3">
        <v>186.7</v>
      </c>
      <c r="E1057" s="3">
        <v>550.2</v>
      </c>
      <c r="F1057" s="3">
        <v>249.5</v>
      </c>
      <c r="G1057" s="3">
        <v>5.0</v>
      </c>
      <c r="H1057" s="3">
        <v>36.4</v>
      </c>
    </row>
    <row r="1058" ht="15.75" customHeight="1">
      <c r="A1058" s="3" t="s">
        <v>42</v>
      </c>
      <c r="B1058" s="3">
        <v>2016.0</v>
      </c>
      <c r="C1058" s="3" t="s">
        <v>10</v>
      </c>
      <c r="D1058" s="3">
        <v>120.2</v>
      </c>
      <c r="E1058" s="3">
        <v>333.6</v>
      </c>
      <c r="F1058" s="3">
        <v>143.5</v>
      </c>
      <c r="G1058" s="3">
        <v>6.0</v>
      </c>
      <c r="H1058" s="3">
        <v>19.6</v>
      </c>
    </row>
    <row r="1059" ht="15.75" customHeight="1">
      <c r="A1059" s="3" t="s">
        <v>42</v>
      </c>
      <c r="B1059" s="3">
        <v>2016.0</v>
      </c>
      <c r="C1059" s="3" t="s">
        <v>11</v>
      </c>
      <c r="D1059" s="3">
        <v>198.1</v>
      </c>
      <c r="E1059" s="3">
        <v>421.2</v>
      </c>
      <c r="F1059" s="3">
        <v>231.9</v>
      </c>
      <c r="G1059" s="3">
        <v>7.0</v>
      </c>
      <c r="H1059" s="3">
        <v>2.0</v>
      </c>
    </row>
    <row r="1060" ht="15.75" customHeight="1">
      <c r="A1060" s="3" t="s">
        <v>42</v>
      </c>
      <c r="B1060" s="3">
        <v>2016.0</v>
      </c>
      <c r="C1060" s="3" t="s">
        <v>13</v>
      </c>
      <c r="D1060" s="3">
        <v>131.6</v>
      </c>
      <c r="E1060" s="3">
        <v>334.1</v>
      </c>
      <c r="F1060" s="3">
        <v>194.5</v>
      </c>
      <c r="G1060" s="3">
        <v>9.0</v>
      </c>
      <c r="H1060" s="3">
        <v>22.1</v>
      </c>
    </row>
    <row r="1061" ht="15.75" customHeight="1">
      <c r="A1061" s="3" t="s">
        <v>42</v>
      </c>
      <c r="B1061" s="3">
        <v>2016.0</v>
      </c>
      <c r="C1061" s="3" t="s">
        <v>14</v>
      </c>
      <c r="D1061" s="3">
        <v>150.3</v>
      </c>
      <c r="E1061" s="3">
        <v>391.3</v>
      </c>
      <c r="F1061" s="3">
        <v>125.4</v>
      </c>
      <c r="G1061" s="3">
        <v>2.0</v>
      </c>
      <c r="H1061" s="3">
        <v>2.6</v>
      </c>
    </row>
    <row r="1062" ht="15.75" customHeight="1">
      <c r="A1062" s="3" t="s">
        <v>42</v>
      </c>
      <c r="B1062" s="3">
        <v>2017.0</v>
      </c>
      <c r="C1062" s="3" t="s">
        <v>9</v>
      </c>
      <c r="D1062" s="3">
        <v>120.2</v>
      </c>
      <c r="E1062" s="3">
        <v>245.4</v>
      </c>
      <c r="F1062" s="3">
        <v>125.4</v>
      </c>
      <c r="G1062" s="3">
        <v>2.0</v>
      </c>
      <c r="H1062" s="3">
        <v>47.5</v>
      </c>
    </row>
    <row r="1063" ht="15.75" customHeight="1">
      <c r="A1063" s="3" t="s">
        <v>42</v>
      </c>
      <c r="B1063" s="3">
        <v>2017.0</v>
      </c>
      <c r="C1063" s="3" t="s">
        <v>10</v>
      </c>
      <c r="D1063" s="3">
        <v>208.1</v>
      </c>
      <c r="E1063" s="3">
        <v>593.6</v>
      </c>
      <c r="F1063" s="3">
        <v>218.5</v>
      </c>
      <c r="G1063" s="3">
        <v>3.0</v>
      </c>
      <c r="H1063" s="3">
        <v>38.6</v>
      </c>
    </row>
    <row r="1064" ht="15.75" customHeight="1">
      <c r="A1064" s="3" t="s">
        <v>42</v>
      </c>
      <c r="B1064" s="3">
        <v>2017.0</v>
      </c>
      <c r="C1064" s="3" t="s">
        <v>11</v>
      </c>
      <c r="D1064" s="3">
        <v>185.5</v>
      </c>
      <c r="E1064" s="3">
        <v>550.7</v>
      </c>
      <c r="F1064" s="3">
        <v>241.1</v>
      </c>
      <c r="G1064" s="3">
        <v>3.0</v>
      </c>
      <c r="H1064" s="3">
        <v>37.9</v>
      </c>
    </row>
    <row r="1065" ht="15.75" customHeight="1">
      <c r="A1065" s="3" t="s">
        <v>42</v>
      </c>
      <c r="B1065" s="3">
        <v>2017.0</v>
      </c>
      <c r="C1065" s="3" t="s">
        <v>13</v>
      </c>
      <c r="D1065" s="3">
        <v>187.8</v>
      </c>
      <c r="E1065" s="3">
        <v>397.7</v>
      </c>
      <c r="F1065" s="3">
        <v>219.7</v>
      </c>
      <c r="G1065" s="3">
        <v>6.0</v>
      </c>
      <c r="H1065" s="3">
        <v>36.7</v>
      </c>
    </row>
    <row r="1066" ht="15.75" customHeight="1">
      <c r="A1066" s="3" t="s">
        <v>42</v>
      </c>
      <c r="B1066" s="3">
        <v>2017.0</v>
      </c>
      <c r="C1066" s="3" t="s">
        <v>14</v>
      </c>
      <c r="D1066" s="3">
        <v>276.2</v>
      </c>
      <c r="E1066" s="3">
        <v>555.1</v>
      </c>
      <c r="F1066" s="3">
        <v>258.6</v>
      </c>
      <c r="G1066" s="3">
        <v>10.0</v>
      </c>
      <c r="H1066" s="3">
        <v>14.2</v>
      </c>
    </row>
    <row r="1067" ht="15.75" customHeight="1">
      <c r="A1067" s="3" t="s">
        <v>42</v>
      </c>
      <c r="B1067" s="3">
        <v>2018.0</v>
      </c>
      <c r="C1067" s="3" t="s">
        <v>9</v>
      </c>
      <c r="D1067" s="3">
        <v>211.0</v>
      </c>
      <c r="E1067" s="3">
        <v>502.9</v>
      </c>
      <c r="F1067" s="3">
        <v>231.5</v>
      </c>
      <c r="G1067" s="3">
        <v>3.0</v>
      </c>
      <c r="H1067" s="3">
        <v>14.6</v>
      </c>
    </row>
    <row r="1068" ht="15.75" customHeight="1">
      <c r="A1068" s="3" t="s">
        <v>42</v>
      </c>
      <c r="B1068" s="3">
        <v>2018.0</v>
      </c>
      <c r="C1068" s="3" t="s">
        <v>10</v>
      </c>
      <c r="D1068" s="3">
        <v>149.0</v>
      </c>
      <c r="E1068" s="3">
        <v>355.8</v>
      </c>
      <c r="F1068" s="3">
        <v>165.4</v>
      </c>
      <c r="G1068" s="3">
        <v>5.0</v>
      </c>
      <c r="H1068" s="3">
        <v>19.2</v>
      </c>
    </row>
    <row r="1069" ht="15.75" customHeight="1">
      <c r="A1069" s="3" t="s">
        <v>42</v>
      </c>
      <c r="B1069" s="3">
        <v>2018.0</v>
      </c>
      <c r="C1069" s="3" t="s">
        <v>11</v>
      </c>
      <c r="D1069" s="3">
        <v>217.6</v>
      </c>
      <c r="E1069" s="3">
        <v>466.9</v>
      </c>
      <c r="F1069" s="3">
        <v>254.0</v>
      </c>
      <c r="G1069" s="3">
        <v>9.0</v>
      </c>
      <c r="H1069" s="3">
        <v>4.9</v>
      </c>
    </row>
    <row r="1070" ht="15.75" customHeight="1">
      <c r="A1070" s="3" t="s">
        <v>42</v>
      </c>
      <c r="B1070" s="3">
        <v>2018.0</v>
      </c>
      <c r="C1070" s="3" t="s">
        <v>13</v>
      </c>
      <c r="D1070" s="3">
        <v>210.7</v>
      </c>
      <c r="E1070" s="3">
        <v>614.1</v>
      </c>
      <c r="F1070" s="3">
        <v>294.5</v>
      </c>
      <c r="G1070" s="3">
        <v>7.0</v>
      </c>
      <c r="H1070" s="3">
        <v>3.6</v>
      </c>
    </row>
    <row r="1071" ht="15.75" customHeight="1">
      <c r="A1071" s="3" t="s">
        <v>42</v>
      </c>
      <c r="B1071" s="3">
        <v>2018.0</v>
      </c>
      <c r="C1071" s="3" t="s">
        <v>14</v>
      </c>
      <c r="D1071" s="3">
        <v>201.0</v>
      </c>
      <c r="E1071" s="3">
        <v>408.1</v>
      </c>
      <c r="F1071" s="3">
        <v>173.6</v>
      </c>
      <c r="G1071" s="3">
        <v>4.0</v>
      </c>
      <c r="H1071" s="3">
        <v>11.3</v>
      </c>
    </row>
    <row r="1072" ht="15.75" customHeight="1">
      <c r="A1072" s="3" t="s">
        <v>42</v>
      </c>
      <c r="B1072" s="3">
        <v>2019.0</v>
      </c>
      <c r="C1072" s="3" t="s">
        <v>9</v>
      </c>
      <c r="D1072" s="3">
        <v>242.7</v>
      </c>
      <c r="E1072" s="3">
        <v>536.7</v>
      </c>
      <c r="F1072" s="3">
        <v>328.8</v>
      </c>
      <c r="G1072" s="3">
        <v>9.0</v>
      </c>
      <c r="H1072" s="3">
        <v>4.3</v>
      </c>
    </row>
    <row r="1073" ht="15.75" customHeight="1">
      <c r="A1073" s="3" t="s">
        <v>42</v>
      </c>
      <c r="B1073" s="3">
        <v>2019.0</v>
      </c>
      <c r="C1073" s="3" t="s">
        <v>10</v>
      </c>
      <c r="D1073" s="3">
        <v>203.3</v>
      </c>
      <c r="E1073" s="3">
        <v>411.6</v>
      </c>
      <c r="F1073" s="3">
        <v>281.4</v>
      </c>
      <c r="G1073" s="3">
        <v>8.0</v>
      </c>
      <c r="H1073" s="3">
        <v>18.6</v>
      </c>
    </row>
    <row r="1074" ht="15.75" customHeight="1">
      <c r="A1074" s="3" t="s">
        <v>42</v>
      </c>
      <c r="B1074" s="3">
        <v>2019.0</v>
      </c>
      <c r="C1074" s="3" t="s">
        <v>11</v>
      </c>
      <c r="D1074" s="3">
        <v>252.4</v>
      </c>
      <c r="E1074" s="3">
        <v>587.1</v>
      </c>
      <c r="F1074" s="3">
        <v>240.9</v>
      </c>
      <c r="G1074" s="3">
        <v>11.0</v>
      </c>
      <c r="H1074" s="3">
        <v>13.3</v>
      </c>
    </row>
    <row r="1075" ht="15.75" customHeight="1">
      <c r="A1075" s="3" t="s">
        <v>42</v>
      </c>
      <c r="B1075" s="3">
        <v>2019.0</v>
      </c>
      <c r="C1075" s="3" t="s">
        <v>13</v>
      </c>
      <c r="D1075" s="3">
        <v>260.2</v>
      </c>
      <c r="E1075" s="3">
        <v>650.5</v>
      </c>
      <c r="F1075" s="3">
        <v>219.4</v>
      </c>
      <c r="G1075" s="3">
        <v>4.0</v>
      </c>
      <c r="H1075" s="3">
        <v>30.7</v>
      </c>
    </row>
    <row r="1076" ht="15.75" customHeight="1">
      <c r="A1076" s="3" t="s">
        <v>42</v>
      </c>
      <c r="B1076" s="3">
        <v>2019.0</v>
      </c>
      <c r="C1076" s="3" t="s">
        <v>14</v>
      </c>
      <c r="D1076" s="3">
        <v>258.7</v>
      </c>
      <c r="E1076" s="3">
        <v>604.5</v>
      </c>
      <c r="F1076" s="3">
        <v>301.0</v>
      </c>
      <c r="G1076" s="3">
        <v>11.0</v>
      </c>
      <c r="H1076" s="3">
        <v>5.2</v>
      </c>
    </row>
    <row r="1077" ht="15.75" customHeight="1">
      <c r="A1077" s="3" t="s">
        <v>42</v>
      </c>
      <c r="B1077" s="3">
        <v>2020.0</v>
      </c>
      <c r="C1077" s="3" t="s">
        <v>9</v>
      </c>
      <c r="D1077" s="3">
        <v>307.7</v>
      </c>
      <c r="E1077" s="3">
        <v>770.1</v>
      </c>
      <c r="F1077" s="3">
        <v>277.3</v>
      </c>
      <c r="G1077" s="3">
        <v>4.0</v>
      </c>
      <c r="H1077" s="3">
        <v>16.5</v>
      </c>
    </row>
    <row r="1078" ht="15.75" customHeight="1">
      <c r="A1078" s="3" t="s">
        <v>42</v>
      </c>
      <c r="B1078" s="3">
        <v>2020.0</v>
      </c>
      <c r="C1078" s="3" t="s">
        <v>10</v>
      </c>
      <c r="D1078" s="3">
        <v>267.6</v>
      </c>
      <c r="E1078" s="3">
        <v>549.3</v>
      </c>
      <c r="F1078" s="3">
        <v>355.4</v>
      </c>
      <c r="G1078" s="3">
        <v>7.0</v>
      </c>
      <c r="H1078" s="3">
        <v>44.2</v>
      </c>
    </row>
    <row r="1079" ht="15.75" customHeight="1">
      <c r="A1079" s="3" t="s">
        <v>42</v>
      </c>
      <c r="B1079" s="3">
        <v>2020.0</v>
      </c>
      <c r="C1079" s="3" t="s">
        <v>11</v>
      </c>
      <c r="D1079" s="3">
        <v>288.1</v>
      </c>
      <c r="E1079" s="3">
        <v>669.5</v>
      </c>
      <c r="F1079" s="3">
        <v>267.6</v>
      </c>
      <c r="G1079" s="3">
        <v>9.0</v>
      </c>
      <c r="H1079" s="3">
        <v>34.1</v>
      </c>
    </row>
    <row r="1080" ht="15.75" customHeight="1">
      <c r="A1080" s="3" t="s">
        <v>42</v>
      </c>
      <c r="B1080" s="3">
        <v>2020.0</v>
      </c>
      <c r="C1080" s="3" t="s">
        <v>13</v>
      </c>
      <c r="D1080" s="3">
        <v>274.1</v>
      </c>
      <c r="E1080" s="3">
        <v>701.6</v>
      </c>
      <c r="F1080" s="3">
        <v>293.4</v>
      </c>
      <c r="G1080" s="3">
        <v>11.0</v>
      </c>
      <c r="H1080" s="3">
        <v>37.6</v>
      </c>
    </row>
    <row r="1081" ht="15.75" customHeight="1">
      <c r="A1081" s="3" t="s">
        <v>42</v>
      </c>
      <c r="B1081" s="3">
        <v>2020.0</v>
      </c>
      <c r="C1081" s="3" t="s">
        <v>14</v>
      </c>
      <c r="D1081" s="3">
        <v>238.0</v>
      </c>
      <c r="E1081" s="3">
        <v>477.5</v>
      </c>
      <c r="F1081" s="3">
        <v>203.5</v>
      </c>
      <c r="G1081" s="3">
        <v>6.0</v>
      </c>
      <c r="H1081" s="3">
        <v>32.2</v>
      </c>
    </row>
    <row r="1082" ht="15.75" customHeight="1">
      <c r="A1082" s="3" t="s">
        <v>42</v>
      </c>
      <c r="B1082" s="3">
        <v>2021.0</v>
      </c>
      <c r="C1082" s="3" t="s">
        <v>9</v>
      </c>
      <c r="D1082" s="3">
        <v>318.8</v>
      </c>
      <c r="E1082" s="3">
        <v>723.9</v>
      </c>
      <c r="F1082" s="3">
        <v>337.7</v>
      </c>
      <c r="G1082" s="3">
        <v>11.0</v>
      </c>
      <c r="H1082" s="3">
        <v>25.6</v>
      </c>
    </row>
    <row r="1083" ht="15.75" customHeight="1">
      <c r="A1083" s="3" t="s">
        <v>42</v>
      </c>
      <c r="B1083" s="3">
        <v>2021.0</v>
      </c>
      <c r="C1083" s="3" t="s">
        <v>10</v>
      </c>
      <c r="D1083" s="3">
        <v>284.8</v>
      </c>
      <c r="E1083" s="3">
        <v>837.8</v>
      </c>
      <c r="F1083" s="3">
        <v>375.3</v>
      </c>
      <c r="G1083" s="3">
        <v>4.0</v>
      </c>
      <c r="H1083" s="3">
        <v>22.4</v>
      </c>
    </row>
    <row r="1084" ht="15.75" customHeight="1">
      <c r="A1084" s="3" t="s">
        <v>42</v>
      </c>
      <c r="B1084" s="3">
        <v>2021.0</v>
      </c>
      <c r="C1084" s="3" t="s">
        <v>11</v>
      </c>
      <c r="D1084" s="3">
        <v>265.2</v>
      </c>
      <c r="E1084" s="3">
        <v>610.3</v>
      </c>
      <c r="F1084" s="3">
        <v>283.4</v>
      </c>
      <c r="G1084" s="3">
        <v>3.0</v>
      </c>
      <c r="H1084" s="3">
        <v>37.7</v>
      </c>
    </row>
    <row r="1085" ht="15.75" customHeight="1">
      <c r="A1085" s="3" t="s">
        <v>42</v>
      </c>
      <c r="B1085" s="3">
        <v>2021.0</v>
      </c>
      <c r="C1085" s="3" t="s">
        <v>13</v>
      </c>
      <c r="D1085" s="3">
        <v>350.2</v>
      </c>
      <c r="E1085" s="3">
        <v>1018.7</v>
      </c>
      <c r="F1085" s="3">
        <v>287.3</v>
      </c>
      <c r="G1085" s="3">
        <v>4.0</v>
      </c>
      <c r="H1085" s="3">
        <v>22.9</v>
      </c>
    </row>
    <row r="1086" ht="15.75" customHeight="1">
      <c r="A1086" s="3" t="s">
        <v>42</v>
      </c>
      <c r="B1086" s="3">
        <v>2021.0</v>
      </c>
      <c r="C1086" s="3" t="s">
        <v>14</v>
      </c>
      <c r="D1086" s="3">
        <v>238.3</v>
      </c>
      <c r="E1086" s="3">
        <v>538.2</v>
      </c>
      <c r="F1086" s="3">
        <v>327.2</v>
      </c>
      <c r="G1086" s="3">
        <v>6.0</v>
      </c>
      <c r="H1086" s="3">
        <v>46.9</v>
      </c>
    </row>
    <row r="1087" ht="15.75" customHeight="1">
      <c r="A1087" s="3" t="s">
        <v>42</v>
      </c>
      <c r="B1087" s="3">
        <v>2022.0</v>
      </c>
      <c r="C1087" s="3" t="s">
        <v>9</v>
      </c>
      <c r="D1087" s="3">
        <v>393.9</v>
      </c>
      <c r="E1087" s="3">
        <v>864.7</v>
      </c>
      <c r="F1087" s="3">
        <v>339.0</v>
      </c>
      <c r="G1087" s="3">
        <v>12.0</v>
      </c>
      <c r="H1087" s="3">
        <v>13.1</v>
      </c>
    </row>
    <row r="1088" ht="15.75" customHeight="1">
      <c r="A1088" s="3" t="s">
        <v>42</v>
      </c>
      <c r="B1088" s="3">
        <v>2022.0</v>
      </c>
      <c r="C1088" s="3" t="s">
        <v>10</v>
      </c>
      <c r="D1088" s="3">
        <v>305.6</v>
      </c>
      <c r="E1088" s="3">
        <v>813.9</v>
      </c>
      <c r="F1088" s="3">
        <v>370.8</v>
      </c>
      <c r="G1088" s="3">
        <v>11.0</v>
      </c>
      <c r="H1088" s="3">
        <v>36.5</v>
      </c>
    </row>
    <row r="1089" ht="15.75" customHeight="1">
      <c r="A1089" s="3" t="s">
        <v>42</v>
      </c>
      <c r="B1089" s="3">
        <v>2022.0</v>
      </c>
      <c r="C1089" s="3" t="s">
        <v>11</v>
      </c>
      <c r="D1089" s="3">
        <v>397.5</v>
      </c>
      <c r="E1089" s="3">
        <v>1003.4</v>
      </c>
      <c r="F1089" s="3">
        <v>499.3</v>
      </c>
      <c r="G1089" s="3">
        <v>6.0</v>
      </c>
      <c r="H1089" s="3">
        <v>27.5</v>
      </c>
    </row>
    <row r="1090" ht="15.75" customHeight="1">
      <c r="A1090" s="3" t="s">
        <v>42</v>
      </c>
      <c r="B1090" s="3">
        <v>2022.0</v>
      </c>
      <c r="C1090" s="3" t="s">
        <v>13</v>
      </c>
      <c r="D1090" s="3">
        <v>342.8</v>
      </c>
      <c r="E1090" s="3">
        <v>940.5</v>
      </c>
      <c r="F1090" s="3">
        <v>379.4</v>
      </c>
      <c r="G1090" s="3">
        <v>7.0</v>
      </c>
      <c r="H1090" s="3">
        <v>7.8</v>
      </c>
    </row>
    <row r="1091" ht="15.75" customHeight="1">
      <c r="A1091" s="3" t="s">
        <v>42</v>
      </c>
      <c r="B1091" s="3">
        <v>2022.0</v>
      </c>
      <c r="C1091" s="3" t="s">
        <v>14</v>
      </c>
      <c r="D1091" s="3">
        <v>304.8</v>
      </c>
      <c r="E1091" s="3">
        <v>893.1</v>
      </c>
      <c r="F1091" s="3">
        <v>446.1</v>
      </c>
      <c r="G1091" s="3">
        <v>11.0</v>
      </c>
      <c r="H1091" s="3">
        <v>17.6</v>
      </c>
    </row>
    <row r="1092" ht="15.75" customHeight="1">
      <c r="A1092" s="3" t="s">
        <v>42</v>
      </c>
      <c r="B1092" s="3">
        <v>2023.0</v>
      </c>
      <c r="C1092" s="3" t="s">
        <v>9</v>
      </c>
      <c r="D1092" s="3">
        <v>326.1</v>
      </c>
      <c r="E1092" s="3">
        <v>798.9</v>
      </c>
      <c r="F1092" s="3">
        <v>433.5</v>
      </c>
      <c r="G1092" s="3">
        <v>6.0</v>
      </c>
      <c r="H1092" s="3">
        <v>30.5</v>
      </c>
    </row>
    <row r="1093" ht="15.75" customHeight="1">
      <c r="A1093" s="3" t="s">
        <v>42</v>
      </c>
      <c r="B1093" s="3">
        <v>2023.0</v>
      </c>
      <c r="C1093" s="3" t="s">
        <v>10</v>
      </c>
      <c r="D1093" s="3">
        <v>394.0</v>
      </c>
      <c r="E1093" s="3">
        <v>1140.6</v>
      </c>
      <c r="F1093" s="3">
        <v>389.1</v>
      </c>
      <c r="G1093" s="3">
        <v>7.0</v>
      </c>
      <c r="H1093" s="3">
        <v>36.5</v>
      </c>
    </row>
    <row r="1094" ht="15.75" customHeight="1">
      <c r="A1094" s="3" t="s">
        <v>42</v>
      </c>
      <c r="B1094" s="3">
        <v>2023.0</v>
      </c>
      <c r="C1094" s="3" t="s">
        <v>11</v>
      </c>
      <c r="D1094" s="3">
        <v>381.6</v>
      </c>
      <c r="E1094" s="3">
        <v>797.0</v>
      </c>
      <c r="F1094" s="3">
        <v>536.3</v>
      </c>
      <c r="G1094" s="3">
        <v>7.0</v>
      </c>
      <c r="H1094" s="3">
        <v>21.0</v>
      </c>
    </row>
    <row r="1095" ht="15.75" customHeight="1">
      <c r="A1095" s="3" t="s">
        <v>42</v>
      </c>
      <c r="B1095" s="3">
        <v>2023.0</v>
      </c>
      <c r="C1095" s="3" t="s">
        <v>13</v>
      </c>
      <c r="D1095" s="3">
        <v>333.7</v>
      </c>
      <c r="E1095" s="3">
        <v>747.3</v>
      </c>
      <c r="F1095" s="3">
        <v>364.6</v>
      </c>
      <c r="G1095" s="3">
        <v>10.0</v>
      </c>
      <c r="H1095" s="3">
        <v>16.7</v>
      </c>
    </row>
    <row r="1096" ht="15.75" customHeight="1">
      <c r="A1096" s="3" t="s">
        <v>42</v>
      </c>
      <c r="B1096" s="3">
        <v>2023.0</v>
      </c>
      <c r="C1096" s="3" t="s">
        <v>14</v>
      </c>
      <c r="D1096" s="3">
        <v>374.1</v>
      </c>
      <c r="E1096" s="3">
        <v>882.4</v>
      </c>
      <c r="F1096" s="3">
        <v>510.9</v>
      </c>
      <c r="G1096" s="3">
        <v>8.0</v>
      </c>
      <c r="H1096" s="3">
        <v>37.6</v>
      </c>
    </row>
    <row r="1097" ht="15.75" customHeight="1">
      <c r="A1097" s="3" t="s">
        <v>42</v>
      </c>
      <c r="B1097" s="3">
        <v>2024.0</v>
      </c>
      <c r="C1097" s="3" t="s">
        <v>9</v>
      </c>
      <c r="D1097" s="3">
        <v>420.2</v>
      </c>
      <c r="E1097" s="3">
        <v>1158.3</v>
      </c>
      <c r="F1097" s="3">
        <v>433.8</v>
      </c>
      <c r="G1097" s="3">
        <v>10.0</v>
      </c>
      <c r="H1097" s="3">
        <v>20.3</v>
      </c>
    </row>
    <row r="1098" ht="15.75" customHeight="1">
      <c r="A1098" s="3" t="s">
        <v>42</v>
      </c>
      <c r="B1098" s="3">
        <v>2024.0</v>
      </c>
      <c r="C1098" s="3" t="s">
        <v>10</v>
      </c>
      <c r="D1098" s="3">
        <v>339.1</v>
      </c>
      <c r="E1098" s="3">
        <v>952.1</v>
      </c>
      <c r="F1098" s="3">
        <v>329.8</v>
      </c>
      <c r="G1098" s="3">
        <v>11.0</v>
      </c>
      <c r="H1098" s="3">
        <v>41.7</v>
      </c>
    </row>
    <row r="1099" ht="15.75" customHeight="1">
      <c r="A1099" s="3" t="s">
        <v>42</v>
      </c>
      <c r="B1099" s="3">
        <v>2024.0</v>
      </c>
      <c r="C1099" s="3" t="s">
        <v>11</v>
      </c>
      <c r="D1099" s="3">
        <v>377.9</v>
      </c>
      <c r="E1099" s="3">
        <v>1080.4</v>
      </c>
      <c r="F1099" s="3">
        <v>470.0</v>
      </c>
      <c r="G1099" s="3">
        <v>11.0</v>
      </c>
      <c r="H1099" s="3">
        <v>43.8</v>
      </c>
    </row>
    <row r="1100" ht="15.75" customHeight="1">
      <c r="A1100" s="3" t="s">
        <v>42</v>
      </c>
      <c r="B1100" s="3">
        <v>2024.0</v>
      </c>
      <c r="C1100" s="3" t="s">
        <v>13</v>
      </c>
      <c r="D1100" s="3">
        <v>478.4</v>
      </c>
      <c r="E1100" s="3">
        <v>1068.4</v>
      </c>
      <c r="F1100" s="3">
        <v>672.2</v>
      </c>
      <c r="G1100" s="3">
        <v>9.0</v>
      </c>
      <c r="H1100" s="3">
        <v>26.9</v>
      </c>
    </row>
    <row r="1101" ht="15.75" customHeight="1">
      <c r="A1101" s="3" t="s">
        <v>42</v>
      </c>
      <c r="B1101" s="3">
        <v>2024.0</v>
      </c>
      <c r="C1101" s="3" t="s">
        <v>14</v>
      </c>
      <c r="D1101" s="3">
        <v>396.3</v>
      </c>
      <c r="E1101" s="3">
        <v>982.9</v>
      </c>
      <c r="F1101" s="3">
        <v>433.4</v>
      </c>
      <c r="G1101" s="3">
        <v>7.0</v>
      </c>
      <c r="H1101" s="3">
        <v>4.6</v>
      </c>
    </row>
    <row r="1102" ht="15.75" customHeight="1">
      <c r="A1102" s="3" t="s">
        <v>43</v>
      </c>
      <c r="B1102" s="3">
        <v>2015.0</v>
      </c>
      <c r="C1102" s="3" t="s">
        <v>9</v>
      </c>
      <c r="D1102" s="3">
        <v>127.0</v>
      </c>
      <c r="E1102" s="3">
        <v>290.0</v>
      </c>
      <c r="F1102" s="3">
        <v>126.8</v>
      </c>
      <c r="G1102" s="3">
        <v>4.0</v>
      </c>
      <c r="H1102" s="3">
        <v>18.6</v>
      </c>
    </row>
    <row r="1103" ht="15.75" customHeight="1">
      <c r="A1103" s="3" t="s">
        <v>43</v>
      </c>
      <c r="B1103" s="3">
        <v>2015.0</v>
      </c>
      <c r="C1103" s="3" t="s">
        <v>10</v>
      </c>
      <c r="D1103" s="3">
        <v>120.3</v>
      </c>
      <c r="E1103" s="3">
        <v>277.3</v>
      </c>
      <c r="F1103" s="3">
        <v>98.4</v>
      </c>
      <c r="G1103" s="3">
        <v>8.0</v>
      </c>
      <c r="H1103" s="3">
        <v>19.6</v>
      </c>
    </row>
    <row r="1104" ht="15.75" customHeight="1">
      <c r="A1104" s="3" t="s">
        <v>43</v>
      </c>
      <c r="B1104" s="3">
        <v>2015.0</v>
      </c>
      <c r="C1104" s="3" t="s">
        <v>11</v>
      </c>
      <c r="D1104" s="3">
        <v>120.7</v>
      </c>
      <c r="E1104" s="3">
        <v>337.9</v>
      </c>
      <c r="F1104" s="3">
        <v>119.2</v>
      </c>
      <c r="G1104" s="3">
        <v>4.0</v>
      </c>
      <c r="H1104" s="3">
        <v>33.4</v>
      </c>
    </row>
    <row r="1105" ht="15.75" customHeight="1">
      <c r="A1105" s="3" t="s">
        <v>43</v>
      </c>
      <c r="B1105" s="3">
        <v>2015.0</v>
      </c>
      <c r="C1105" s="3" t="s">
        <v>13</v>
      </c>
      <c r="D1105" s="3">
        <v>110.3</v>
      </c>
      <c r="E1105" s="3">
        <v>258.0</v>
      </c>
      <c r="F1105" s="3">
        <v>126.7</v>
      </c>
      <c r="G1105" s="3">
        <v>7.0</v>
      </c>
      <c r="H1105" s="3">
        <v>11.7</v>
      </c>
    </row>
    <row r="1106" ht="15.75" customHeight="1">
      <c r="A1106" s="3" t="s">
        <v>43</v>
      </c>
      <c r="B1106" s="3">
        <v>2015.0</v>
      </c>
      <c r="C1106" s="3" t="s">
        <v>14</v>
      </c>
      <c r="D1106" s="3">
        <v>91.6</v>
      </c>
      <c r="E1106" s="3">
        <v>226.2</v>
      </c>
      <c r="F1106" s="3">
        <v>111.2</v>
      </c>
      <c r="G1106" s="3">
        <v>3.0</v>
      </c>
      <c r="H1106" s="3">
        <v>4.7</v>
      </c>
    </row>
    <row r="1107" ht="15.75" customHeight="1">
      <c r="A1107" s="3" t="s">
        <v>43</v>
      </c>
      <c r="B1107" s="3">
        <v>2016.0</v>
      </c>
      <c r="C1107" s="3" t="s">
        <v>9</v>
      </c>
      <c r="D1107" s="3">
        <v>170.3</v>
      </c>
      <c r="E1107" s="3">
        <v>346.6</v>
      </c>
      <c r="F1107" s="3">
        <v>204.8</v>
      </c>
      <c r="G1107" s="3">
        <v>7.0</v>
      </c>
      <c r="H1107" s="3">
        <v>17.5</v>
      </c>
    </row>
    <row r="1108" ht="15.75" customHeight="1">
      <c r="A1108" s="3" t="s">
        <v>43</v>
      </c>
      <c r="B1108" s="3">
        <v>2016.0</v>
      </c>
      <c r="C1108" s="3" t="s">
        <v>10</v>
      </c>
      <c r="D1108" s="3">
        <v>203.9</v>
      </c>
      <c r="E1108" s="3">
        <v>504.4</v>
      </c>
      <c r="F1108" s="3">
        <v>163.7</v>
      </c>
      <c r="G1108" s="3">
        <v>11.0</v>
      </c>
      <c r="H1108" s="3">
        <v>21.4</v>
      </c>
    </row>
    <row r="1109" ht="15.75" customHeight="1">
      <c r="A1109" s="3" t="s">
        <v>43</v>
      </c>
      <c r="B1109" s="3">
        <v>2016.0</v>
      </c>
      <c r="C1109" s="3" t="s">
        <v>11</v>
      </c>
      <c r="D1109" s="3">
        <v>117.7</v>
      </c>
      <c r="E1109" s="3">
        <v>313.6</v>
      </c>
      <c r="F1109" s="3">
        <v>152.6</v>
      </c>
      <c r="G1109" s="3">
        <v>3.0</v>
      </c>
      <c r="H1109" s="3">
        <v>44.5</v>
      </c>
    </row>
    <row r="1110" ht="15.75" customHeight="1">
      <c r="A1110" s="3" t="s">
        <v>43</v>
      </c>
      <c r="B1110" s="3">
        <v>2016.0</v>
      </c>
      <c r="C1110" s="3" t="s">
        <v>13</v>
      </c>
      <c r="D1110" s="3">
        <v>187.3</v>
      </c>
      <c r="E1110" s="3">
        <v>522.5</v>
      </c>
      <c r="F1110" s="3">
        <v>233.6</v>
      </c>
      <c r="G1110" s="3">
        <v>8.0</v>
      </c>
      <c r="H1110" s="3">
        <v>24.4</v>
      </c>
    </row>
    <row r="1111" ht="15.75" customHeight="1">
      <c r="A1111" s="3" t="s">
        <v>43</v>
      </c>
      <c r="B1111" s="3">
        <v>2016.0</v>
      </c>
      <c r="C1111" s="3" t="s">
        <v>14</v>
      </c>
      <c r="D1111" s="3">
        <v>157.4</v>
      </c>
      <c r="E1111" s="3">
        <v>453.7</v>
      </c>
      <c r="F1111" s="3">
        <v>173.7</v>
      </c>
      <c r="G1111" s="3">
        <v>4.0</v>
      </c>
      <c r="H1111" s="3">
        <v>21.0</v>
      </c>
    </row>
    <row r="1112" ht="15.75" customHeight="1">
      <c r="A1112" s="3" t="s">
        <v>43</v>
      </c>
      <c r="B1112" s="3">
        <v>2017.0</v>
      </c>
      <c r="C1112" s="3" t="s">
        <v>9</v>
      </c>
      <c r="D1112" s="3">
        <v>238.1</v>
      </c>
      <c r="E1112" s="3">
        <v>517.6</v>
      </c>
      <c r="F1112" s="3">
        <v>350.9</v>
      </c>
      <c r="G1112" s="3">
        <v>11.0</v>
      </c>
      <c r="H1112" s="3">
        <v>9.7</v>
      </c>
    </row>
    <row r="1113" ht="15.75" customHeight="1">
      <c r="A1113" s="3" t="s">
        <v>43</v>
      </c>
      <c r="B1113" s="3">
        <v>2017.0</v>
      </c>
      <c r="C1113" s="3" t="s">
        <v>10</v>
      </c>
      <c r="D1113" s="3">
        <v>189.2</v>
      </c>
      <c r="E1113" s="3">
        <v>567.3</v>
      </c>
      <c r="F1113" s="3">
        <v>189.3</v>
      </c>
      <c r="G1113" s="3">
        <v>2.0</v>
      </c>
      <c r="H1113" s="3">
        <v>30.3</v>
      </c>
    </row>
    <row r="1114" ht="15.75" customHeight="1">
      <c r="A1114" s="3" t="s">
        <v>43</v>
      </c>
      <c r="B1114" s="3">
        <v>2017.0</v>
      </c>
      <c r="C1114" s="3" t="s">
        <v>11</v>
      </c>
      <c r="D1114" s="3">
        <v>183.6</v>
      </c>
      <c r="E1114" s="3">
        <v>512.8</v>
      </c>
      <c r="F1114" s="3">
        <v>263.3</v>
      </c>
      <c r="G1114" s="3">
        <v>5.0</v>
      </c>
      <c r="H1114" s="3">
        <v>12.4</v>
      </c>
    </row>
    <row r="1115" ht="15.75" customHeight="1">
      <c r="A1115" s="3" t="s">
        <v>43</v>
      </c>
      <c r="B1115" s="3">
        <v>2017.0</v>
      </c>
      <c r="C1115" s="3" t="s">
        <v>13</v>
      </c>
      <c r="D1115" s="3">
        <v>123.0</v>
      </c>
      <c r="E1115" s="3">
        <v>286.3</v>
      </c>
      <c r="F1115" s="3">
        <v>108.1</v>
      </c>
      <c r="G1115" s="3">
        <v>5.0</v>
      </c>
      <c r="H1115" s="3">
        <v>32.2</v>
      </c>
    </row>
    <row r="1116" ht="15.75" customHeight="1">
      <c r="A1116" s="3" t="s">
        <v>43</v>
      </c>
      <c r="B1116" s="3">
        <v>2017.0</v>
      </c>
      <c r="C1116" s="3" t="s">
        <v>14</v>
      </c>
      <c r="D1116" s="3">
        <v>220.0</v>
      </c>
      <c r="E1116" s="3">
        <v>539.7</v>
      </c>
      <c r="F1116" s="3">
        <v>328.3</v>
      </c>
      <c r="G1116" s="3">
        <v>9.0</v>
      </c>
      <c r="H1116" s="3">
        <v>18.4</v>
      </c>
    </row>
    <row r="1117" ht="15.75" customHeight="1">
      <c r="A1117" s="3" t="s">
        <v>43</v>
      </c>
      <c r="B1117" s="3">
        <v>2018.0</v>
      </c>
      <c r="C1117" s="3" t="s">
        <v>9</v>
      </c>
      <c r="D1117" s="3">
        <v>181.1</v>
      </c>
      <c r="E1117" s="3">
        <v>462.1</v>
      </c>
      <c r="F1117" s="3">
        <v>220.7</v>
      </c>
      <c r="G1117" s="3">
        <v>5.0</v>
      </c>
      <c r="H1117" s="3">
        <v>43.9</v>
      </c>
    </row>
    <row r="1118" ht="15.75" customHeight="1">
      <c r="A1118" s="3" t="s">
        <v>43</v>
      </c>
      <c r="B1118" s="3">
        <v>2018.0</v>
      </c>
      <c r="C1118" s="3" t="s">
        <v>10</v>
      </c>
      <c r="D1118" s="3">
        <v>215.2</v>
      </c>
      <c r="E1118" s="3">
        <v>549.0</v>
      </c>
      <c r="F1118" s="3">
        <v>296.6</v>
      </c>
      <c r="G1118" s="3">
        <v>8.0</v>
      </c>
      <c r="H1118" s="3">
        <v>7.1</v>
      </c>
    </row>
    <row r="1119" ht="15.75" customHeight="1">
      <c r="A1119" s="3" t="s">
        <v>43</v>
      </c>
      <c r="B1119" s="3">
        <v>2018.0</v>
      </c>
      <c r="C1119" s="3" t="s">
        <v>11</v>
      </c>
      <c r="D1119" s="3">
        <v>180.7</v>
      </c>
      <c r="E1119" s="3">
        <v>485.7</v>
      </c>
      <c r="F1119" s="3">
        <v>177.4</v>
      </c>
      <c r="G1119" s="3">
        <v>8.0</v>
      </c>
      <c r="H1119" s="3">
        <v>16.3</v>
      </c>
    </row>
    <row r="1120" ht="15.75" customHeight="1">
      <c r="A1120" s="3" t="s">
        <v>43</v>
      </c>
      <c r="B1120" s="3">
        <v>2018.0</v>
      </c>
      <c r="C1120" s="3" t="s">
        <v>13</v>
      </c>
      <c r="D1120" s="3">
        <v>165.3</v>
      </c>
      <c r="E1120" s="3">
        <v>348.9</v>
      </c>
      <c r="F1120" s="3">
        <v>157.6</v>
      </c>
      <c r="G1120" s="3">
        <v>4.0</v>
      </c>
      <c r="H1120" s="3">
        <v>27.2</v>
      </c>
    </row>
    <row r="1121" ht="15.75" customHeight="1">
      <c r="A1121" s="3" t="s">
        <v>43</v>
      </c>
      <c r="B1121" s="3">
        <v>2018.0</v>
      </c>
      <c r="C1121" s="3" t="s">
        <v>14</v>
      </c>
      <c r="D1121" s="3">
        <v>234.3</v>
      </c>
      <c r="E1121" s="3">
        <v>655.8</v>
      </c>
      <c r="F1121" s="3">
        <v>308.7</v>
      </c>
      <c r="G1121" s="3">
        <v>10.0</v>
      </c>
      <c r="H1121" s="3">
        <v>17.4</v>
      </c>
    </row>
    <row r="1122" ht="15.75" customHeight="1">
      <c r="A1122" s="3" t="s">
        <v>43</v>
      </c>
      <c r="B1122" s="3">
        <v>2019.0</v>
      </c>
      <c r="C1122" s="3" t="s">
        <v>9</v>
      </c>
      <c r="D1122" s="3">
        <v>262.7</v>
      </c>
      <c r="E1122" s="3">
        <v>737.5</v>
      </c>
      <c r="F1122" s="3">
        <v>303.7</v>
      </c>
      <c r="G1122" s="3">
        <v>3.0</v>
      </c>
      <c r="H1122" s="3">
        <v>12.5</v>
      </c>
    </row>
    <row r="1123" ht="15.75" customHeight="1">
      <c r="A1123" s="3" t="s">
        <v>43</v>
      </c>
      <c r="B1123" s="3">
        <v>2019.0</v>
      </c>
      <c r="C1123" s="3" t="s">
        <v>10</v>
      </c>
      <c r="D1123" s="3">
        <v>240.4</v>
      </c>
      <c r="E1123" s="3">
        <v>705.8</v>
      </c>
      <c r="F1123" s="3">
        <v>292.9</v>
      </c>
      <c r="G1123" s="3">
        <v>8.0</v>
      </c>
      <c r="H1123" s="3">
        <v>24.6</v>
      </c>
    </row>
    <row r="1124" ht="15.75" customHeight="1">
      <c r="A1124" s="3" t="s">
        <v>43</v>
      </c>
      <c r="B1124" s="3">
        <v>2019.0</v>
      </c>
      <c r="C1124" s="3" t="s">
        <v>11</v>
      </c>
      <c r="D1124" s="3">
        <v>251.3</v>
      </c>
      <c r="E1124" s="3">
        <v>552.1</v>
      </c>
      <c r="F1124" s="3">
        <v>238.6</v>
      </c>
      <c r="G1124" s="3">
        <v>3.0</v>
      </c>
      <c r="H1124" s="3">
        <v>20.8</v>
      </c>
    </row>
    <row r="1125" ht="15.75" customHeight="1">
      <c r="A1125" s="3" t="s">
        <v>43</v>
      </c>
      <c r="B1125" s="3">
        <v>2019.0</v>
      </c>
      <c r="C1125" s="3" t="s">
        <v>13</v>
      </c>
      <c r="D1125" s="3">
        <v>230.3</v>
      </c>
      <c r="E1125" s="3">
        <v>657.0</v>
      </c>
      <c r="F1125" s="3">
        <v>246.7</v>
      </c>
      <c r="G1125" s="3">
        <v>10.0</v>
      </c>
      <c r="H1125" s="3">
        <v>46.8</v>
      </c>
    </row>
    <row r="1126" ht="15.75" customHeight="1">
      <c r="A1126" s="3" t="s">
        <v>43</v>
      </c>
      <c r="B1126" s="3">
        <v>2019.0</v>
      </c>
      <c r="C1126" s="3" t="s">
        <v>14</v>
      </c>
      <c r="D1126" s="3">
        <v>256.0</v>
      </c>
      <c r="E1126" s="3">
        <v>670.5</v>
      </c>
      <c r="F1126" s="3">
        <v>233.4</v>
      </c>
      <c r="G1126" s="3">
        <v>6.0</v>
      </c>
      <c r="H1126" s="3">
        <v>29.7</v>
      </c>
    </row>
    <row r="1127" ht="15.75" customHeight="1">
      <c r="A1127" s="3" t="s">
        <v>43</v>
      </c>
      <c r="B1127" s="3">
        <v>2020.0</v>
      </c>
      <c r="C1127" s="3" t="s">
        <v>9</v>
      </c>
      <c r="D1127" s="3">
        <v>255.1</v>
      </c>
      <c r="E1127" s="3">
        <v>693.7</v>
      </c>
      <c r="F1127" s="3">
        <v>337.2</v>
      </c>
      <c r="G1127" s="3">
        <v>11.0</v>
      </c>
      <c r="H1127" s="3">
        <v>17.2</v>
      </c>
    </row>
    <row r="1128" ht="15.75" customHeight="1">
      <c r="A1128" s="3" t="s">
        <v>43</v>
      </c>
      <c r="B1128" s="3">
        <v>2020.0</v>
      </c>
      <c r="C1128" s="3" t="s">
        <v>10</v>
      </c>
      <c r="D1128" s="3">
        <v>220.1</v>
      </c>
      <c r="E1128" s="3">
        <v>572.0</v>
      </c>
      <c r="F1128" s="3">
        <v>187.1</v>
      </c>
      <c r="G1128" s="3">
        <v>9.0</v>
      </c>
      <c r="H1128" s="3">
        <v>45.5</v>
      </c>
    </row>
    <row r="1129" ht="15.75" customHeight="1">
      <c r="A1129" s="3" t="s">
        <v>43</v>
      </c>
      <c r="B1129" s="3">
        <v>2020.0</v>
      </c>
      <c r="C1129" s="3" t="s">
        <v>11</v>
      </c>
      <c r="D1129" s="3">
        <v>214.7</v>
      </c>
      <c r="E1129" s="3">
        <v>433.5</v>
      </c>
      <c r="F1129" s="3">
        <v>220.9</v>
      </c>
      <c r="G1129" s="3">
        <v>11.0</v>
      </c>
      <c r="H1129" s="3">
        <v>45.6</v>
      </c>
    </row>
    <row r="1130" ht="15.75" customHeight="1">
      <c r="A1130" s="3" t="s">
        <v>43</v>
      </c>
      <c r="B1130" s="3">
        <v>2020.0</v>
      </c>
      <c r="C1130" s="3" t="s">
        <v>13</v>
      </c>
      <c r="D1130" s="3">
        <v>268.5</v>
      </c>
      <c r="E1130" s="3">
        <v>755.7</v>
      </c>
      <c r="F1130" s="3">
        <v>258.8</v>
      </c>
      <c r="G1130" s="3">
        <v>6.0</v>
      </c>
      <c r="H1130" s="3">
        <v>15.9</v>
      </c>
    </row>
    <row r="1131" ht="15.75" customHeight="1">
      <c r="A1131" s="3" t="s">
        <v>43</v>
      </c>
      <c r="B1131" s="3">
        <v>2020.0</v>
      </c>
      <c r="C1131" s="3" t="s">
        <v>14</v>
      </c>
      <c r="D1131" s="3">
        <v>232.1</v>
      </c>
      <c r="E1131" s="3">
        <v>537.3</v>
      </c>
      <c r="F1131" s="3">
        <v>235.5</v>
      </c>
      <c r="G1131" s="3">
        <v>11.0</v>
      </c>
      <c r="H1131" s="3">
        <v>47.9</v>
      </c>
    </row>
    <row r="1132" ht="15.75" customHeight="1">
      <c r="A1132" s="3" t="s">
        <v>43</v>
      </c>
      <c r="B1132" s="3">
        <v>2021.0</v>
      </c>
      <c r="C1132" s="3" t="s">
        <v>9</v>
      </c>
      <c r="D1132" s="3">
        <v>342.5</v>
      </c>
      <c r="E1132" s="3">
        <v>800.3</v>
      </c>
      <c r="F1132" s="3">
        <v>352.8</v>
      </c>
      <c r="G1132" s="3">
        <v>12.0</v>
      </c>
      <c r="H1132" s="3">
        <v>24.4</v>
      </c>
    </row>
    <row r="1133" ht="15.75" customHeight="1">
      <c r="A1133" s="3" t="s">
        <v>43</v>
      </c>
      <c r="B1133" s="3">
        <v>2021.0</v>
      </c>
      <c r="C1133" s="3" t="s">
        <v>10</v>
      </c>
      <c r="D1133" s="3">
        <v>297.9</v>
      </c>
      <c r="E1133" s="3">
        <v>824.8</v>
      </c>
      <c r="F1133" s="3">
        <v>293.7</v>
      </c>
      <c r="G1133" s="3">
        <v>11.0</v>
      </c>
      <c r="H1133" s="3">
        <v>1.5</v>
      </c>
    </row>
    <row r="1134" ht="15.75" customHeight="1">
      <c r="A1134" s="3" t="s">
        <v>43</v>
      </c>
      <c r="B1134" s="3">
        <v>2021.0</v>
      </c>
      <c r="C1134" s="3" t="s">
        <v>11</v>
      </c>
      <c r="D1134" s="3">
        <v>348.8</v>
      </c>
      <c r="E1134" s="3">
        <v>699.2</v>
      </c>
      <c r="F1134" s="3">
        <v>507.7</v>
      </c>
      <c r="G1134" s="3">
        <v>4.0</v>
      </c>
      <c r="H1134" s="3">
        <v>8.3</v>
      </c>
    </row>
    <row r="1135" ht="15.75" customHeight="1">
      <c r="A1135" s="3" t="s">
        <v>43</v>
      </c>
      <c r="B1135" s="3">
        <v>2021.0</v>
      </c>
      <c r="C1135" s="3" t="s">
        <v>13</v>
      </c>
      <c r="D1135" s="3">
        <v>328.5</v>
      </c>
      <c r="E1135" s="3">
        <v>873.6</v>
      </c>
      <c r="F1135" s="3">
        <v>380.2</v>
      </c>
      <c r="G1135" s="3">
        <v>5.0</v>
      </c>
      <c r="H1135" s="3">
        <v>41.9</v>
      </c>
    </row>
    <row r="1136" ht="15.75" customHeight="1">
      <c r="A1136" s="3" t="s">
        <v>43</v>
      </c>
      <c r="B1136" s="3">
        <v>2021.0</v>
      </c>
      <c r="C1136" s="3" t="s">
        <v>14</v>
      </c>
      <c r="D1136" s="3">
        <v>301.9</v>
      </c>
      <c r="E1136" s="3">
        <v>847.4</v>
      </c>
      <c r="F1136" s="3">
        <v>242.3</v>
      </c>
      <c r="G1136" s="3">
        <v>5.0</v>
      </c>
      <c r="H1136" s="3">
        <v>21.7</v>
      </c>
    </row>
    <row r="1137" ht="15.75" customHeight="1">
      <c r="A1137" s="3" t="s">
        <v>43</v>
      </c>
      <c r="B1137" s="3">
        <v>2022.0</v>
      </c>
      <c r="C1137" s="3" t="s">
        <v>9</v>
      </c>
      <c r="D1137" s="3">
        <v>351.4</v>
      </c>
      <c r="E1137" s="3">
        <v>941.9</v>
      </c>
      <c r="F1137" s="3">
        <v>492.4</v>
      </c>
      <c r="G1137" s="3">
        <v>11.0</v>
      </c>
      <c r="H1137" s="3">
        <v>32.5</v>
      </c>
    </row>
    <row r="1138" ht="15.75" customHeight="1">
      <c r="A1138" s="3" t="s">
        <v>43</v>
      </c>
      <c r="B1138" s="3">
        <v>2022.0</v>
      </c>
      <c r="C1138" s="3" t="s">
        <v>10</v>
      </c>
      <c r="D1138" s="3">
        <v>335.7</v>
      </c>
      <c r="E1138" s="3">
        <v>763.4</v>
      </c>
      <c r="F1138" s="3">
        <v>456.8</v>
      </c>
      <c r="G1138" s="3">
        <v>12.0</v>
      </c>
      <c r="H1138" s="3">
        <v>24.7</v>
      </c>
    </row>
    <row r="1139" ht="15.75" customHeight="1">
      <c r="A1139" s="3" t="s">
        <v>43</v>
      </c>
      <c r="B1139" s="3">
        <v>2022.0</v>
      </c>
      <c r="C1139" s="3" t="s">
        <v>11</v>
      </c>
      <c r="D1139" s="3">
        <v>347.5</v>
      </c>
      <c r="E1139" s="3">
        <v>719.2</v>
      </c>
      <c r="F1139" s="3">
        <v>292.2</v>
      </c>
      <c r="G1139" s="3">
        <v>7.0</v>
      </c>
      <c r="H1139" s="3">
        <v>11.6</v>
      </c>
    </row>
    <row r="1140" ht="15.75" customHeight="1">
      <c r="A1140" s="3" t="s">
        <v>43</v>
      </c>
      <c r="B1140" s="3">
        <v>2022.0</v>
      </c>
      <c r="C1140" s="3" t="s">
        <v>13</v>
      </c>
      <c r="D1140" s="3">
        <v>377.1</v>
      </c>
      <c r="E1140" s="3">
        <v>1007.6</v>
      </c>
      <c r="F1140" s="3">
        <v>441.8</v>
      </c>
      <c r="G1140" s="3">
        <v>9.0</v>
      </c>
      <c r="H1140" s="3">
        <v>21.2</v>
      </c>
    </row>
    <row r="1141" ht="15.75" customHeight="1">
      <c r="A1141" s="3" t="s">
        <v>43</v>
      </c>
      <c r="B1141" s="3">
        <v>2022.0</v>
      </c>
      <c r="C1141" s="3" t="s">
        <v>14</v>
      </c>
      <c r="D1141" s="3">
        <v>313.6</v>
      </c>
      <c r="E1141" s="3">
        <v>898.8</v>
      </c>
      <c r="F1141" s="3">
        <v>288.7</v>
      </c>
      <c r="G1141" s="3">
        <v>7.0</v>
      </c>
      <c r="H1141" s="3">
        <v>28.7</v>
      </c>
    </row>
    <row r="1142" ht="15.75" customHeight="1">
      <c r="A1142" s="3" t="s">
        <v>43</v>
      </c>
      <c r="B1142" s="3">
        <v>2023.0</v>
      </c>
      <c r="C1142" s="3" t="s">
        <v>9</v>
      </c>
      <c r="D1142" s="3">
        <v>447.4</v>
      </c>
      <c r="E1142" s="3">
        <v>1065.9</v>
      </c>
      <c r="F1142" s="3">
        <v>446.2</v>
      </c>
      <c r="G1142" s="3">
        <v>10.0</v>
      </c>
      <c r="H1142" s="3">
        <v>33.0</v>
      </c>
    </row>
    <row r="1143" ht="15.75" customHeight="1">
      <c r="A1143" s="3" t="s">
        <v>43</v>
      </c>
      <c r="B1143" s="3">
        <v>2023.0</v>
      </c>
      <c r="C1143" s="3" t="s">
        <v>10</v>
      </c>
      <c r="D1143" s="3">
        <v>377.1</v>
      </c>
      <c r="E1143" s="3">
        <v>915.3</v>
      </c>
      <c r="F1143" s="3">
        <v>335.7</v>
      </c>
      <c r="G1143" s="3">
        <v>6.0</v>
      </c>
      <c r="H1143" s="3">
        <v>22.8</v>
      </c>
    </row>
    <row r="1144" ht="15.75" customHeight="1">
      <c r="A1144" s="3" t="s">
        <v>43</v>
      </c>
      <c r="B1144" s="3">
        <v>2023.0</v>
      </c>
      <c r="C1144" s="3" t="s">
        <v>11</v>
      </c>
      <c r="D1144" s="3">
        <v>318.1</v>
      </c>
      <c r="E1144" s="3">
        <v>877.1</v>
      </c>
      <c r="F1144" s="3">
        <v>322.5</v>
      </c>
      <c r="G1144" s="3">
        <v>12.0</v>
      </c>
      <c r="H1144" s="3">
        <v>43.5</v>
      </c>
    </row>
    <row r="1145" ht="15.75" customHeight="1">
      <c r="A1145" s="3" t="s">
        <v>43</v>
      </c>
      <c r="B1145" s="3">
        <v>2023.0</v>
      </c>
      <c r="C1145" s="3" t="s">
        <v>13</v>
      </c>
      <c r="D1145" s="3">
        <v>368.8</v>
      </c>
      <c r="E1145" s="3">
        <v>946.5</v>
      </c>
      <c r="F1145" s="3">
        <v>492.1</v>
      </c>
      <c r="G1145" s="3">
        <v>5.0</v>
      </c>
      <c r="H1145" s="3">
        <v>12.9</v>
      </c>
    </row>
    <row r="1146" ht="15.75" customHeight="1">
      <c r="A1146" s="3" t="s">
        <v>43</v>
      </c>
      <c r="B1146" s="3">
        <v>2023.0</v>
      </c>
      <c r="C1146" s="3" t="s">
        <v>14</v>
      </c>
      <c r="D1146" s="3">
        <v>356.5</v>
      </c>
      <c r="E1146" s="3">
        <v>1005.1</v>
      </c>
      <c r="F1146" s="3">
        <v>375.0</v>
      </c>
      <c r="G1146" s="3">
        <v>8.0</v>
      </c>
      <c r="H1146" s="3">
        <v>15.3</v>
      </c>
    </row>
    <row r="1147" ht="15.75" customHeight="1">
      <c r="A1147" s="3" t="s">
        <v>43</v>
      </c>
      <c r="B1147" s="3">
        <v>2024.0</v>
      </c>
      <c r="C1147" s="3" t="s">
        <v>9</v>
      </c>
      <c r="D1147" s="3">
        <v>410.4</v>
      </c>
      <c r="E1147" s="3">
        <v>1213.2</v>
      </c>
      <c r="F1147" s="3">
        <v>481.0</v>
      </c>
      <c r="G1147" s="3">
        <v>5.0</v>
      </c>
      <c r="H1147" s="3">
        <v>48.5</v>
      </c>
    </row>
    <row r="1148" ht="15.75" customHeight="1">
      <c r="A1148" s="3" t="s">
        <v>43</v>
      </c>
      <c r="B1148" s="3">
        <v>2024.0</v>
      </c>
      <c r="C1148" s="3" t="s">
        <v>10</v>
      </c>
      <c r="D1148" s="3">
        <v>357.5</v>
      </c>
      <c r="E1148" s="3">
        <v>962.1</v>
      </c>
      <c r="F1148" s="3">
        <v>511.9</v>
      </c>
      <c r="G1148" s="3">
        <v>10.0</v>
      </c>
      <c r="H1148" s="3">
        <v>6.5</v>
      </c>
    </row>
    <row r="1149" ht="15.75" customHeight="1">
      <c r="A1149" s="3" t="s">
        <v>43</v>
      </c>
      <c r="B1149" s="3">
        <v>2024.0</v>
      </c>
      <c r="C1149" s="3" t="s">
        <v>11</v>
      </c>
      <c r="D1149" s="3">
        <v>425.9</v>
      </c>
      <c r="E1149" s="3">
        <v>1097.6</v>
      </c>
      <c r="F1149" s="3">
        <v>532.3</v>
      </c>
      <c r="G1149" s="3">
        <v>13.0</v>
      </c>
      <c r="H1149" s="3">
        <v>27.8</v>
      </c>
    </row>
    <row r="1150" ht="15.75" customHeight="1">
      <c r="A1150" s="3" t="s">
        <v>43</v>
      </c>
      <c r="B1150" s="3">
        <v>2024.0</v>
      </c>
      <c r="C1150" s="3" t="s">
        <v>13</v>
      </c>
      <c r="D1150" s="3">
        <v>399.1</v>
      </c>
      <c r="E1150" s="3">
        <v>1106.0</v>
      </c>
      <c r="F1150" s="3">
        <v>330.1</v>
      </c>
      <c r="G1150" s="3">
        <v>5.0</v>
      </c>
      <c r="H1150" s="3">
        <v>25.9</v>
      </c>
    </row>
    <row r="1151" ht="15.75" customHeight="1">
      <c r="A1151" s="3" t="s">
        <v>43</v>
      </c>
      <c r="B1151" s="3">
        <v>2024.0</v>
      </c>
      <c r="C1151" s="3" t="s">
        <v>14</v>
      </c>
      <c r="D1151" s="3">
        <v>394.9</v>
      </c>
      <c r="E1151" s="3">
        <v>1168.0</v>
      </c>
      <c r="F1151" s="3">
        <v>551.0</v>
      </c>
      <c r="G1151" s="3">
        <v>5.0</v>
      </c>
      <c r="H1151" s="3">
        <v>24.2</v>
      </c>
    </row>
    <row r="1152" ht="15.75" customHeight="1">
      <c r="A1152" s="3" t="s">
        <v>44</v>
      </c>
      <c r="B1152" s="3">
        <v>2015.0</v>
      </c>
      <c r="C1152" s="3" t="s">
        <v>9</v>
      </c>
      <c r="D1152" s="3">
        <v>52.5</v>
      </c>
      <c r="E1152" s="3">
        <v>113.2</v>
      </c>
      <c r="F1152" s="3">
        <v>43.1</v>
      </c>
      <c r="G1152" s="3">
        <v>4.0</v>
      </c>
      <c r="H1152" s="3">
        <v>40.3</v>
      </c>
    </row>
    <row r="1153" ht="15.75" customHeight="1">
      <c r="A1153" s="3" t="s">
        <v>44</v>
      </c>
      <c r="B1153" s="3">
        <v>2015.0</v>
      </c>
      <c r="C1153" s="3" t="s">
        <v>10</v>
      </c>
      <c r="D1153" s="3">
        <v>68.0</v>
      </c>
      <c r="E1153" s="3">
        <v>152.4</v>
      </c>
      <c r="F1153" s="3">
        <v>58.4</v>
      </c>
      <c r="G1153" s="3">
        <v>4.0</v>
      </c>
      <c r="H1153" s="3">
        <v>29.4</v>
      </c>
    </row>
    <row r="1154" ht="15.75" customHeight="1">
      <c r="A1154" s="3" t="s">
        <v>44</v>
      </c>
      <c r="B1154" s="3">
        <v>2015.0</v>
      </c>
      <c r="C1154" s="3" t="s">
        <v>11</v>
      </c>
      <c r="D1154" s="3">
        <v>172.3</v>
      </c>
      <c r="E1154" s="3">
        <v>385.3</v>
      </c>
      <c r="F1154" s="3">
        <v>217.6</v>
      </c>
      <c r="G1154" s="3">
        <v>2.0</v>
      </c>
      <c r="H1154" s="3">
        <v>19.1</v>
      </c>
    </row>
    <row r="1155" ht="15.75" customHeight="1">
      <c r="A1155" s="3" t="s">
        <v>44</v>
      </c>
      <c r="B1155" s="3">
        <v>2015.0</v>
      </c>
      <c r="C1155" s="3" t="s">
        <v>13</v>
      </c>
      <c r="D1155" s="3">
        <v>152.9</v>
      </c>
      <c r="E1155" s="3">
        <v>364.9</v>
      </c>
      <c r="F1155" s="3">
        <v>159.3</v>
      </c>
      <c r="G1155" s="3">
        <v>6.0</v>
      </c>
      <c r="H1155" s="3">
        <v>6.0</v>
      </c>
    </row>
    <row r="1156" ht="15.75" customHeight="1">
      <c r="A1156" s="3" t="s">
        <v>44</v>
      </c>
      <c r="B1156" s="3">
        <v>2015.0</v>
      </c>
      <c r="C1156" s="3" t="s">
        <v>14</v>
      </c>
      <c r="D1156" s="3">
        <v>89.0</v>
      </c>
      <c r="E1156" s="3">
        <v>249.6</v>
      </c>
      <c r="F1156" s="3">
        <v>88.6</v>
      </c>
      <c r="G1156" s="3">
        <v>2.0</v>
      </c>
      <c r="H1156" s="3">
        <v>35.7</v>
      </c>
    </row>
    <row r="1157" ht="15.75" customHeight="1">
      <c r="A1157" s="3" t="s">
        <v>44</v>
      </c>
      <c r="B1157" s="3">
        <v>2016.0</v>
      </c>
      <c r="C1157" s="3" t="s">
        <v>9</v>
      </c>
      <c r="D1157" s="3">
        <v>101.6</v>
      </c>
      <c r="E1157" s="3">
        <v>227.6</v>
      </c>
      <c r="F1157" s="3">
        <v>86.8</v>
      </c>
      <c r="G1157" s="3">
        <v>4.0</v>
      </c>
      <c r="H1157" s="3">
        <v>44.8</v>
      </c>
    </row>
    <row r="1158" ht="15.75" customHeight="1">
      <c r="A1158" s="3" t="s">
        <v>44</v>
      </c>
      <c r="B1158" s="3">
        <v>2016.0</v>
      </c>
      <c r="C1158" s="3" t="s">
        <v>10</v>
      </c>
      <c r="D1158" s="3">
        <v>120.9</v>
      </c>
      <c r="E1158" s="3">
        <v>345.6</v>
      </c>
      <c r="F1158" s="3">
        <v>156.0</v>
      </c>
      <c r="G1158" s="3">
        <v>8.0</v>
      </c>
      <c r="H1158" s="3">
        <v>25.2</v>
      </c>
    </row>
    <row r="1159" ht="15.75" customHeight="1">
      <c r="A1159" s="3" t="s">
        <v>44</v>
      </c>
      <c r="B1159" s="3">
        <v>2016.0</v>
      </c>
      <c r="C1159" s="3" t="s">
        <v>11</v>
      </c>
      <c r="D1159" s="3">
        <v>184.9</v>
      </c>
      <c r="E1159" s="3">
        <v>505.3</v>
      </c>
      <c r="F1159" s="3">
        <v>227.8</v>
      </c>
      <c r="G1159" s="3">
        <v>9.0</v>
      </c>
      <c r="H1159" s="3">
        <v>8.5</v>
      </c>
    </row>
    <row r="1160" ht="15.75" customHeight="1">
      <c r="A1160" s="3" t="s">
        <v>44</v>
      </c>
      <c r="B1160" s="3">
        <v>2016.0</v>
      </c>
      <c r="C1160" s="3" t="s">
        <v>13</v>
      </c>
      <c r="D1160" s="3">
        <v>141.7</v>
      </c>
      <c r="E1160" s="3">
        <v>347.9</v>
      </c>
      <c r="F1160" s="3">
        <v>199.1</v>
      </c>
      <c r="G1160" s="3">
        <v>3.0</v>
      </c>
      <c r="H1160" s="3">
        <v>49.8</v>
      </c>
    </row>
    <row r="1161" ht="15.75" customHeight="1">
      <c r="A1161" s="3" t="s">
        <v>44</v>
      </c>
      <c r="B1161" s="3">
        <v>2016.0</v>
      </c>
      <c r="C1161" s="3" t="s">
        <v>14</v>
      </c>
      <c r="D1161" s="3">
        <v>131.8</v>
      </c>
      <c r="E1161" s="3">
        <v>351.1</v>
      </c>
      <c r="F1161" s="3">
        <v>177.8</v>
      </c>
      <c r="G1161" s="3">
        <v>10.0</v>
      </c>
      <c r="H1161" s="3">
        <v>25.8</v>
      </c>
    </row>
    <row r="1162" ht="15.75" customHeight="1">
      <c r="A1162" s="3" t="s">
        <v>44</v>
      </c>
      <c r="B1162" s="3">
        <v>2017.0</v>
      </c>
      <c r="C1162" s="3" t="s">
        <v>9</v>
      </c>
      <c r="D1162" s="3">
        <v>183.8</v>
      </c>
      <c r="E1162" s="3">
        <v>501.7</v>
      </c>
      <c r="F1162" s="3">
        <v>149.7</v>
      </c>
      <c r="G1162" s="3">
        <v>2.0</v>
      </c>
      <c r="H1162" s="3">
        <v>7.6</v>
      </c>
    </row>
    <row r="1163" ht="15.75" customHeight="1">
      <c r="A1163" s="3" t="s">
        <v>44</v>
      </c>
      <c r="B1163" s="3">
        <v>2017.0</v>
      </c>
      <c r="C1163" s="3" t="s">
        <v>10</v>
      </c>
      <c r="D1163" s="3">
        <v>217.2</v>
      </c>
      <c r="E1163" s="3">
        <v>625.0</v>
      </c>
      <c r="F1163" s="3">
        <v>253.9</v>
      </c>
      <c r="G1163" s="3">
        <v>5.0</v>
      </c>
      <c r="H1163" s="3">
        <v>23.9</v>
      </c>
    </row>
    <row r="1164" ht="15.75" customHeight="1">
      <c r="A1164" s="3" t="s">
        <v>44</v>
      </c>
      <c r="B1164" s="3">
        <v>2017.0</v>
      </c>
      <c r="C1164" s="3" t="s">
        <v>11</v>
      </c>
      <c r="D1164" s="3">
        <v>116.6</v>
      </c>
      <c r="E1164" s="3">
        <v>326.9</v>
      </c>
      <c r="F1164" s="3">
        <v>113.5</v>
      </c>
      <c r="G1164" s="3">
        <v>2.0</v>
      </c>
      <c r="H1164" s="3">
        <v>20.8</v>
      </c>
    </row>
    <row r="1165" ht="15.75" customHeight="1">
      <c r="A1165" s="3" t="s">
        <v>44</v>
      </c>
      <c r="B1165" s="3">
        <v>2017.0</v>
      </c>
      <c r="C1165" s="3" t="s">
        <v>13</v>
      </c>
      <c r="D1165" s="3">
        <v>154.2</v>
      </c>
      <c r="E1165" s="3">
        <v>310.8</v>
      </c>
      <c r="F1165" s="3">
        <v>154.0</v>
      </c>
      <c r="G1165" s="3">
        <v>9.0</v>
      </c>
      <c r="H1165" s="3">
        <v>23.1</v>
      </c>
    </row>
    <row r="1166" ht="15.75" customHeight="1">
      <c r="A1166" s="3" t="s">
        <v>44</v>
      </c>
      <c r="B1166" s="3">
        <v>2017.0</v>
      </c>
      <c r="C1166" s="3" t="s">
        <v>14</v>
      </c>
      <c r="D1166" s="3">
        <v>153.9</v>
      </c>
      <c r="E1166" s="3">
        <v>331.7</v>
      </c>
      <c r="F1166" s="3">
        <v>142.8</v>
      </c>
      <c r="G1166" s="3">
        <v>2.0</v>
      </c>
      <c r="H1166" s="3">
        <v>1.7</v>
      </c>
    </row>
    <row r="1167" ht="15.75" customHeight="1">
      <c r="A1167" s="3" t="s">
        <v>44</v>
      </c>
      <c r="B1167" s="3">
        <v>2018.0</v>
      </c>
      <c r="C1167" s="3" t="s">
        <v>9</v>
      </c>
      <c r="D1167" s="3">
        <v>176.0</v>
      </c>
      <c r="E1167" s="3">
        <v>461.7</v>
      </c>
      <c r="F1167" s="3">
        <v>150.0</v>
      </c>
      <c r="G1167" s="3">
        <v>2.0</v>
      </c>
      <c r="H1167" s="3">
        <v>3.9</v>
      </c>
    </row>
    <row r="1168" ht="15.75" customHeight="1">
      <c r="A1168" s="3" t="s">
        <v>44</v>
      </c>
      <c r="B1168" s="3">
        <v>2018.0</v>
      </c>
      <c r="C1168" s="3" t="s">
        <v>10</v>
      </c>
      <c r="D1168" s="3">
        <v>257.2</v>
      </c>
      <c r="E1168" s="3">
        <v>704.3</v>
      </c>
      <c r="F1168" s="3">
        <v>266.2</v>
      </c>
      <c r="G1168" s="3">
        <v>6.0</v>
      </c>
      <c r="H1168" s="3">
        <v>22.2</v>
      </c>
    </row>
    <row r="1169" ht="15.75" customHeight="1">
      <c r="A1169" s="3" t="s">
        <v>44</v>
      </c>
      <c r="B1169" s="3">
        <v>2018.0</v>
      </c>
      <c r="C1169" s="3" t="s">
        <v>11</v>
      </c>
      <c r="D1169" s="3">
        <v>296.1</v>
      </c>
      <c r="E1169" s="3">
        <v>784.1</v>
      </c>
      <c r="F1169" s="3">
        <v>240.7</v>
      </c>
      <c r="G1169" s="3">
        <v>10.0</v>
      </c>
      <c r="H1169" s="3">
        <v>26.7</v>
      </c>
    </row>
    <row r="1170" ht="15.75" customHeight="1">
      <c r="A1170" s="3" t="s">
        <v>44</v>
      </c>
      <c r="B1170" s="3">
        <v>2018.0</v>
      </c>
      <c r="C1170" s="3" t="s">
        <v>13</v>
      </c>
      <c r="D1170" s="3">
        <v>232.9</v>
      </c>
      <c r="E1170" s="3">
        <v>571.1</v>
      </c>
      <c r="F1170" s="3">
        <v>193.3</v>
      </c>
      <c r="G1170" s="3">
        <v>7.0</v>
      </c>
      <c r="H1170" s="3">
        <v>41.9</v>
      </c>
    </row>
    <row r="1171" ht="15.75" customHeight="1">
      <c r="A1171" s="3" t="s">
        <v>44</v>
      </c>
      <c r="B1171" s="3">
        <v>2018.0</v>
      </c>
      <c r="C1171" s="3" t="s">
        <v>14</v>
      </c>
      <c r="D1171" s="3">
        <v>212.6</v>
      </c>
      <c r="E1171" s="3">
        <v>475.4</v>
      </c>
      <c r="F1171" s="3">
        <v>302.4</v>
      </c>
      <c r="G1171" s="3">
        <v>10.0</v>
      </c>
      <c r="H1171" s="3">
        <v>16.8</v>
      </c>
    </row>
    <row r="1172" ht="15.75" customHeight="1">
      <c r="A1172" s="3" t="s">
        <v>44</v>
      </c>
      <c r="B1172" s="3">
        <v>2019.0</v>
      </c>
      <c r="C1172" s="3" t="s">
        <v>9</v>
      </c>
      <c r="D1172" s="3">
        <v>238.6</v>
      </c>
      <c r="E1172" s="3">
        <v>635.6</v>
      </c>
      <c r="F1172" s="3">
        <v>279.1</v>
      </c>
      <c r="G1172" s="3">
        <v>9.0</v>
      </c>
      <c r="H1172" s="3">
        <v>36.5</v>
      </c>
    </row>
    <row r="1173" ht="15.75" customHeight="1">
      <c r="A1173" s="3" t="s">
        <v>44</v>
      </c>
      <c r="B1173" s="3">
        <v>2019.0</v>
      </c>
      <c r="C1173" s="3" t="s">
        <v>10</v>
      </c>
      <c r="D1173" s="3">
        <v>176.8</v>
      </c>
      <c r="E1173" s="3">
        <v>515.9</v>
      </c>
      <c r="F1173" s="3">
        <v>191.9</v>
      </c>
      <c r="G1173" s="3">
        <v>6.0</v>
      </c>
      <c r="H1173" s="3">
        <v>26.3</v>
      </c>
    </row>
    <row r="1174" ht="15.75" customHeight="1">
      <c r="A1174" s="3" t="s">
        <v>44</v>
      </c>
      <c r="B1174" s="3">
        <v>2019.0</v>
      </c>
      <c r="C1174" s="3" t="s">
        <v>11</v>
      </c>
      <c r="D1174" s="3">
        <v>221.9</v>
      </c>
      <c r="E1174" s="3">
        <v>446.1</v>
      </c>
      <c r="F1174" s="3">
        <v>286.4</v>
      </c>
      <c r="G1174" s="3">
        <v>9.0</v>
      </c>
      <c r="H1174" s="3">
        <v>45.5</v>
      </c>
    </row>
    <row r="1175" ht="15.75" customHeight="1">
      <c r="A1175" s="3" t="s">
        <v>44</v>
      </c>
      <c r="B1175" s="3">
        <v>2019.0</v>
      </c>
      <c r="C1175" s="3" t="s">
        <v>13</v>
      </c>
      <c r="D1175" s="3">
        <v>223.8</v>
      </c>
      <c r="E1175" s="3">
        <v>557.8</v>
      </c>
      <c r="F1175" s="3">
        <v>301.9</v>
      </c>
      <c r="G1175" s="3">
        <v>5.0</v>
      </c>
      <c r="H1175" s="3">
        <v>21.1</v>
      </c>
    </row>
    <row r="1176" ht="15.75" customHeight="1">
      <c r="A1176" s="3" t="s">
        <v>44</v>
      </c>
      <c r="B1176" s="3">
        <v>2019.0</v>
      </c>
      <c r="C1176" s="3" t="s">
        <v>14</v>
      </c>
      <c r="D1176" s="3">
        <v>226.9</v>
      </c>
      <c r="E1176" s="3">
        <v>527.5</v>
      </c>
      <c r="F1176" s="3">
        <v>331.7</v>
      </c>
      <c r="G1176" s="3">
        <v>9.0</v>
      </c>
      <c r="H1176" s="3">
        <v>45.7</v>
      </c>
    </row>
    <row r="1177" ht="15.75" customHeight="1">
      <c r="A1177" s="3" t="s">
        <v>44</v>
      </c>
      <c r="B1177" s="3">
        <v>2020.0</v>
      </c>
      <c r="C1177" s="3" t="s">
        <v>9</v>
      </c>
      <c r="D1177" s="3">
        <v>289.2</v>
      </c>
      <c r="E1177" s="3">
        <v>730.9</v>
      </c>
      <c r="F1177" s="3">
        <v>386.0</v>
      </c>
      <c r="G1177" s="3">
        <v>8.0</v>
      </c>
      <c r="H1177" s="3">
        <v>37.2</v>
      </c>
    </row>
    <row r="1178" ht="15.75" customHeight="1">
      <c r="A1178" s="3" t="s">
        <v>44</v>
      </c>
      <c r="B1178" s="3">
        <v>2020.0</v>
      </c>
      <c r="C1178" s="3" t="s">
        <v>10</v>
      </c>
      <c r="D1178" s="3">
        <v>311.8</v>
      </c>
      <c r="E1178" s="3">
        <v>828.3</v>
      </c>
      <c r="F1178" s="3">
        <v>352.4</v>
      </c>
      <c r="G1178" s="3">
        <v>7.0</v>
      </c>
      <c r="H1178" s="3">
        <v>3.3</v>
      </c>
    </row>
    <row r="1179" ht="15.75" customHeight="1">
      <c r="A1179" s="3" t="s">
        <v>44</v>
      </c>
      <c r="B1179" s="3">
        <v>2020.0</v>
      </c>
      <c r="C1179" s="3" t="s">
        <v>11</v>
      </c>
      <c r="D1179" s="3">
        <v>286.3</v>
      </c>
      <c r="E1179" s="3">
        <v>751.7</v>
      </c>
      <c r="F1179" s="3">
        <v>407.6</v>
      </c>
      <c r="G1179" s="3">
        <v>7.0</v>
      </c>
      <c r="H1179" s="3">
        <v>31.3</v>
      </c>
    </row>
    <row r="1180" ht="15.75" customHeight="1">
      <c r="A1180" s="3" t="s">
        <v>44</v>
      </c>
      <c r="B1180" s="3">
        <v>2020.0</v>
      </c>
      <c r="C1180" s="3" t="s">
        <v>13</v>
      </c>
      <c r="D1180" s="3">
        <v>244.6</v>
      </c>
      <c r="E1180" s="3">
        <v>557.9</v>
      </c>
      <c r="F1180" s="3">
        <v>336.2</v>
      </c>
      <c r="G1180" s="3">
        <v>5.0</v>
      </c>
      <c r="H1180" s="3">
        <v>26.4</v>
      </c>
    </row>
    <row r="1181" ht="15.75" customHeight="1">
      <c r="A1181" s="3" t="s">
        <v>44</v>
      </c>
      <c r="B1181" s="3">
        <v>2020.0</v>
      </c>
      <c r="C1181" s="3" t="s">
        <v>14</v>
      </c>
      <c r="D1181" s="3">
        <v>265.7</v>
      </c>
      <c r="E1181" s="3">
        <v>725.7</v>
      </c>
      <c r="F1181" s="3">
        <v>266.1</v>
      </c>
      <c r="G1181" s="3">
        <v>6.0</v>
      </c>
      <c r="H1181" s="3">
        <v>36.8</v>
      </c>
    </row>
    <row r="1182" ht="15.75" customHeight="1">
      <c r="A1182" s="3" t="s">
        <v>44</v>
      </c>
      <c r="B1182" s="3">
        <v>2021.0</v>
      </c>
      <c r="C1182" s="3" t="s">
        <v>9</v>
      </c>
      <c r="D1182" s="3">
        <v>285.0</v>
      </c>
      <c r="E1182" s="3">
        <v>694.9</v>
      </c>
      <c r="F1182" s="3">
        <v>349.8</v>
      </c>
      <c r="G1182" s="3">
        <v>7.0</v>
      </c>
      <c r="H1182" s="3">
        <v>43.1</v>
      </c>
    </row>
    <row r="1183" ht="15.75" customHeight="1">
      <c r="A1183" s="3" t="s">
        <v>44</v>
      </c>
      <c r="B1183" s="3">
        <v>2021.0</v>
      </c>
      <c r="C1183" s="3" t="s">
        <v>10</v>
      </c>
      <c r="D1183" s="3">
        <v>362.7</v>
      </c>
      <c r="E1183" s="3">
        <v>999.8</v>
      </c>
      <c r="F1183" s="3">
        <v>360.2</v>
      </c>
      <c r="G1183" s="3">
        <v>6.0</v>
      </c>
      <c r="H1183" s="3">
        <v>19.5</v>
      </c>
    </row>
    <row r="1184" ht="15.75" customHeight="1">
      <c r="A1184" s="3" t="s">
        <v>44</v>
      </c>
      <c r="B1184" s="3">
        <v>2021.0</v>
      </c>
      <c r="C1184" s="3" t="s">
        <v>11</v>
      </c>
      <c r="D1184" s="3">
        <v>290.5</v>
      </c>
      <c r="E1184" s="3">
        <v>804.8</v>
      </c>
      <c r="F1184" s="3">
        <v>275.2</v>
      </c>
      <c r="G1184" s="3">
        <v>3.0</v>
      </c>
      <c r="H1184" s="3">
        <v>49.1</v>
      </c>
    </row>
    <row r="1185" ht="15.75" customHeight="1">
      <c r="A1185" s="3" t="s">
        <v>44</v>
      </c>
      <c r="B1185" s="3">
        <v>2021.0</v>
      </c>
      <c r="C1185" s="3" t="s">
        <v>13</v>
      </c>
      <c r="D1185" s="3">
        <v>319.6</v>
      </c>
      <c r="E1185" s="3">
        <v>739.9</v>
      </c>
      <c r="F1185" s="3">
        <v>364.3</v>
      </c>
      <c r="G1185" s="3">
        <v>12.0</v>
      </c>
      <c r="H1185" s="3">
        <v>46.2</v>
      </c>
    </row>
    <row r="1186" ht="15.75" customHeight="1">
      <c r="A1186" s="3" t="s">
        <v>44</v>
      </c>
      <c r="B1186" s="3">
        <v>2021.0</v>
      </c>
      <c r="C1186" s="3" t="s">
        <v>14</v>
      </c>
      <c r="D1186" s="3">
        <v>262.2</v>
      </c>
      <c r="E1186" s="3">
        <v>682.9</v>
      </c>
      <c r="F1186" s="3">
        <v>312.5</v>
      </c>
      <c r="G1186" s="3">
        <v>11.0</v>
      </c>
      <c r="H1186" s="3">
        <v>38.1</v>
      </c>
    </row>
    <row r="1187" ht="15.75" customHeight="1">
      <c r="A1187" s="3" t="s">
        <v>44</v>
      </c>
      <c r="B1187" s="3">
        <v>2022.0</v>
      </c>
      <c r="C1187" s="3" t="s">
        <v>9</v>
      </c>
      <c r="D1187" s="3">
        <v>218.4</v>
      </c>
      <c r="E1187" s="3">
        <v>475.2</v>
      </c>
      <c r="F1187" s="3">
        <v>298.9</v>
      </c>
      <c r="G1187" s="3">
        <v>9.0</v>
      </c>
      <c r="H1187" s="3">
        <v>13.9</v>
      </c>
    </row>
    <row r="1188" ht="15.75" customHeight="1">
      <c r="A1188" s="3" t="s">
        <v>44</v>
      </c>
      <c r="B1188" s="3">
        <v>2022.0</v>
      </c>
      <c r="C1188" s="3" t="s">
        <v>10</v>
      </c>
      <c r="D1188" s="3">
        <v>321.5</v>
      </c>
      <c r="E1188" s="3">
        <v>686.6</v>
      </c>
      <c r="F1188" s="3">
        <v>373.9</v>
      </c>
      <c r="G1188" s="3">
        <v>4.0</v>
      </c>
      <c r="H1188" s="3">
        <v>46.8</v>
      </c>
    </row>
    <row r="1189" ht="15.75" customHeight="1">
      <c r="A1189" s="3" t="s">
        <v>44</v>
      </c>
      <c r="B1189" s="3">
        <v>2022.0</v>
      </c>
      <c r="C1189" s="3" t="s">
        <v>11</v>
      </c>
      <c r="D1189" s="3">
        <v>334.3</v>
      </c>
      <c r="E1189" s="3">
        <v>832.5</v>
      </c>
      <c r="F1189" s="3">
        <v>370.0</v>
      </c>
      <c r="G1189" s="3">
        <v>6.0</v>
      </c>
      <c r="H1189" s="3">
        <v>19.8</v>
      </c>
    </row>
    <row r="1190" ht="15.75" customHeight="1">
      <c r="A1190" s="3" t="s">
        <v>44</v>
      </c>
      <c r="B1190" s="3">
        <v>2022.0</v>
      </c>
      <c r="C1190" s="3" t="s">
        <v>13</v>
      </c>
      <c r="D1190" s="3">
        <v>314.1</v>
      </c>
      <c r="E1190" s="3">
        <v>674.4</v>
      </c>
      <c r="F1190" s="3">
        <v>385.7</v>
      </c>
      <c r="G1190" s="3">
        <v>8.0</v>
      </c>
      <c r="H1190" s="3">
        <v>36.0</v>
      </c>
    </row>
    <row r="1191" ht="15.75" customHeight="1">
      <c r="A1191" s="3" t="s">
        <v>44</v>
      </c>
      <c r="B1191" s="3">
        <v>2022.0</v>
      </c>
      <c r="C1191" s="3" t="s">
        <v>14</v>
      </c>
      <c r="D1191" s="3">
        <v>283.6</v>
      </c>
      <c r="E1191" s="3">
        <v>835.5</v>
      </c>
      <c r="F1191" s="3">
        <v>275.5</v>
      </c>
      <c r="G1191" s="3">
        <v>8.0</v>
      </c>
      <c r="H1191" s="3">
        <v>13.5</v>
      </c>
    </row>
    <row r="1192" ht="15.75" customHeight="1">
      <c r="A1192" s="3" t="s">
        <v>44</v>
      </c>
      <c r="B1192" s="3">
        <v>2023.0</v>
      </c>
      <c r="C1192" s="3" t="s">
        <v>9</v>
      </c>
      <c r="D1192" s="3">
        <v>266.3</v>
      </c>
      <c r="E1192" s="3">
        <v>682.0</v>
      </c>
      <c r="F1192" s="3">
        <v>226.6</v>
      </c>
      <c r="G1192" s="3">
        <v>9.0</v>
      </c>
      <c r="H1192" s="3">
        <v>3.3</v>
      </c>
    </row>
    <row r="1193" ht="15.75" customHeight="1">
      <c r="A1193" s="3" t="s">
        <v>44</v>
      </c>
      <c r="B1193" s="3">
        <v>2023.0</v>
      </c>
      <c r="C1193" s="3" t="s">
        <v>10</v>
      </c>
      <c r="D1193" s="3">
        <v>403.1</v>
      </c>
      <c r="E1193" s="3">
        <v>942.8</v>
      </c>
      <c r="F1193" s="3">
        <v>456.1</v>
      </c>
      <c r="G1193" s="3">
        <v>7.0</v>
      </c>
      <c r="H1193" s="3">
        <v>35.1</v>
      </c>
    </row>
    <row r="1194" ht="15.75" customHeight="1">
      <c r="A1194" s="3" t="s">
        <v>44</v>
      </c>
      <c r="B1194" s="3">
        <v>2023.0</v>
      </c>
      <c r="C1194" s="3" t="s">
        <v>11</v>
      </c>
      <c r="D1194" s="3">
        <v>309.8</v>
      </c>
      <c r="E1194" s="3">
        <v>873.4</v>
      </c>
      <c r="F1194" s="3">
        <v>444.2</v>
      </c>
      <c r="G1194" s="3">
        <v>10.0</v>
      </c>
      <c r="H1194" s="3">
        <v>30.4</v>
      </c>
    </row>
    <row r="1195" ht="15.75" customHeight="1">
      <c r="A1195" s="3" t="s">
        <v>44</v>
      </c>
      <c r="B1195" s="3">
        <v>2023.0</v>
      </c>
      <c r="C1195" s="3" t="s">
        <v>13</v>
      </c>
      <c r="D1195" s="3">
        <v>400.0</v>
      </c>
      <c r="E1195" s="3">
        <v>913.7</v>
      </c>
      <c r="F1195" s="3">
        <v>333.1</v>
      </c>
      <c r="G1195" s="3">
        <v>10.0</v>
      </c>
      <c r="H1195" s="3">
        <v>43.3</v>
      </c>
    </row>
    <row r="1196" ht="15.75" customHeight="1">
      <c r="A1196" s="3" t="s">
        <v>44</v>
      </c>
      <c r="B1196" s="3">
        <v>2023.0</v>
      </c>
      <c r="C1196" s="3" t="s">
        <v>14</v>
      </c>
      <c r="D1196" s="3">
        <v>329.8</v>
      </c>
      <c r="E1196" s="3">
        <v>804.8</v>
      </c>
      <c r="F1196" s="3">
        <v>456.2</v>
      </c>
      <c r="G1196" s="3">
        <v>9.0</v>
      </c>
      <c r="H1196" s="3">
        <v>31.8</v>
      </c>
    </row>
    <row r="1197" ht="15.75" customHeight="1">
      <c r="A1197" s="3" t="s">
        <v>44</v>
      </c>
      <c r="B1197" s="3">
        <v>2024.0</v>
      </c>
      <c r="C1197" s="3" t="s">
        <v>9</v>
      </c>
      <c r="D1197" s="3">
        <v>379.7</v>
      </c>
      <c r="E1197" s="3">
        <v>969.1</v>
      </c>
      <c r="F1197" s="3">
        <v>317.2</v>
      </c>
      <c r="G1197" s="3">
        <v>8.0</v>
      </c>
      <c r="H1197" s="3">
        <v>22.8</v>
      </c>
    </row>
    <row r="1198" ht="15.75" customHeight="1">
      <c r="A1198" s="3" t="s">
        <v>44</v>
      </c>
      <c r="B1198" s="3">
        <v>2024.0</v>
      </c>
      <c r="C1198" s="3" t="s">
        <v>10</v>
      </c>
      <c r="D1198" s="3">
        <v>389.9</v>
      </c>
      <c r="E1198" s="3">
        <v>939.2</v>
      </c>
      <c r="F1198" s="3">
        <v>401.1</v>
      </c>
      <c r="G1198" s="3">
        <v>9.0</v>
      </c>
      <c r="H1198" s="3">
        <v>4.9</v>
      </c>
    </row>
    <row r="1199" ht="15.75" customHeight="1">
      <c r="A1199" s="3" t="s">
        <v>44</v>
      </c>
      <c r="B1199" s="3">
        <v>2024.0</v>
      </c>
      <c r="C1199" s="3" t="s">
        <v>11</v>
      </c>
      <c r="D1199" s="3">
        <v>379.6</v>
      </c>
      <c r="E1199" s="3">
        <v>1099.1</v>
      </c>
      <c r="F1199" s="3">
        <v>337.2</v>
      </c>
      <c r="G1199" s="3">
        <v>5.0</v>
      </c>
      <c r="H1199" s="3">
        <v>8.2</v>
      </c>
    </row>
    <row r="1200" ht="15.75" customHeight="1">
      <c r="A1200" s="3" t="s">
        <v>44</v>
      </c>
      <c r="B1200" s="3">
        <v>2024.0</v>
      </c>
      <c r="C1200" s="3" t="s">
        <v>13</v>
      </c>
      <c r="D1200" s="3">
        <v>421.7</v>
      </c>
      <c r="E1200" s="3">
        <v>970.5</v>
      </c>
      <c r="F1200" s="3">
        <v>365.3</v>
      </c>
      <c r="G1200" s="3">
        <v>5.0</v>
      </c>
      <c r="H1200" s="3">
        <v>49.6</v>
      </c>
    </row>
    <row r="1201" ht="15.75" customHeight="1">
      <c r="A1201" s="3" t="s">
        <v>44</v>
      </c>
      <c r="B1201" s="3">
        <v>2024.0</v>
      </c>
      <c r="C1201" s="3" t="s">
        <v>14</v>
      </c>
      <c r="D1201" s="3">
        <v>392.1</v>
      </c>
      <c r="E1201" s="3">
        <v>967.2</v>
      </c>
      <c r="F1201" s="3">
        <v>315.1</v>
      </c>
      <c r="G1201" s="3">
        <v>4.0</v>
      </c>
      <c r="H1201" s="3">
        <v>26.8</v>
      </c>
    </row>
    <row r="1202" ht="15.75" customHeight="1">
      <c r="A1202" s="3" t="s">
        <v>45</v>
      </c>
      <c r="B1202" s="3">
        <v>2015.0</v>
      </c>
      <c r="C1202" s="3" t="s">
        <v>9</v>
      </c>
      <c r="D1202" s="3">
        <v>212.7</v>
      </c>
      <c r="E1202" s="3">
        <v>485.7</v>
      </c>
      <c r="F1202" s="3">
        <v>311.4</v>
      </c>
      <c r="G1202" s="3">
        <v>3.0</v>
      </c>
      <c r="H1202" s="3">
        <v>17.7</v>
      </c>
    </row>
    <row r="1203" ht="15.75" customHeight="1">
      <c r="A1203" s="3" t="s">
        <v>45</v>
      </c>
      <c r="B1203" s="3">
        <v>2015.0</v>
      </c>
      <c r="C1203" s="3" t="s">
        <v>10</v>
      </c>
      <c r="D1203" s="3">
        <v>93.4</v>
      </c>
      <c r="E1203" s="3">
        <v>196.7</v>
      </c>
      <c r="F1203" s="3">
        <v>106.9</v>
      </c>
      <c r="G1203" s="3">
        <v>3.0</v>
      </c>
      <c r="H1203" s="3">
        <v>8.8</v>
      </c>
    </row>
    <row r="1204" ht="15.75" customHeight="1">
      <c r="A1204" s="3" t="s">
        <v>45</v>
      </c>
      <c r="B1204" s="3">
        <v>2015.0</v>
      </c>
      <c r="C1204" s="3" t="s">
        <v>11</v>
      </c>
      <c r="D1204" s="3">
        <v>147.1</v>
      </c>
      <c r="E1204" s="3">
        <v>412.1</v>
      </c>
      <c r="F1204" s="3">
        <v>182.6</v>
      </c>
      <c r="G1204" s="3">
        <v>5.0</v>
      </c>
      <c r="H1204" s="3">
        <v>19.3</v>
      </c>
    </row>
    <row r="1205" ht="15.75" customHeight="1">
      <c r="A1205" s="3" t="s">
        <v>45</v>
      </c>
      <c r="B1205" s="3">
        <v>2015.0</v>
      </c>
      <c r="C1205" s="3" t="s">
        <v>13</v>
      </c>
      <c r="D1205" s="3">
        <v>125.4</v>
      </c>
      <c r="E1205" s="3">
        <v>255.8</v>
      </c>
      <c r="F1205" s="3">
        <v>180.5</v>
      </c>
      <c r="G1205" s="3">
        <v>4.0</v>
      </c>
      <c r="H1205" s="3">
        <v>36.0</v>
      </c>
    </row>
    <row r="1206" ht="15.75" customHeight="1">
      <c r="A1206" s="3" t="s">
        <v>45</v>
      </c>
      <c r="B1206" s="3">
        <v>2015.0</v>
      </c>
      <c r="C1206" s="3" t="s">
        <v>14</v>
      </c>
      <c r="D1206" s="3">
        <v>129.9</v>
      </c>
      <c r="E1206" s="3">
        <v>299.2</v>
      </c>
      <c r="F1206" s="3">
        <v>136.9</v>
      </c>
      <c r="G1206" s="3">
        <v>7.0</v>
      </c>
      <c r="H1206" s="3">
        <v>33.8</v>
      </c>
    </row>
    <row r="1207" ht="15.75" customHeight="1">
      <c r="A1207" s="3" t="s">
        <v>45</v>
      </c>
      <c r="B1207" s="3">
        <v>2016.0</v>
      </c>
      <c r="C1207" s="3" t="s">
        <v>9</v>
      </c>
      <c r="D1207" s="3">
        <v>188.5</v>
      </c>
      <c r="E1207" s="3">
        <v>384.4</v>
      </c>
      <c r="F1207" s="3">
        <v>237.2</v>
      </c>
      <c r="G1207" s="3">
        <v>2.0</v>
      </c>
      <c r="H1207" s="3">
        <v>16.7</v>
      </c>
    </row>
    <row r="1208" ht="15.75" customHeight="1">
      <c r="A1208" s="3" t="s">
        <v>45</v>
      </c>
      <c r="B1208" s="3">
        <v>2016.0</v>
      </c>
      <c r="C1208" s="3" t="s">
        <v>10</v>
      </c>
      <c r="D1208" s="3">
        <v>81.3</v>
      </c>
      <c r="E1208" s="3">
        <v>179.4</v>
      </c>
      <c r="F1208" s="3">
        <v>111.3</v>
      </c>
      <c r="G1208" s="3">
        <v>6.0</v>
      </c>
      <c r="H1208" s="3">
        <v>11.5</v>
      </c>
    </row>
    <row r="1209" ht="15.75" customHeight="1">
      <c r="A1209" s="3" t="s">
        <v>45</v>
      </c>
      <c r="B1209" s="3">
        <v>2016.0</v>
      </c>
      <c r="C1209" s="3" t="s">
        <v>11</v>
      </c>
      <c r="D1209" s="3">
        <v>216.5</v>
      </c>
      <c r="E1209" s="3">
        <v>484.2</v>
      </c>
      <c r="F1209" s="3">
        <v>188.0</v>
      </c>
      <c r="G1209" s="3">
        <v>11.0</v>
      </c>
      <c r="H1209" s="3">
        <v>10.2</v>
      </c>
    </row>
    <row r="1210" ht="15.75" customHeight="1">
      <c r="A1210" s="3" t="s">
        <v>45</v>
      </c>
      <c r="B1210" s="3">
        <v>2016.0</v>
      </c>
      <c r="C1210" s="3" t="s">
        <v>13</v>
      </c>
      <c r="D1210" s="3">
        <v>162.9</v>
      </c>
      <c r="E1210" s="3">
        <v>460.9</v>
      </c>
      <c r="F1210" s="3">
        <v>170.2</v>
      </c>
      <c r="G1210" s="3">
        <v>2.0</v>
      </c>
      <c r="H1210" s="3">
        <v>26.1</v>
      </c>
    </row>
    <row r="1211" ht="15.75" customHeight="1">
      <c r="A1211" s="3" t="s">
        <v>45</v>
      </c>
      <c r="B1211" s="3">
        <v>2016.0</v>
      </c>
      <c r="C1211" s="3" t="s">
        <v>14</v>
      </c>
      <c r="D1211" s="3">
        <v>104.3</v>
      </c>
      <c r="E1211" s="3">
        <v>221.3</v>
      </c>
      <c r="F1211" s="3">
        <v>128.6</v>
      </c>
      <c r="G1211" s="3">
        <v>6.0</v>
      </c>
      <c r="H1211" s="3">
        <v>35.6</v>
      </c>
    </row>
    <row r="1212" ht="15.75" customHeight="1">
      <c r="A1212" s="3" t="s">
        <v>45</v>
      </c>
      <c r="B1212" s="3">
        <v>2017.0</v>
      </c>
      <c r="C1212" s="3" t="s">
        <v>9</v>
      </c>
      <c r="D1212" s="3">
        <v>157.5</v>
      </c>
      <c r="E1212" s="3">
        <v>393.1</v>
      </c>
      <c r="F1212" s="3">
        <v>186.0</v>
      </c>
      <c r="G1212" s="3">
        <v>10.0</v>
      </c>
      <c r="H1212" s="3">
        <v>38.3</v>
      </c>
    </row>
    <row r="1213" ht="15.75" customHeight="1">
      <c r="A1213" s="3" t="s">
        <v>45</v>
      </c>
      <c r="B1213" s="3">
        <v>2017.0</v>
      </c>
      <c r="C1213" s="3" t="s">
        <v>10</v>
      </c>
      <c r="D1213" s="3">
        <v>180.8</v>
      </c>
      <c r="E1213" s="3">
        <v>491.2</v>
      </c>
      <c r="F1213" s="3">
        <v>234.0</v>
      </c>
      <c r="G1213" s="3">
        <v>9.0</v>
      </c>
      <c r="H1213" s="3">
        <v>14.2</v>
      </c>
    </row>
    <row r="1214" ht="15.75" customHeight="1">
      <c r="A1214" s="3" t="s">
        <v>45</v>
      </c>
      <c r="B1214" s="3">
        <v>2017.0</v>
      </c>
      <c r="C1214" s="3" t="s">
        <v>11</v>
      </c>
      <c r="D1214" s="3">
        <v>218.3</v>
      </c>
      <c r="E1214" s="3">
        <v>541.5</v>
      </c>
      <c r="F1214" s="3">
        <v>231.7</v>
      </c>
      <c r="G1214" s="3">
        <v>11.0</v>
      </c>
      <c r="H1214" s="3">
        <v>29.4</v>
      </c>
    </row>
    <row r="1215" ht="15.75" customHeight="1">
      <c r="A1215" s="3" t="s">
        <v>45</v>
      </c>
      <c r="B1215" s="3">
        <v>2017.0</v>
      </c>
      <c r="C1215" s="3" t="s">
        <v>13</v>
      </c>
      <c r="D1215" s="3">
        <v>204.1</v>
      </c>
      <c r="E1215" s="3">
        <v>429.8</v>
      </c>
      <c r="F1215" s="3">
        <v>262.4</v>
      </c>
      <c r="G1215" s="3">
        <v>10.0</v>
      </c>
      <c r="H1215" s="3">
        <v>5.9</v>
      </c>
    </row>
    <row r="1216" ht="15.75" customHeight="1">
      <c r="A1216" s="3" t="s">
        <v>45</v>
      </c>
      <c r="B1216" s="3">
        <v>2017.0</v>
      </c>
      <c r="C1216" s="3" t="s">
        <v>14</v>
      </c>
      <c r="D1216" s="3">
        <v>149.5</v>
      </c>
      <c r="E1216" s="3">
        <v>323.5</v>
      </c>
      <c r="F1216" s="3">
        <v>157.6</v>
      </c>
      <c r="G1216" s="3">
        <v>4.0</v>
      </c>
      <c r="H1216" s="3">
        <v>34.5</v>
      </c>
    </row>
    <row r="1217" ht="15.75" customHeight="1">
      <c r="A1217" s="3" t="s">
        <v>45</v>
      </c>
      <c r="B1217" s="3">
        <v>2018.0</v>
      </c>
      <c r="C1217" s="3" t="s">
        <v>9</v>
      </c>
      <c r="D1217" s="3">
        <v>196.2</v>
      </c>
      <c r="E1217" s="3">
        <v>426.7</v>
      </c>
      <c r="F1217" s="3">
        <v>292.6</v>
      </c>
      <c r="G1217" s="3">
        <v>8.0</v>
      </c>
      <c r="H1217" s="3">
        <v>29.4</v>
      </c>
    </row>
    <row r="1218" ht="15.75" customHeight="1">
      <c r="A1218" s="3" t="s">
        <v>45</v>
      </c>
      <c r="B1218" s="3">
        <v>2018.0</v>
      </c>
      <c r="C1218" s="3" t="s">
        <v>10</v>
      </c>
      <c r="D1218" s="3">
        <v>182.1</v>
      </c>
      <c r="E1218" s="3">
        <v>482.5</v>
      </c>
      <c r="F1218" s="3">
        <v>148.8</v>
      </c>
      <c r="G1218" s="3">
        <v>6.0</v>
      </c>
      <c r="H1218" s="3">
        <v>4.0</v>
      </c>
    </row>
    <row r="1219" ht="15.75" customHeight="1">
      <c r="A1219" s="3" t="s">
        <v>45</v>
      </c>
      <c r="B1219" s="3">
        <v>2018.0</v>
      </c>
      <c r="C1219" s="3" t="s">
        <v>11</v>
      </c>
      <c r="D1219" s="3">
        <v>137.8</v>
      </c>
      <c r="E1219" s="3">
        <v>293.2</v>
      </c>
      <c r="F1219" s="3">
        <v>112.0</v>
      </c>
      <c r="G1219" s="3">
        <v>2.0</v>
      </c>
      <c r="H1219" s="3">
        <v>15.8</v>
      </c>
    </row>
    <row r="1220" ht="15.75" customHeight="1">
      <c r="A1220" s="3" t="s">
        <v>45</v>
      </c>
      <c r="B1220" s="3">
        <v>2018.0</v>
      </c>
      <c r="C1220" s="3" t="s">
        <v>13</v>
      </c>
      <c r="D1220" s="3">
        <v>123.9</v>
      </c>
      <c r="E1220" s="3">
        <v>292.8</v>
      </c>
      <c r="F1220" s="3">
        <v>117.9</v>
      </c>
      <c r="G1220" s="3">
        <v>5.0</v>
      </c>
      <c r="H1220" s="3">
        <v>25.3</v>
      </c>
    </row>
    <row r="1221" ht="15.75" customHeight="1">
      <c r="A1221" s="3" t="s">
        <v>45</v>
      </c>
      <c r="B1221" s="3">
        <v>2018.0</v>
      </c>
      <c r="C1221" s="3" t="s">
        <v>14</v>
      </c>
      <c r="D1221" s="3">
        <v>267.3</v>
      </c>
      <c r="E1221" s="3">
        <v>553.7</v>
      </c>
      <c r="F1221" s="3">
        <v>230.6</v>
      </c>
      <c r="G1221" s="3">
        <v>6.0</v>
      </c>
      <c r="H1221" s="3">
        <v>22.9</v>
      </c>
    </row>
    <row r="1222" ht="15.75" customHeight="1">
      <c r="A1222" s="3" t="s">
        <v>45</v>
      </c>
      <c r="B1222" s="3">
        <v>2019.0</v>
      </c>
      <c r="C1222" s="3" t="s">
        <v>9</v>
      </c>
      <c r="D1222" s="3">
        <v>198.2</v>
      </c>
      <c r="E1222" s="3">
        <v>504.2</v>
      </c>
      <c r="F1222" s="3">
        <v>200.9</v>
      </c>
      <c r="G1222" s="3">
        <v>2.0</v>
      </c>
      <c r="H1222" s="3">
        <v>5.2</v>
      </c>
    </row>
    <row r="1223" ht="15.75" customHeight="1">
      <c r="A1223" s="3" t="s">
        <v>45</v>
      </c>
      <c r="B1223" s="3">
        <v>2019.0</v>
      </c>
      <c r="C1223" s="3" t="s">
        <v>10</v>
      </c>
      <c r="D1223" s="3">
        <v>248.3</v>
      </c>
      <c r="E1223" s="3">
        <v>649.5</v>
      </c>
      <c r="F1223" s="3">
        <v>275.8</v>
      </c>
      <c r="G1223" s="3">
        <v>6.0</v>
      </c>
      <c r="H1223" s="3">
        <v>20.1</v>
      </c>
    </row>
    <row r="1224" ht="15.75" customHeight="1">
      <c r="A1224" s="3" t="s">
        <v>45</v>
      </c>
      <c r="B1224" s="3">
        <v>2019.0</v>
      </c>
      <c r="C1224" s="3" t="s">
        <v>11</v>
      </c>
      <c r="D1224" s="3">
        <v>257.3</v>
      </c>
      <c r="E1224" s="3">
        <v>650.4</v>
      </c>
      <c r="F1224" s="3">
        <v>338.1</v>
      </c>
      <c r="G1224" s="3">
        <v>10.0</v>
      </c>
      <c r="H1224" s="3">
        <v>35.4</v>
      </c>
    </row>
    <row r="1225" ht="15.75" customHeight="1">
      <c r="A1225" s="3" t="s">
        <v>45</v>
      </c>
      <c r="B1225" s="3">
        <v>2019.0</v>
      </c>
      <c r="C1225" s="3" t="s">
        <v>13</v>
      </c>
      <c r="D1225" s="3">
        <v>165.4</v>
      </c>
      <c r="E1225" s="3">
        <v>406.9</v>
      </c>
      <c r="F1225" s="3">
        <v>154.7</v>
      </c>
      <c r="G1225" s="3">
        <v>2.0</v>
      </c>
      <c r="H1225" s="3">
        <v>44.9</v>
      </c>
    </row>
    <row r="1226" ht="15.75" customHeight="1">
      <c r="A1226" s="3" t="s">
        <v>45</v>
      </c>
      <c r="B1226" s="3">
        <v>2019.0</v>
      </c>
      <c r="C1226" s="3" t="s">
        <v>14</v>
      </c>
      <c r="D1226" s="3">
        <v>227.9</v>
      </c>
      <c r="E1226" s="3">
        <v>627.7</v>
      </c>
      <c r="F1226" s="3">
        <v>334.8</v>
      </c>
      <c r="G1226" s="3">
        <v>5.0</v>
      </c>
      <c r="H1226" s="3">
        <v>42.3</v>
      </c>
    </row>
    <row r="1227" ht="15.75" customHeight="1">
      <c r="A1227" s="3" t="s">
        <v>45</v>
      </c>
      <c r="B1227" s="3">
        <v>2020.0</v>
      </c>
      <c r="C1227" s="3" t="s">
        <v>9</v>
      </c>
      <c r="D1227" s="3">
        <v>297.0</v>
      </c>
      <c r="E1227" s="3">
        <v>644.0</v>
      </c>
      <c r="F1227" s="3">
        <v>410.9</v>
      </c>
      <c r="G1227" s="3">
        <v>7.0</v>
      </c>
      <c r="H1227" s="3">
        <v>44.7</v>
      </c>
    </row>
    <row r="1228" ht="15.75" customHeight="1">
      <c r="A1228" s="3" t="s">
        <v>45</v>
      </c>
      <c r="B1228" s="3">
        <v>2020.0</v>
      </c>
      <c r="C1228" s="3" t="s">
        <v>10</v>
      </c>
      <c r="D1228" s="3">
        <v>296.4</v>
      </c>
      <c r="E1228" s="3">
        <v>889.0</v>
      </c>
      <c r="F1228" s="3">
        <v>363.3</v>
      </c>
      <c r="G1228" s="3">
        <v>3.0</v>
      </c>
      <c r="H1228" s="3">
        <v>48.1</v>
      </c>
    </row>
    <row r="1229" ht="15.75" customHeight="1">
      <c r="A1229" s="3" t="s">
        <v>45</v>
      </c>
      <c r="B1229" s="3">
        <v>2020.0</v>
      </c>
      <c r="C1229" s="3" t="s">
        <v>11</v>
      </c>
      <c r="D1229" s="3">
        <v>256.2</v>
      </c>
      <c r="E1229" s="3">
        <v>767.8</v>
      </c>
      <c r="F1229" s="3">
        <v>356.7</v>
      </c>
      <c r="G1229" s="3">
        <v>3.0</v>
      </c>
      <c r="H1229" s="3">
        <v>45.8</v>
      </c>
    </row>
    <row r="1230" ht="15.75" customHeight="1">
      <c r="A1230" s="3" t="s">
        <v>45</v>
      </c>
      <c r="B1230" s="3">
        <v>2020.0</v>
      </c>
      <c r="C1230" s="3" t="s">
        <v>13</v>
      </c>
      <c r="D1230" s="3">
        <v>246.9</v>
      </c>
      <c r="E1230" s="3">
        <v>708.2</v>
      </c>
      <c r="F1230" s="3">
        <v>341.7</v>
      </c>
      <c r="G1230" s="3">
        <v>5.0</v>
      </c>
      <c r="H1230" s="3">
        <v>31.1</v>
      </c>
    </row>
    <row r="1231" ht="15.75" customHeight="1">
      <c r="A1231" s="3" t="s">
        <v>45</v>
      </c>
      <c r="B1231" s="3">
        <v>2020.0</v>
      </c>
      <c r="C1231" s="3" t="s">
        <v>14</v>
      </c>
      <c r="D1231" s="3">
        <v>289.2</v>
      </c>
      <c r="E1231" s="3">
        <v>662.6</v>
      </c>
      <c r="F1231" s="3">
        <v>299.4</v>
      </c>
      <c r="G1231" s="3">
        <v>11.0</v>
      </c>
      <c r="H1231" s="3">
        <v>29.5</v>
      </c>
    </row>
    <row r="1232" ht="15.75" customHeight="1">
      <c r="A1232" s="3" t="s">
        <v>45</v>
      </c>
      <c r="B1232" s="3">
        <v>2021.0</v>
      </c>
      <c r="C1232" s="3" t="s">
        <v>9</v>
      </c>
      <c r="D1232" s="3">
        <v>306.4</v>
      </c>
      <c r="E1232" s="3">
        <v>718.0</v>
      </c>
      <c r="F1232" s="3">
        <v>274.8</v>
      </c>
      <c r="G1232" s="3">
        <v>6.0</v>
      </c>
      <c r="H1232" s="3">
        <v>25.3</v>
      </c>
    </row>
    <row r="1233" ht="15.75" customHeight="1">
      <c r="A1233" s="3" t="s">
        <v>45</v>
      </c>
      <c r="B1233" s="3">
        <v>2021.0</v>
      </c>
      <c r="C1233" s="3" t="s">
        <v>10</v>
      </c>
      <c r="D1233" s="3">
        <v>303.8</v>
      </c>
      <c r="E1233" s="3">
        <v>813.8</v>
      </c>
      <c r="F1233" s="3">
        <v>332.6</v>
      </c>
      <c r="G1233" s="3">
        <v>8.0</v>
      </c>
      <c r="H1233" s="3">
        <v>47.9</v>
      </c>
    </row>
    <row r="1234" ht="15.75" customHeight="1">
      <c r="A1234" s="3" t="s">
        <v>45</v>
      </c>
      <c r="B1234" s="3">
        <v>2021.0</v>
      </c>
      <c r="C1234" s="3" t="s">
        <v>11</v>
      </c>
      <c r="D1234" s="3">
        <v>316.4</v>
      </c>
      <c r="E1234" s="3">
        <v>758.6</v>
      </c>
      <c r="F1234" s="3">
        <v>327.8</v>
      </c>
      <c r="G1234" s="3">
        <v>5.0</v>
      </c>
      <c r="H1234" s="3">
        <v>11.4</v>
      </c>
    </row>
    <row r="1235" ht="15.75" customHeight="1">
      <c r="A1235" s="3" t="s">
        <v>45</v>
      </c>
      <c r="B1235" s="3">
        <v>2021.0</v>
      </c>
      <c r="C1235" s="3" t="s">
        <v>13</v>
      </c>
      <c r="D1235" s="3">
        <v>314.8</v>
      </c>
      <c r="E1235" s="3">
        <v>652.5</v>
      </c>
      <c r="F1235" s="3">
        <v>439.2</v>
      </c>
      <c r="G1235" s="3">
        <v>11.0</v>
      </c>
      <c r="H1235" s="3">
        <v>20.8</v>
      </c>
    </row>
    <row r="1236" ht="15.75" customHeight="1">
      <c r="A1236" s="3" t="s">
        <v>45</v>
      </c>
      <c r="B1236" s="3">
        <v>2021.0</v>
      </c>
      <c r="C1236" s="3" t="s">
        <v>14</v>
      </c>
      <c r="D1236" s="3">
        <v>267.9</v>
      </c>
      <c r="E1236" s="3">
        <v>789.3</v>
      </c>
      <c r="F1236" s="3">
        <v>292.1</v>
      </c>
      <c r="G1236" s="3">
        <v>8.0</v>
      </c>
      <c r="H1236" s="3">
        <v>44.3</v>
      </c>
    </row>
    <row r="1237" ht="15.75" customHeight="1">
      <c r="A1237" s="3" t="s">
        <v>45</v>
      </c>
      <c r="B1237" s="3">
        <v>2022.0</v>
      </c>
      <c r="C1237" s="3" t="s">
        <v>9</v>
      </c>
      <c r="D1237" s="3">
        <v>290.1</v>
      </c>
      <c r="E1237" s="3">
        <v>850.2</v>
      </c>
      <c r="F1237" s="3">
        <v>402.1</v>
      </c>
      <c r="G1237" s="3">
        <v>7.0</v>
      </c>
      <c r="H1237" s="3">
        <v>25.2</v>
      </c>
    </row>
    <row r="1238" ht="15.75" customHeight="1">
      <c r="A1238" s="3" t="s">
        <v>45</v>
      </c>
      <c r="B1238" s="3">
        <v>2022.0</v>
      </c>
      <c r="C1238" s="3" t="s">
        <v>10</v>
      </c>
      <c r="D1238" s="3">
        <v>369.1</v>
      </c>
      <c r="E1238" s="3">
        <v>1014.5</v>
      </c>
      <c r="F1238" s="3">
        <v>497.9</v>
      </c>
      <c r="G1238" s="3">
        <v>6.0</v>
      </c>
      <c r="H1238" s="3">
        <v>36.3</v>
      </c>
    </row>
    <row r="1239" ht="15.75" customHeight="1">
      <c r="A1239" s="3" t="s">
        <v>45</v>
      </c>
      <c r="B1239" s="3">
        <v>2022.0</v>
      </c>
      <c r="C1239" s="3" t="s">
        <v>11</v>
      </c>
      <c r="D1239" s="3">
        <v>280.3</v>
      </c>
      <c r="E1239" s="3">
        <v>829.4</v>
      </c>
      <c r="F1239" s="3">
        <v>406.9</v>
      </c>
      <c r="G1239" s="3">
        <v>5.0</v>
      </c>
      <c r="H1239" s="3">
        <v>36.4</v>
      </c>
    </row>
    <row r="1240" ht="15.75" customHeight="1">
      <c r="A1240" s="3" t="s">
        <v>45</v>
      </c>
      <c r="B1240" s="3">
        <v>2022.0</v>
      </c>
      <c r="C1240" s="3" t="s">
        <v>13</v>
      </c>
      <c r="D1240" s="3">
        <v>305.8</v>
      </c>
      <c r="E1240" s="3">
        <v>694.7</v>
      </c>
      <c r="F1240" s="3">
        <v>326.8</v>
      </c>
      <c r="G1240" s="3">
        <v>12.0</v>
      </c>
      <c r="H1240" s="3">
        <v>12.0</v>
      </c>
    </row>
    <row r="1241" ht="15.75" customHeight="1">
      <c r="A1241" s="3" t="s">
        <v>45</v>
      </c>
      <c r="B1241" s="3">
        <v>2022.0</v>
      </c>
      <c r="C1241" s="3" t="s">
        <v>14</v>
      </c>
      <c r="D1241" s="3">
        <v>356.6</v>
      </c>
      <c r="E1241" s="3">
        <v>1012.9</v>
      </c>
      <c r="F1241" s="3">
        <v>460.3</v>
      </c>
      <c r="G1241" s="3">
        <v>10.0</v>
      </c>
      <c r="H1241" s="3">
        <v>10.6</v>
      </c>
    </row>
    <row r="1242" ht="15.75" customHeight="1">
      <c r="A1242" s="3" t="s">
        <v>45</v>
      </c>
      <c r="B1242" s="3">
        <v>2023.0</v>
      </c>
      <c r="C1242" s="3" t="s">
        <v>9</v>
      </c>
      <c r="D1242" s="3">
        <v>345.1</v>
      </c>
      <c r="E1242" s="3">
        <v>992.3</v>
      </c>
      <c r="F1242" s="3">
        <v>462.6</v>
      </c>
      <c r="G1242" s="3">
        <v>7.0</v>
      </c>
      <c r="H1242" s="3">
        <v>49.5</v>
      </c>
    </row>
    <row r="1243" ht="15.75" customHeight="1">
      <c r="A1243" s="3" t="s">
        <v>45</v>
      </c>
      <c r="B1243" s="3">
        <v>2023.0</v>
      </c>
      <c r="C1243" s="3" t="s">
        <v>10</v>
      </c>
      <c r="D1243" s="3">
        <v>414.3</v>
      </c>
      <c r="E1243" s="3">
        <v>1018.7</v>
      </c>
      <c r="F1243" s="3">
        <v>400.6</v>
      </c>
      <c r="G1243" s="3">
        <v>8.0</v>
      </c>
      <c r="H1243" s="3">
        <v>41.7</v>
      </c>
    </row>
    <row r="1244" ht="15.75" customHeight="1">
      <c r="A1244" s="3" t="s">
        <v>45</v>
      </c>
      <c r="B1244" s="3">
        <v>2023.0</v>
      </c>
      <c r="C1244" s="3" t="s">
        <v>11</v>
      </c>
      <c r="D1244" s="3">
        <v>327.1</v>
      </c>
      <c r="E1244" s="3">
        <v>817.9</v>
      </c>
      <c r="F1244" s="3">
        <v>457.6</v>
      </c>
      <c r="G1244" s="3">
        <v>4.0</v>
      </c>
      <c r="H1244" s="3">
        <v>31.9</v>
      </c>
    </row>
    <row r="1245" ht="15.75" customHeight="1">
      <c r="A1245" s="3" t="s">
        <v>45</v>
      </c>
      <c r="B1245" s="3">
        <v>2023.0</v>
      </c>
      <c r="C1245" s="3" t="s">
        <v>13</v>
      </c>
      <c r="D1245" s="3">
        <v>318.3</v>
      </c>
      <c r="E1245" s="3">
        <v>798.4</v>
      </c>
      <c r="F1245" s="3">
        <v>372.5</v>
      </c>
      <c r="G1245" s="3">
        <v>11.0</v>
      </c>
      <c r="H1245" s="3">
        <v>2.4</v>
      </c>
    </row>
    <row r="1246" ht="15.75" customHeight="1">
      <c r="A1246" s="3" t="s">
        <v>45</v>
      </c>
      <c r="B1246" s="3">
        <v>2023.0</v>
      </c>
      <c r="C1246" s="3" t="s">
        <v>14</v>
      </c>
      <c r="D1246" s="3">
        <v>366.1</v>
      </c>
      <c r="E1246" s="3">
        <v>915.5</v>
      </c>
      <c r="F1246" s="3">
        <v>522.1</v>
      </c>
      <c r="G1246" s="3">
        <v>11.0</v>
      </c>
      <c r="H1246" s="3">
        <v>41.8</v>
      </c>
    </row>
    <row r="1247" ht="15.75" customHeight="1">
      <c r="A1247" s="3" t="s">
        <v>45</v>
      </c>
      <c r="B1247" s="3">
        <v>2024.0</v>
      </c>
      <c r="C1247" s="3" t="s">
        <v>9</v>
      </c>
      <c r="D1247" s="3">
        <v>388.2</v>
      </c>
      <c r="E1247" s="3">
        <v>1095.1</v>
      </c>
      <c r="F1247" s="3">
        <v>320.8</v>
      </c>
      <c r="G1247" s="3">
        <v>6.0</v>
      </c>
      <c r="H1247" s="3">
        <v>47.6</v>
      </c>
    </row>
    <row r="1248" ht="15.75" customHeight="1">
      <c r="A1248" s="3" t="s">
        <v>45</v>
      </c>
      <c r="B1248" s="3">
        <v>2024.0</v>
      </c>
      <c r="C1248" s="3" t="s">
        <v>10</v>
      </c>
      <c r="D1248" s="3">
        <v>418.4</v>
      </c>
      <c r="E1248" s="3">
        <v>840.3</v>
      </c>
      <c r="F1248" s="3">
        <v>384.1</v>
      </c>
      <c r="G1248" s="3">
        <v>8.0</v>
      </c>
      <c r="H1248" s="3">
        <v>37.0</v>
      </c>
    </row>
    <row r="1249" ht="15.75" customHeight="1">
      <c r="A1249" s="3" t="s">
        <v>45</v>
      </c>
      <c r="B1249" s="3">
        <v>2024.0</v>
      </c>
      <c r="C1249" s="3" t="s">
        <v>11</v>
      </c>
      <c r="D1249" s="3">
        <v>348.8</v>
      </c>
      <c r="E1249" s="3">
        <v>835.2</v>
      </c>
      <c r="F1249" s="3">
        <v>279.4</v>
      </c>
      <c r="G1249" s="3">
        <v>12.0</v>
      </c>
      <c r="H1249" s="3">
        <v>35.6</v>
      </c>
    </row>
    <row r="1250" ht="15.75" customHeight="1">
      <c r="A1250" s="3" t="s">
        <v>45</v>
      </c>
      <c r="B1250" s="3">
        <v>2024.0</v>
      </c>
      <c r="C1250" s="3" t="s">
        <v>13</v>
      </c>
      <c r="D1250" s="3">
        <v>368.1</v>
      </c>
      <c r="E1250" s="3">
        <v>1005.1</v>
      </c>
      <c r="F1250" s="3">
        <v>428.9</v>
      </c>
      <c r="G1250" s="3">
        <v>4.0</v>
      </c>
      <c r="H1250" s="3">
        <v>22.8</v>
      </c>
    </row>
    <row r="1251" ht="15.75" customHeight="1">
      <c r="A1251" s="3" t="s">
        <v>45</v>
      </c>
      <c r="B1251" s="3">
        <v>2024.0</v>
      </c>
      <c r="C1251" s="3" t="s">
        <v>14</v>
      </c>
      <c r="D1251" s="3">
        <v>389.7</v>
      </c>
      <c r="E1251" s="3">
        <v>1257.7</v>
      </c>
      <c r="F1251" s="3">
        <v>579.0</v>
      </c>
      <c r="G1251" s="3">
        <v>6.0</v>
      </c>
      <c r="H1251" s="3">
        <v>49.9</v>
      </c>
    </row>
    <row r="1252" ht="15.75" customHeight="1">
      <c r="A1252" s="3" t="s">
        <v>46</v>
      </c>
      <c r="B1252" s="3">
        <v>2015.0</v>
      </c>
      <c r="C1252" s="3" t="s">
        <v>9</v>
      </c>
      <c r="D1252" s="3">
        <v>172.2</v>
      </c>
      <c r="E1252" s="3">
        <v>374.7</v>
      </c>
      <c r="F1252" s="3">
        <v>207.7</v>
      </c>
      <c r="G1252" s="3">
        <v>2.0</v>
      </c>
      <c r="H1252" s="3">
        <v>45.8</v>
      </c>
    </row>
    <row r="1253" ht="15.75" customHeight="1">
      <c r="A1253" s="3" t="s">
        <v>46</v>
      </c>
      <c r="B1253" s="3">
        <v>2015.0</v>
      </c>
      <c r="C1253" s="3" t="s">
        <v>10</v>
      </c>
      <c r="D1253" s="3">
        <v>99.3</v>
      </c>
      <c r="E1253" s="3">
        <v>282.8</v>
      </c>
      <c r="F1253" s="3">
        <v>133.1</v>
      </c>
      <c r="G1253" s="3">
        <v>6.0</v>
      </c>
      <c r="H1253" s="3">
        <v>40.5</v>
      </c>
    </row>
    <row r="1254" ht="15.75" customHeight="1">
      <c r="A1254" s="3" t="s">
        <v>46</v>
      </c>
      <c r="B1254" s="3">
        <v>2015.0</v>
      </c>
      <c r="C1254" s="3" t="s">
        <v>11</v>
      </c>
      <c r="D1254" s="3">
        <v>88.9</v>
      </c>
      <c r="E1254" s="3">
        <v>217.8</v>
      </c>
      <c r="F1254" s="3">
        <v>91.1</v>
      </c>
      <c r="G1254" s="3">
        <v>1.0</v>
      </c>
      <c r="H1254" s="3">
        <v>46.4</v>
      </c>
    </row>
    <row r="1255" ht="15.75" customHeight="1">
      <c r="A1255" s="3" t="s">
        <v>46</v>
      </c>
      <c r="B1255" s="3">
        <v>2015.0</v>
      </c>
      <c r="C1255" s="3" t="s">
        <v>13</v>
      </c>
      <c r="D1255" s="3">
        <v>74.6</v>
      </c>
      <c r="E1255" s="3">
        <v>213.5</v>
      </c>
      <c r="F1255" s="3">
        <v>89.3</v>
      </c>
      <c r="G1255" s="3">
        <v>9.0</v>
      </c>
      <c r="H1255" s="3">
        <v>36.7</v>
      </c>
    </row>
    <row r="1256" ht="15.75" customHeight="1">
      <c r="A1256" s="3" t="s">
        <v>46</v>
      </c>
      <c r="B1256" s="3">
        <v>2015.0</v>
      </c>
      <c r="C1256" s="3" t="s">
        <v>14</v>
      </c>
      <c r="D1256" s="3">
        <v>177.4</v>
      </c>
      <c r="E1256" s="3">
        <v>512.5</v>
      </c>
      <c r="F1256" s="3">
        <v>196.6</v>
      </c>
      <c r="G1256" s="3">
        <v>3.0</v>
      </c>
      <c r="H1256" s="3">
        <v>6.5</v>
      </c>
    </row>
    <row r="1257" ht="15.75" customHeight="1">
      <c r="A1257" s="3" t="s">
        <v>46</v>
      </c>
      <c r="B1257" s="3">
        <v>2016.0</v>
      </c>
      <c r="C1257" s="3" t="s">
        <v>9</v>
      </c>
      <c r="D1257" s="3">
        <v>159.8</v>
      </c>
      <c r="E1257" s="3">
        <v>416.1</v>
      </c>
      <c r="F1257" s="3">
        <v>164.3</v>
      </c>
      <c r="G1257" s="3">
        <v>4.0</v>
      </c>
      <c r="H1257" s="3">
        <v>42.1</v>
      </c>
    </row>
    <row r="1258" ht="15.75" customHeight="1">
      <c r="A1258" s="3" t="s">
        <v>46</v>
      </c>
      <c r="B1258" s="3">
        <v>2016.0</v>
      </c>
      <c r="C1258" s="3" t="s">
        <v>10</v>
      </c>
      <c r="D1258" s="3">
        <v>172.7</v>
      </c>
      <c r="E1258" s="3">
        <v>453.0</v>
      </c>
      <c r="F1258" s="3">
        <v>145.0</v>
      </c>
      <c r="G1258" s="3">
        <v>7.0</v>
      </c>
      <c r="H1258" s="3">
        <v>44.8</v>
      </c>
    </row>
    <row r="1259" ht="15.75" customHeight="1">
      <c r="A1259" s="3" t="s">
        <v>46</v>
      </c>
      <c r="B1259" s="3">
        <v>2016.0</v>
      </c>
      <c r="C1259" s="3" t="s">
        <v>11</v>
      </c>
      <c r="D1259" s="3">
        <v>116.3</v>
      </c>
      <c r="E1259" s="3">
        <v>237.9</v>
      </c>
      <c r="F1259" s="3">
        <v>122.0</v>
      </c>
      <c r="G1259" s="3">
        <v>6.0</v>
      </c>
      <c r="H1259" s="3">
        <v>9.1</v>
      </c>
    </row>
    <row r="1260" ht="15.75" customHeight="1">
      <c r="A1260" s="3" t="s">
        <v>46</v>
      </c>
      <c r="B1260" s="3">
        <v>2016.0</v>
      </c>
      <c r="C1260" s="3" t="s">
        <v>13</v>
      </c>
      <c r="D1260" s="3">
        <v>183.9</v>
      </c>
      <c r="E1260" s="3">
        <v>381.0</v>
      </c>
      <c r="F1260" s="3">
        <v>166.1</v>
      </c>
      <c r="G1260" s="3">
        <v>7.0</v>
      </c>
      <c r="H1260" s="3">
        <v>28.9</v>
      </c>
    </row>
    <row r="1261" ht="15.75" customHeight="1">
      <c r="A1261" s="3" t="s">
        <v>46</v>
      </c>
      <c r="B1261" s="3">
        <v>2016.0</v>
      </c>
      <c r="C1261" s="3" t="s">
        <v>14</v>
      </c>
      <c r="D1261" s="3">
        <v>66.2</v>
      </c>
      <c r="E1261" s="3">
        <v>182.1</v>
      </c>
      <c r="F1261" s="3">
        <v>87.8</v>
      </c>
      <c r="G1261" s="3">
        <v>4.0</v>
      </c>
      <c r="H1261" s="3">
        <v>6.4</v>
      </c>
    </row>
    <row r="1262" ht="15.75" customHeight="1">
      <c r="A1262" s="3" t="s">
        <v>46</v>
      </c>
      <c r="B1262" s="3">
        <v>2017.0</v>
      </c>
      <c r="C1262" s="3" t="s">
        <v>9</v>
      </c>
      <c r="D1262" s="3">
        <v>169.4</v>
      </c>
      <c r="E1262" s="3">
        <v>444.0</v>
      </c>
      <c r="F1262" s="3">
        <v>227.7</v>
      </c>
      <c r="G1262" s="3">
        <v>2.0</v>
      </c>
      <c r="H1262" s="3">
        <v>16.5</v>
      </c>
    </row>
    <row r="1263" ht="15.75" customHeight="1">
      <c r="A1263" s="3" t="s">
        <v>46</v>
      </c>
      <c r="B1263" s="3">
        <v>2017.0</v>
      </c>
      <c r="C1263" s="3" t="s">
        <v>10</v>
      </c>
      <c r="D1263" s="3">
        <v>148.3</v>
      </c>
      <c r="E1263" s="3">
        <v>337.7</v>
      </c>
      <c r="F1263" s="3">
        <v>185.3</v>
      </c>
      <c r="G1263" s="3">
        <v>3.0</v>
      </c>
      <c r="H1263" s="3">
        <v>42.0</v>
      </c>
    </row>
    <row r="1264" ht="15.75" customHeight="1">
      <c r="A1264" s="3" t="s">
        <v>46</v>
      </c>
      <c r="B1264" s="3">
        <v>2017.0</v>
      </c>
      <c r="C1264" s="3" t="s">
        <v>11</v>
      </c>
      <c r="D1264" s="3">
        <v>211.5</v>
      </c>
      <c r="E1264" s="3">
        <v>541.8</v>
      </c>
      <c r="F1264" s="3">
        <v>299.9</v>
      </c>
      <c r="G1264" s="3">
        <v>4.0</v>
      </c>
      <c r="H1264" s="3">
        <v>26.4</v>
      </c>
    </row>
    <row r="1265" ht="15.75" customHeight="1">
      <c r="A1265" s="3" t="s">
        <v>46</v>
      </c>
      <c r="B1265" s="3">
        <v>2017.0</v>
      </c>
      <c r="C1265" s="3" t="s">
        <v>13</v>
      </c>
      <c r="D1265" s="3">
        <v>144.2</v>
      </c>
      <c r="E1265" s="3">
        <v>423.2</v>
      </c>
      <c r="F1265" s="3">
        <v>168.2</v>
      </c>
      <c r="G1265" s="3">
        <v>6.0</v>
      </c>
      <c r="H1265" s="3">
        <v>4.6</v>
      </c>
    </row>
    <row r="1266" ht="15.75" customHeight="1">
      <c r="A1266" s="3" t="s">
        <v>46</v>
      </c>
      <c r="B1266" s="3">
        <v>2017.0</v>
      </c>
      <c r="C1266" s="3" t="s">
        <v>14</v>
      </c>
      <c r="D1266" s="3">
        <v>150.9</v>
      </c>
      <c r="E1266" s="3">
        <v>385.6</v>
      </c>
      <c r="F1266" s="3">
        <v>198.8</v>
      </c>
      <c r="G1266" s="3">
        <v>8.0</v>
      </c>
      <c r="H1266" s="3">
        <v>14.3</v>
      </c>
    </row>
    <row r="1267" ht="15.75" customHeight="1">
      <c r="A1267" s="3" t="s">
        <v>46</v>
      </c>
      <c r="B1267" s="3">
        <v>2018.0</v>
      </c>
      <c r="C1267" s="3" t="s">
        <v>9</v>
      </c>
      <c r="D1267" s="3">
        <v>175.4</v>
      </c>
      <c r="E1267" s="3">
        <v>405.5</v>
      </c>
      <c r="F1267" s="3">
        <v>177.9</v>
      </c>
      <c r="G1267" s="3">
        <v>2.0</v>
      </c>
      <c r="H1267" s="3">
        <v>28.9</v>
      </c>
    </row>
    <row r="1268" ht="15.75" customHeight="1">
      <c r="A1268" s="3" t="s">
        <v>46</v>
      </c>
      <c r="B1268" s="3">
        <v>2018.0</v>
      </c>
      <c r="C1268" s="3" t="s">
        <v>10</v>
      </c>
      <c r="D1268" s="3">
        <v>194.3</v>
      </c>
      <c r="E1268" s="3">
        <v>413.2</v>
      </c>
      <c r="F1268" s="3">
        <v>218.2</v>
      </c>
      <c r="G1268" s="3">
        <v>5.0</v>
      </c>
      <c r="H1268" s="3">
        <v>14.0</v>
      </c>
    </row>
    <row r="1269" ht="15.75" customHeight="1">
      <c r="A1269" s="3" t="s">
        <v>46</v>
      </c>
      <c r="B1269" s="3">
        <v>2018.0</v>
      </c>
      <c r="C1269" s="3" t="s">
        <v>11</v>
      </c>
      <c r="D1269" s="3">
        <v>231.0</v>
      </c>
      <c r="E1269" s="3">
        <v>485.2</v>
      </c>
      <c r="F1269" s="3">
        <v>190.3</v>
      </c>
      <c r="G1269" s="3">
        <v>9.0</v>
      </c>
      <c r="H1269" s="3">
        <v>18.4</v>
      </c>
    </row>
    <row r="1270" ht="15.75" customHeight="1">
      <c r="A1270" s="3" t="s">
        <v>46</v>
      </c>
      <c r="B1270" s="3">
        <v>2018.0</v>
      </c>
      <c r="C1270" s="3" t="s">
        <v>13</v>
      </c>
      <c r="D1270" s="3">
        <v>219.0</v>
      </c>
      <c r="E1270" s="3">
        <v>439.5</v>
      </c>
      <c r="F1270" s="3">
        <v>248.7</v>
      </c>
      <c r="G1270" s="3">
        <v>11.0</v>
      </c>
      <c r="H1270" s="3">
        <v>2.6</v>
      </c>
    </row>
    <row r="1271" ht="15.75" customHeight="1">
      <c r="A1271" s="3" t="s">
        <v>46</v>
      </c>
      <c r="B1271" s="3">
        <v>2018.0</v>
      </c>
      <c r="C1271" s="3" t="s">
        <v>14</v>
      </c>
      <c r="D1271" s="3">
        <v>262.3</v>
      </c>
      <c r="E1271" s="3">
        <v>597.8</v>
      </c>
      <c r="F1271" s="3">
        <v>316.6</v>
      </c>
      <c r="G1271" s="3">
        <v>7.0</v>
      </c>
      <c r="H1271" s="3">
        <v>8.1</v>
      </c>
    </row>
    <row r="1272" ht="15.75" customHeight="1">
      <c r="A1272" s="3" t="s">
        <v>46</v>
      </c>
      <c r="B1272" s="3">
        <v>2019.0</v>
      </c>
      <c r="C1272" s="3" t="s">
        <v>9</v>
      </c>
      <c r="D1272" s="3">
        <v>264.9</v>
      </c>
      <c r="E1272" s="3">
        <v>791.0</v>
      </c>
      <c r="F1272" s="3">
        <v>314.7</v>
      </c>
      <c r="G1272" s="3">
        <v>5.0</v>
      </c>
      <c r="H1272" s="3">
        <v>9.7</v>
      </c>
    </row>
    <row r="1273" ht="15.75" customHeight="1">
      <c r="A1273" s="3" t="s">
        <v>46</v>
      </c>
      <c r="B1273" s="3">
        <v>2019.0</v>
      </c>
      <c r="C1273" s="3" t="s">
        <v>10</v>
      </c>
      <c r="D1273" s="3">
        <v>254.2</v>
      </c>
      <c r="E1273" s="3">
        <v>698.5</v>
      </c>
      <c r="F1273" s="3">
        <v>364.0</v>
      </c>
      <c r="G1273" s="3">
        <v>10.0</v>
      </c>
      <c r="H1273" s="3">
        <v>3.7</v>
      </c>
    </row>
    <row r="1274" ht="15.75" customHeight="1">
      <c r="A1274" s="3" t="s">
        <v>46</v>
      </c>
      <c r="B1274" s="3">
        <v>2019.0</v>
      </c>
      <c r="C1274" s="3" t="s">
        <v>11</v>
      </c>
      <c r="D1274" s="3">
        <v>275.1</v>
      </c>
      <c r="E1274" s="3">
        <v>699.4</v>
      </c>
      <c r="F1274" s="3">
        <v>321.7</v>
      </c>
      <c r="G1274" s="3">
        <v>6.0</v>
      </c>
      <c r="H1274" s="3">
        <v>48.0</v>
      </c>
    </row>
    <row r="1275" ht="15.75" customHeight="1">
      <c r="A1275" s="3" t="s">
        <v>46</v>
      </c>
      <c r="B1275" s="3">
        <v>2019.0</v>
      </c>
      <c r="C1275" s="3" t="s">
        <v>13</v>
      </c>
      <c r="D1275" s="3">
        <v>204.3</v>
      </c>
      <c r="E1275" s="3">
        <v>574.2</v>
      </c>
      <c r="F1275" s="3">
        <v>176.0</v>
      </c>
      <c r="G1275" s="3">
        <v>8.0</v>
      </c>
      <c r="H1275" s="3">
        <v>28.6</v>
      </c>
    </row>
    <row r="1276" ht="15.75" customHeight="1">
      <c r="A1276" s="3" t="s">
        <v>46</v>
      </c>
      <c r="B1276" s="3">
        <v>2019.0</v>
      </c>
      <c r="C1276" s="3" t="s">
        <v>14</v>
      </c>
      <c r="D1276" s="3">
        <v>275.0</v>
      </c>
      <c r="E1276" s="3">
        <v>594.7</v>
      </c>
      <c r="F1276" s="3">
        <v>349.8</v>
      </c>
      <c r="G1276" s="3">
        <v>10.0</v>
      </c>
      <c r="H1276" s="3">
        <v>37.1</v>
      </c>
    </row>
    <row r="1277" ht="15.75" customHeight="1">
      <c r="A1277" s="3" t="s">
        <v>46</v>
      </c>
      <c r="B1277" s="3">
        <v>2020.0</v>
      </c>
      <c r="C1277" s="3" t="s">
        <v>9</v>
      </c>
      <c r="D1277" s="3">
        <v>328.4</v>
      </c>
      <c r="E1277" s="3">
        <v>809.0</v>
      </c>
      <c r="F1277" s="3">
        <v>400.5</v>
      </c>
      <c r="G1277" s="3">
        <v>12.0</v>
      </c>
      <c r="H1277" s="3">
        <v>3.3</v>
      </c>
    </row>
    <row r="1278" ht="15.75" customHeight="1">
      <c r="A1278" s="3" t="s">
        <v>46</v>
      </c>
      <c r="B1278" s="3">
        <v>2020.0</v>
      </c>
      <c r="C1278" s="3" t="s">
        <v>10</v>
      </c>
      <c r="D1278" s="3">
        <v>321.2</v>
      </c>
      <c r="E1278" s="3">
        <v>693.3</v>
      </c>
      <c r="F1278" s="3">
        <v>411.7</v>
      </c>
      <c r="G1278" s="3">
        <v>12.0</v>
      </c>
      <c r="H1278" s="3">
        <v>44.6</v>
      </c>
    </row>
    <row r="1279" ht="15.75" customHeight="1">
      <c r="A1279" s="3" t="s">
        <v>46</v>
      </c>
      <c r="B1279" s="3">
        <v>2020.0</v>
      </c>
      <c r="C1279" s="3" t="s">
        <v>11</v>
      </c>
      <c r="D1279" s="3">
        <v>229.0</v>
      </c>
      <c r="E1279" s="3">
        <v>514.7</v>
      </c>
      <c r="F1279" s="3">
        <v>303.2</v>
      </c>
      <c r="G1279" s="3">
        <v>8.0</v>
      </c>
      <c r="H1279" s="3">
        <v>48.1</v>
      </c>
    </row>
    <row r="1280" ht="15.75" customHeight="1">
      <c r="A1280" s="3" t="s">
        <v>46</v>
      </c>
      <c r="B1280" s="3">
        <v>2020.0</v>
      </c>
      <c r="C1280" s="3" t="s">
        <v>13</v>
      </c>
      <c r="D1280" s="3">
        <v>243.6</v>
      </c>
      <c r="E1280" s="3">
        <v>636.6</v>
      </c>
      <c r="F1280" s="3">
        <v>209.8</v>
      </c>
      <c r="G1280" s="3">
        <v>9.0</v>
      </c>
      <c r="H1280" s="3">
        <v>46.9</v>
      </c>
    </row>
    <row r="1281" ht="15.75" customHeight="1">
      <c r="A1281" s="3" t="s">
        <v>46</v>
      </c>
      <c r="B1281" s="3">
        <v>2020.0</v>
      </c>
      <c r="C1281" s="3" t="s">
        <v>14</v>
      </c>
      <c r="D1281" s="3">
        <v>290.4</v>
      </c>
      <c r="E1281" s="3">
        <v>866.2</v>
      </c>
      <c r="F1281" s="3">
        <v>339.7</v>
      </c>
      <c r="G1281" s="3">
        <v>8.0</v>
      </c>
      <c r="H1281" s="3">
        <v>19.5</v>
      </c>
    </row>
    <row r="1282" ht="15.75" customHeight="1">
      <c r="A1282" s="3" t="s">
        <v>46</v>
      </c>
      <c r="B1282" s="3">
        <v>2021.0</v>
      </c>
      <c r="C1282" s="3" t="s">
        <v>9</v>
      </c>
      <c r="D1282" s="3">
        <v>275.8</v>
      </c>
      <c r="E1282" s="3">
        <v>681.3</v>
      </c>
      <c r="F1282" s="3">
        <v>386.3</v>
      </c>
      <c r="G1282" s="3">
        <v>7.0</v>
      </c>
      <c r="H1282" s="3">
        <v>17.4</v>
      </c>
    </row>
    <row r="1283" ht="15.75" customHeight="1">
      <c r="A1283" s="3" t="s">
        <v>46</v>
      </c>
      <c r="B1283" s="3">
        <v>2021.0</v>
      </c>
      <c r="C1283" s="3" t="s">
        <v>10</v>
      </c>
      <c r="D1283" s="3">
        <v>341.9</v>
      </c>
      <c r="E1283" s="3">
        <v>990.5</v>
      </c>
      <c r="F1283" s="3">
        <v>397.5</v>
      </c>
      <c r="G1283" s="3">
        <v>5.0</v>
      </c>
      <c r="H1283" s="3">
        <v>32.0</v>
      </c>
    </row>
    <row r="1284" ht="15.75" customHeight="1">
      <c r="A1284" s="3" t="s">
        <v>46</v>
      </c>
      <c r="B1284" s="3">
        <v>2021.0</v>
      </c>
      <c r="C1284" s="3" t="s">
        <v>11</v>
      </c>
      <c r="D1284" s="3">
        <v>242.6</v>
      </c>
      <c r="E1284" s="3">
        <v>556.5</v>
      </c>
      <c r="F1284" s="3">
        <v>262.0</v>
      </c>
      <c r="G1284" s="3">
        <v>8.0</v>
      </c>
      <c r="H1284" s="3">
        <v>25.5</v>
      </c>
    </row>
    <row r="1285" ht="15.75" customHeight="1">
      <c r="A1285" s="3" t="s">
        <v>46</v>
      </c>
      <c r="B1285" s="3">
        <v>2021.0</v>
      </c>
      <c r="C1285" s="3" t="s">
        <v>13</v>
      </c>
      <c r="D1285" s="3">
        <v>306.9</v>
      </c>
      <c r="E1285" s="3">
        <v>792.2</v>
      </c>
      <c r="F1285" s="3">
        <v>363.4</v>
      </c>
      <c r="G1285" s="3">
        <v>4.0</v>
      </c>
      <c r="H1285" s="3">
        <v>22.0</v>
      </c>
    </row>
    <row r="1286" ht="15.75" customHeight="1">
      <c r="A1286" s="3" t="s">
        <v>46</v>
      </c>
      <c r="B1286" s="3">
        <v>2021.0</v>
      </c>
      <c r="C1286" s="3" t="s">
        <v>14</v>
      </c>
      <c r="D1286" s="3">
        <v>232.5</v>
      </c>
      <c r="E1286" s="3">
        <v>527.5</v>
      </c>
      <c r="F1286" s="3">
        <v>316.2</v>
      </c>
      <c r="G1286" s="3">
        <v>7.0</v>
      </c>
      <c r="H1286" s="3">
        <v>49.3</v>
      </c>
    </row>
    <row r="1287" ht="15.75" customHeight="1">
      <c r="A1287" s="3" t="s">
        <v>46</v>
      </c>
      <c r="B1287" s="3">
        <v>2022.0</v>
      </c>
      <c r="C1287" s="3" t="s">
        <v>9</v>
      </c>
      <c r="D1287" s="3">
        <v>353.1</v>
      </c>
      <c r="E1287" s="3">
        <v>746.8</v>
      </c>
      <c r="F1287" s="3">
        <v>308.9</v>
      </c>
      <c r="G1287" s="3">
        <v>5.0</v>
      </c>
      <c r="H1287" s="3">
        <v>13.6</v>
      </c>
    </row>
    <row r="1288" ht="15.75" customHeight="1">
      <c r="A1288" s="3" t="s">
        <v>46</v>
      </c>
      <c r="B1288" s="3">
        <v>2022.0</v>
      </c>
      <c r="C1288" s="3" t="s">
        <v>10</v>
      </c>
      <c r="D1288" s="3">
        <v>310.2</v>
      </c>
      <c r="E1288" s="3">
        <v>691.8</v>
      </c>
      <c r="F1288" s="3">
        <v>360.2</v>
      </c>
      <c r="G1288" s="3">
        <v>5.0</v>
      </c>
      <c r="H1288" s="3">
        <v>47.1</v>
      </c>
    </row>
    <row r="1289" ht="15.75" customHeight="1">
      <c r="A1289" s="3" t="s">
        <v>46</v>
      </c>
      <c r="B1289" s="3">
        <v>2022.0</v>
      </c>
      <c r="C1289" s="3" t="s">
        <v>11</v>
      </c>
      <c r="D1289" s="3">
        <v>322.5</v>
      </c>
      <c r="E1289" s="3">
        <v>667.6</v>
      </c>
      <c r="F1289" s="3">
        <v>400.4</v>
      </c>
      <c r="G1289" s="3">
        <v>5.0</v>
      </c>
      <c r="H1289" s="3">
        <v>19.7</v>
      </c>
    </row>
    <row r="1290" ht="15.75" customHeight="1">
      <c r="A1290" s="3" t="s">
        <v>46</v>
      </c>
      <c r="B1290" s="3">
        <v>2022.0</v>
      </c>
      <c r="C1290" s="3" t="s">
        <v>13</v>
      </c>
      <c r="D1290" s="3">
        <v>341.8</v>
      </c>
      <c r="E1290" s="3">
        <v>975.6</v>
      </c>
      <c r="F1290" s="3">
        <v>495.8</v>
      </c>
      <c r="G1290" s="3">
        <v>12.0</v>
      </c>
      <c r="H1290" s="3">
        <v>20.2</v>
      </c>
    </row>
    <row r="1291" ht="15.75" customHeight="1">
      <c r="A1291" s="3" t="s">
        <v>46</v>
      </c>
      <c r="B1291" s="3">
        <v>2022.0</v>
      </c>
      <c r="C1291" s="3" t="s">
        <v>14</v>
      </c>
      <c r="D1291" s="3">
        <v>389.2</v>
      </c>
      <c r="E1291" s="3">
        <v>856.4</v>
      </c>
      <c r="F1291" s="3">
        <v>424.0</v>
      </c>
      <c r="G1291" s="3">
        <v>7.0</v>
      </c>
      <c r="H1291" s="3">
        <v>2.8</v>
      </c>
    </row>
    <row r="1292" ht="15.75" customHeight="1">
      <c r="A1292" s="3" t="s">
        <v>46</v>
      </c>
      <c r="B1292" s="3">
        <v>2023.0</v>
      </c>
      <c r="C1292" s="3" t="s">
        <v>9</v>
      </c>
      <c r="D1292" s="3">
        <v>348.7</v>
      </c>
      <c r="E1292" s="3">
        <v>1013.3</v>
      </c>
      <c r="F1292" s="3">
        <v>483.6</v>
      </c>
      <c r="G1292" s="3">
        <v>12.0</v>
      </c>
      <c r="H1292" s="3">
        <v>28.8</v>
      </c>
    </row>
    <row r="1293" ht="15.75" customHeight="1">
      <c r="A1293" s="3" t="s">
        <v>46</v>
      </c>
      <c r="B1293" s="3">
        <v>2023.0</v>
      </c>
      <c r="C1293" s="3" t="s">
        <v>10</v>
      </c>
      <c r="D1293" s="3">
        <v>350.4</v>
      </c>
      <c r="E1293" s="3">
        <v>724.4</v>
      </c>
      <c r="F1293" s="3">
        <v>394.3</v>
      </c>
      <c r="G1293" s="3">
        <v>6.0</v>
      </c>
      <c r="H1293" s="3">
        <v>43.5</v>
      </c>
    </row>
    <row r="1294" ht="15.75" customHeight="1">
      <c r="A1294" s="3" t="s">
        <v>46</v>
      </c>
      <c r="B1294" s="3">
        <v>2023.0</v>
      </c>
      <c r="C1294" s="3" t="s">
        <v>11</v>
      </c>
      <c r="D1294" s="3">
        <v>369.5</v>
      </c>
      <c r="E1294" s="3">
        <v>1031.0</v>
      </c>
      <c r="F1294" s="3">
        <v>372.1</v>
      </c>
      <c r="G1294" s="3">
        <v>8.0</v>
      </c>
      <c r="H1294" s="3">
        <v>21.6</v>
      </c>
    </row>
    <row r="1295" ht="15.75" customHeight="1">
      <c r="A1295" s="3" t="s">
        <v>46</v>
      </c>
      <c r="B1295" s="3">
        <v>2023.0</v>
      </c>
      <c r="C1295" s="3" t="s">
        <v>13</v>
      </c>
      <c r="D1295" s="3">
        <v>341.7</v>
      </c>
      <c r="E1295" s="3">
        <v>762.5</v>
      </c>
      <c r="F1295" s="3">
        <v>306.0</v>
      </c>
      <c r="G1295" s="3">
        <v>10.0</v>
      </c>
      <c r="H1295" s="3">
        <v>3.7</v>
      </c>
    </row>
    <row r="1296" ht="15.75" customHeight="1">
      <c r="A1296" s="3" t="s">
        <v>46</v>
      </c>
      <c r="B1296" s="3">
        <v>2023.0</v>
      </c>
      <c r="C1296" s="3" t="s">
        <v>14</v>
      </c>
      <c r="D1296" s="3">
        <v>330.7</v>
      </c>
      <c r="E1296" s="3">
        <v>983.3</v>
      </c>
      <c r="F1296" s="3">
        <v>309.4</v>
      </c>
      <c r="G1296" s="3">
        <v>5.0</v>
      </c>
      <c r="H1296" s="3">
        <v>49.2</v>
      </c>
    </row>
    <row r="1297" ht="15.75" customHeight="1">
      <c r="A1297" s="3" t="s">
        <v>46</v>
      </c>
      <c r="B1297" s="3">
        <v>2024.0</v>
      </c>
      <c r="C1297" s="3" t="s">
        <v>9</v>
      </c>
      <c r="D1297" s="3">
        <v>386.7</v>
      </c>
      <c r="E1297" s="3">
        <v>1005.2</v>
      </c>
      <c r="F1297" s="3">
        <v>519.5</v>
      </c>
      <c r="G1297" s="3">
        <v>10.0</v>
      </c>
      <c r="H1297" s="3">
        <v>47.1</v>
      </c>
    </row>
    <row r="1298" ht="15.75" customHeight="1">
      <c r="A1298" s="3" t="s">
        <v>46</v>
      </c>
      <c r="B1298" s="3">
        <v>2024.0</v>
      </c>
      <c r="C1298" s="3" t="s">
        <v>10</v>
      </c>
      <c r="D1298" s="3">
        <v>381.0</v>
      </c>
      <c r="E1298" s="3">
        <v>767.9</v>
      </c>
      <c r="F1298" s="3">
        <v>421.0</v>
      </c>
      <c r="G1298" s="3">
        <v>9.0</v>
      </c>
      <c r="H1298" s="3">
        <v>32.7</v>
      </c>
    </row>
    <row r="1299" ht="15.75" customHeight="1">
      <c r="A1299" s="3" t="s">
        <v>46</v>
      </c>
      <c r="B1299" s="3">
        <v>2024.0</v>
      </c>
      <c r="C1299" s="3" t="s">
        <v>11</v>
      </c>
      <c r="D1299" s="3">
        <v>363.7</v>
      </c>
      <c r="E1299" s="3">
        <v>747.0</v>
      </c>
      <c r="F1299" s="3">
        <v>407.3</v>
      </c>
      <c r="G1299" s="3">
        <v>4.0</v>
      </c>
      <c r="H1299" s="3">
        <v>26.1</v>
      </c>
    </row>
    <row r="1300" ht="15.75" customHeight="1">
      <c r="A1300" s="3" t="s">
        <v>46</v>
      </c>
      <c r="B1300" s="3">
        <v>2024.0</v>
      </c>
      <c r="C1300" s="3" t="s">
        <v>13</v>
      </c>
      <c r="D1300" s="3">
        <v>432.6</v>
      </c>
      <c r="E1300" s="3">
        <v>1031.2</v>
      </c>
      <c r="F1300" s="3">
        <v>632.2</v>
      </c>
      <c r="G1300" s="3">
        <v>9.0</v>
      </c>
      <c r="H1300" s="3">
        <v>20.6</v>
      </c>
    </row>
    <row r="1301" ht="15.75" customHeight="1">
      <c r="A1301" s="3" t="s">
        <v>46</v>
      </c>
      <c r="B1301" s="3">
        <v>2024.0</v>
      </c>
      <c r="C1301" s="3" t="s">
        <v>14</v>
      </c>
      <c r="D1301" s="3">
        <v>389.1</v>
      </c>
      <c r="E1301" s="3">
        <v>1049.7</v>
      </c>
      <c r="F1301" s="3">
        <v>415.5</v>
      </c>
      <c r="G1301" s="3">
        <v>9.0</v>
      </c>
      <c r="H1301" s="3">
        <v>24.7</v>
      </c>
    </row>
    <row r="1302" ht="15.75" customHeight="1">
      <c r="A1302" s="3" t="s">
        <v>47</v>
      </c>
      <c r="B1302" s="3">
        <v>2015.0</v>
      </c>
      <c r="C1302" s="3" t="s">
        <v>9</v>
      </c>
      <c r="D1302" s="3">
        <v>43.5</v>
      </c>
      <c r="E1302" s="3">
        <v>104.7</v>
      </c>
      <c r="F1302" s="3">
        <v>44.7</v>
      </c>
      <c r="G1302" s="3">
        <v>3.0</v>
      </c>
      <c r="H1302" s="3">
        <v>14.2</v>
      </c>
    </row>
    <row r="1303" ht="15.75" customHeight="1">
      <c r="A1303" s="3" t="s">
        <v>47</v>
      </c>
      <c r="B1303" s="3">
        <v>2015.0</v>
      </c>
      <c r="C1303" s="3" t="s">
        <v>10</v>
      </c>
      <c r="D1303" s="3">
        <v>69.9</v>
      </c>
      <c r="E1303" s="3">
        <v>142.9</v>
      </c>
      <c r="F1303" s="3">
        <v>71.0</v>
      </c>
      <c r="G1303" s="3">
        <v>9.0</v>
      </c>
      <c r="H1303" s="3">
        <v>40.7</v>
      </c>
    </row>
    <row r="1304" ht="15.75" customHeight="1">
      <c r="A1304" s="3" t="s">
        <v>47</v>
      </c>
      <c r="B1304" s="3">
        <v>2015.0</v>
      </c>
      <c r="C1304" s="3" t="s">
        <v>11</v>
      </c>
      <c r="D1304" s="3">
        <v>143.4</v>
      </c>
      <c r="E1304" s="3">
        <v>391.8</v>
      </c>
      <c r="F1304" s="3">
        <v>158.1</v>
      </c>
      <c r="G1304" s="3">
        <v>8.0</v>
      </c>
      <c r="H1304" s="3">
        <v>1.1</v>
      </c>
    </row>
    <row r="1305" ht="15.75" customHeight="1">
      <c r="A1305" s="3" t="s">
        <v>47</v>
      </c>
      <c r="B1305" s="3">
        <v>2015.0</v>
      </c>
      <c r="C1305" s="3" t="s">
        <v>13</v>
      </c>
      <c r="D1305" s="3">
        <v>139.4</v>
      </c>
      <c r="E1305" s="3">
        <v>341.2</v>
      </c>
      <c r="F1305" s="3">
        <v>157.7</v>
      </c>
      <c r="G1305" s="3">
        <v>5.0</v>
      </c>
      <c r="H1305" s="3">
        <v>6.3</v>
      </c>
    </row>
    <row r="1306" ht="15.75" customHeight="1">
      <c r="A1306" s="3" t="s">
        <v>47</v>
      </c>
      <c r="B1306" s="3">
        <v>2015.0</v>
      </c>
      <c r="C1306" s="3" t="s">
        <v>14</v>
      </c>
      <c r="D1306" s="3">
        <v>56.7</v>
      </c>
      <c r="E1306" s="3">
        <v>149.2</v>
      </c>
      <c r="F1306" s="3">
        <v>49.5</v>
      </c>
      <c r="G1306" s="3">
        <v>5.0</v>
      </c>
      <c r="H1306" s="3">
        <v>38.9</v>
      </c>
    </row>
    <row r="1307" ht="15.75" customHeight="1">
      <c r="A1307" s="3" t="s">
        <v>47</v>
      </c>
      <c r="B1307" s="3">
        <v>2016.0</v>
      </c>
      <c r="C1307" s="3" t="s">
        <v>9</v>
      </c>
      <c r="D1307" s="3">
        <v>89.0</v>
      </c>
      <c r="E1307" s="3">
        <v>242.9</v>
      </c>
      <c r="F1307" s="3">
        <v>91.4</v>
      </c>
      <c r="G1307" s="3">
        <v>8.0</v>
      </c>
      <c r="H1307" s="3">
        <v>2.8</v>
      </c>
    </row>
    <row r="1308" ht="15.75" customHeight="1">
      <c r="A1308" s="3" t="s">
        <v>47</v>
      </c>
      <c r="B1308" s="3">
        <v>2016.0</v>
      </c>
      <c r="C1308" s="3" t="s">
        <v>10</v>
      </c>
      <c r="D1308" s="3">
        <v>142.8</v>
      </c>
      <c r="E1308" s="3">
        <v>369.2</v>
      </c>
      <c r="F1308" s="3">
        <v>150.2</v>
      </c>
      <c r="G1308" s="3">
        <v>9.0</v>
      </c>
      <c r="H1308" s="3">
        <v>18.8</v>
      </c>
    </row>
    <row r="1309" ht="15.75" customHeight="1">
      <c r="A1309" s="3" t="s">
        <v>47</v>
      </c>
      <c r="B1309" s="3">
        <v>2016.0</v>
      </c>
      <c r="C1309" s="3" t="s">
        <v>11</v>
      </c>
      <c r="D1309" s="3">
        <v>87.3</v>
      </c>
      <c r="E1309" s="3">
        <v>231.2</v>
      </c>
      <c r="F1309" s="3">
        <v>82.7</v>
      </c>
      <c r="G1309" s="3">
        <v>1.0</v>
      </c>
      <c r="H1309" s="3">
        <v>19.7</v>
      </c>
    </row>
    <row r="1310" ht="15.75" customHeight="1">
      <c r="A1310" s="3" t="s">
        <v>47</v>
      </c>
      <c r="B1310" s="3">
        <v>2016.0</v>
      </c>
      <c r="C1310" s="3" t="s">
        <v>13</v>
      </c>
      <c r="D1310" s="3">
        <v>196.5</v>
      </c>
      <c r="E1310" s="3">
        <v>576.1</v>
      </c>
      <c r="F1310" s="3">
        <v>195.6</v>
      </c>
      <c r="G1310" s="3">
        <v>5.0</v>
      </c>
      <c r="H1310" s="3">
        <v>9.4</v>
      </c>
    </row>
    <row r="1311" ht="15.75" customHeight="1">
      <c r="A1311" s="3" t="s">
        <v>47</v>
      </c>
      <c r="B1311" s="3">
        <v>2016.0</v>
      </c>
      <c r="C1311" s="3" t="s">
        <v>14</v>
      </c>
      <c r="D1311" s="3">
        <v>158.2</v>
      </c>
      <c r="E1311" s="3">
        <v>411.8</v>
      </c>
      <c r="F1311" s="3">
        <v>132.9</v>
      </c>
      <c r="G1311" s="3">
        <v>4.0</v>
      </c>
      <c r="H1311" s="3">
        <v>41.5</v>
      </c>
    </row>
    <row r="1312" ht="15.75" customHeight="1">
      <c r="A1312" s="3" t="s">
        <v>47</v>
      </c>
      <c r="B1312" s="3">
        <v>2017.0</v>
      </c>
      <c r="C1312" s="3" t="s">
        <v>9</v>
      </c>
      <c r="D1312" s="3">
        <v>228.9</v>
      </c>
      <c r="E1312" s="3">
        <v>592.1</v>
      </c>
      <c r="F1312" s="3">
        <v>225.0</v>
      </c>
      <c r="G1312" s="3">
        <v>9.0</v>
      </c>
      <c r="H1312" s="3">
        <v>24.0</v>
      </c>
    </row>
    <row r="1313" ht="15.75" customHeight="1">
      <c r="A1313" s="3" t="s">
        <v>47</v>
      </c>
      <c r="B1313" s="3">
        <v>2017.0</v>
      </c>
      <c r="C1313" s="3" t="s">
        <v>10</v>
      </c>
      <c r="D1313" s="3">
        <v>159.8</v>
      </c>
      <c r="E1313" s="3">
        <v>324.5</v>
      </c>
      <c r="F1313" s="3">
        <v>158.6</v>
      </c>
      <c r="G1313" s="3">
        <v>4.0</v>
      </c>
      <c r="H1313" s="3">
        <v>44.9</v>
      </c>
    </row>
    <row r="1314" ht="15.75" customHeight="1">
      <c r="A1314" s="3" t="s">
        <v>47</v>
      </c>
      <c r="B1314" s="3">
        <v>2017.0</v>
      </c>
      <c r="C1314" s="3" t="s">
        <v>11</v>
      </c>
      <c r="D1314" s="3">
        <v>155.7</v>
      </c>
      <c r="E1314" s="3">
        <v>455.0</v>
      </c>
      <c r="F1314" s="3">
        <v>207.1</v>
      </c>
      <c r="G1314" s="3">
        <v>7.0</v>
      </c>
      <c r="H1314" s="3">
        <v>10.8</v>
      </c>
    </row>
    <row r="1315" ht="15.75" customHeight="1">
      <c r="A1315" s="3" t="s">
        <v>47</v>
      </c>
      <c r="B1315" s="3">
        <v>2017.0</v>
      </c>
      <c r="C1315" s="3" t="s">
        <v>13</v>
      </c>
      <c r="D1315" s="3">
        <v>167.7</v>
      </c>
      <c r="E1315" s="3">
        <v>372.3</v>
      </c>
      <c r="F1315" s="3">
        <v>185.7</v>
      </c>
      <c r="G1315" s="3">
        <v>4.0</v>
      </c>
      <c r="H1315" s="3">
        <v>15.6</v>
      </c>
    </row>
    <row r="1316" ht="15.75" customHeight="1">
      <c r="A1316" s="3" t="s">
        <v>47</v>
      </c>
      <c r="B1316" s="3">
        <v>2017.0</v>
      </c>
      <c r="C1316" s="3" t="s">
        <v>14</v>
      </c>
      <c r="D1316" s="3">
        <v>160.5</v>
      </c>
      <c r="E1316" s="3">
        <v>357.8</v>
      </c>
      <c r="F1316" s="3">
        <v>159.2</v>
      </c>
      <c r="G1316" s="3">
        <v>3.0</v>
      </c>
      <c r="H1316" s="3">
        <v>28.4</v>
      </c>
    </row>
    <row r="1317" ht="15.75" customHeight="1">
      <c r="A1317" s="3" t="s">
        <v>47</v>
      </c>
      <c r="B1317" s="3">
        <v>2018.0</v>
      </c>
      <c r="C1317" s="3" t="s">
        <v>9</v>
      </c>
      <c r="D1317" s="3">
        <v>264.6</v>
      </c>
      <c r="E1317" s="3">
        <v>601.6</v>
      </c>
      <c r="F1317" s="3">
        <v>250.5</v>
      </c>
      <c r="G1317" s="3">
        <v>6.0</v>
      </c>
      <c r="H1317" s="3">
        <v>15.3</v>
      </c>
    </row>
    <row r="1318" ht="15.75" customHeight="1">
      <c r="A1318" s="3" t="s">
        <v>47</v>
      </c>
      <c r="B1318" s="3">
        <v>2018.0</v>
      </c>
      <c r="C1318" s="3" t="s">
        <v>10</v>
      </c>
      <c r="D1318" s="3">
        <v>222.8</v>
      </c>
      <c r="E1318" s="3">
        <v>466.9</v>
      </c>
      <c r="F1318" s="3">
        <v>322.1</v>
      </c>
      <c r="G1318" s="3">
        <v>11.0</v>
      </c>
      <c r="H1318" s="3">
        <v>20.8</v>
      </c>
    </row>
    <row r="1319" ht="15.75" customHeight="1">
      <c r="A1319" s="3" t="s">
        <v>47</v>
      </c>
      <c r="B1319" s="3">
        <v>2018.0</v>
      </c>
      <c r="C1319" s="3" t="s">
        <v>11</v>
      </c>
      <c r="D1319" s="3">
        <v>254.8</v>
      </c>
      <c r="E1319" s="3">
        <v>702.5</v>
      </c>
      <c r="F1319" s="3">
        <v>249.8</v>
      </c>
      <c r="G1319" s="3">
        <v>10.0</v>
      </c>
      <c r="H1319" s="3">
        <v>34.0</v>
      </c>
    </row>
    <row r="1320" ht="15.75" customHeight="1">
      <c r="A1320" s="3" t="s">
        <v>47</v>
      </c>
      <c r="B1320" s="3">
        <v>2018.0</v>
      </c>
      <c r="C1320" s="3" t="s">
        <v>13</v>
      </c>
      <c r="D1320" s="3">
        <v>165.4</v>
      </c>
      <c r="E1320" s="3">
        <v>436.2</v>
      </c>
      <c r="F1320" s="3">
        <v>158.0</v>
      </c>
      <c r="G1320" s="3">
        <v>7.0</v>
      </c>
      <c r="H1320" s="3">
        <v>20.7</v>
      </c>
    </row>
    <row r="1321" ht="15.75" customHeight="1">
      <c r="A1321" s="3" t="s">
        <v>47</v>
      </c>
      <c r="B1321" s="3">
        <v>2018.0</v>
      </c>
      <c r="C1321" s="3" t="s">
        <v>14</v>
      </c>
      <c r="D1321" s="3">
        <v>271.4</v>
      </c>
      <c r="E1321" s="3">
        <v>760.7</v>
      </c>
      <c r="F1321" s="3">
        <v>268.8</v>
      </c>
      <c r="G1321" s="3">
        <v>7.0</v>
      </c>
      <c r="H1321" s="3">
        <v>11.1</v>
      </c>
    </row>
    <row r="1322" ht="15.75" customHeight="1">
      <c r="A1322" s="3" t="s">
        <v>47</v>
      </c>
      <c r="B1322" s="3">
        <v>2019.0</v>
      </c>
      <c r="C1322" s="3" t="s">
        <v>9</v>
      </c>
      <c r="D1322" s="3">
        <v>234.1</v>
      </c>
      <c r="E1322" s="3">
        <v>564.3</v>
      </c>
      <c r="F1322" s="3">
        <v>225.0</v>
      </c>
      <c r="G1322" s="3">
        <v>4.0</v>
      </c>
      <c r="H1322" s="3">
        <v>41.5</v>
      </c>
    </row>
    <row r="1323" ht="15.75" customHeight="1">
      <c r="A1323" s="3" t="s">
        <v>47</v>
      </c>
      <c r="B1323" s="3">
        <v>2019.0</v>
      </c>
      <c r="C1323" s="3" t="s">
        <v>10</v>
      </c>
      <c r="D1323" s="3">
        <v>273.7</v>
      </c>
      <c r="E1323" s="3">
        <v>760.0</v>
      </c>
      <c r="F1323" s="3">
        <v>376.4</v>
      </c>
      <c r="G1323" s="3">
        <v>4.0</v>
      </c>
      <c r="H1323" s="3">
        <v>19.5</v>
      </c>
    </row>
    <row r="1324" ht="15.75" customHeight="1">
      <c r="A1324" s="3" t="s">
        <v>47</v>
      </c>
      <c r="B1324" s="3">
        <v>2019.0</v>
      </c>
      <c r="C1324" s="3" t="s">
        <v>11</v>
      </c>
      <c r="D1324" s="3">
        <v>274.4</v>
      </c>
      <c r="E1324" s="3">
        <v>622.7</v>
      </c>
      <c r="F1324" s="3">
        <v>375.5</v>
      </c>
      <c r="G1324" s="3">
        <v>9.0</v>
      </c>
      <c r="H1324" s="3">
        <v>49.0</v>
      </c>
    </row>
    <row r="1325" ht="15.75" customHeight="1">
      <c r="A1325" s="3" t="s">
        <v>47</v>
      </c>
      <c r="B1325" s="3">
        <v>2019.0</v>
      </c>
      <c r="C1325" s="3" t="s">
        <v>13</v>
      </c>
      <c r="D1325" s="3">
        <v>278.7</v>
      </c>
      <c r="E1325" s="3">
        <v>820.0</v>
      </c>
      <c r="F1325" s="3">
        <v>396.2</v>
      </c>
      <c r="G1325" s="3">
        <v>5.0</v>
      </c>
      <c r="H1325" s="3">
        <v>23.1</v>
      </c>
    </row>
    <row r="1326" ht="15.75" customHeight="1">
      <c r="A1326" s="3" t="s">
        <v>47</v>
      </c>
      <c r="B1326" s="3">
        <v>2019.0</v>
      </c>
      <c r="C1326" s="3" t="s">
        <v>14</v>
      </c>
      <c r="D1326" s="3">
        <v>242.3</v>
      </c>
      <c r="E1326" s="3">
        <v>599.0</v>
      </c>
      <c r="F1326" s="3">
        <v>314.5</v>
      </c>
      <c r="G1326" s="3">
        <v>8.0</v>
      </c>
      <c r="H1326" s="3">
        <v>7.2</v>
      </c>
    </row>
    <row r="1327" ht="15.75" customHeight="1">
      <c r="A1327" s="3" t="s">
        <v>47</v>
      </c>
      <c r="B1327" s="3">
        <v>2020.0</v>
      </c>
      <c r="C1327" s="3" t="s">
        <v>9</v>
      </c>
      <c r="D1327" s="3">
        <v>279.0</v>
      </c>
      <c r="E1327" s="3">
        <v>754.8</v>
      </c>
      <c r="F1327" s="3">
        <v>401.2</v>
      </c>
      <c r="G1327" s="3">
        <v>3.0</v>
      </c>
      <c r="H1327" s="3">
        <v>18.6</v>
      </c>
    </row>
    <row r="1328" ht="15.75" customHeight="1">
      <c r="A1328" s="3" t="s">
        <v>47</v>
      </c>
      <c r="B1328" s="3">
        <v>2020.0</v>
      </c>
      <c r="C1328" s="3" t="s">
        <v>10</v>
      </c>
      <c r="D1328" s="3">
        <v>233.5</v>
      </c>
      <c r="E1328" s="3">
        <v>595.9</v>
      </c>
      <c r="F1328" s="3">
        <v>290.1</v>
      </c>
      <c r="G1328" s="3">
        <v>6.0</v>
      </c>
      <c r="H1328" s="3">
        <v>22.2</v>
      </c>
    </row>
    <row r="1329" ht="15.75" customHeight="1">
      <c r="A1329" s="3" t="s">
        <v>47</v>
      </c>
      <c r="B1329" s="3">
        <v>2020.0</v>
      </c>
      <c r="C1329" s="3" t="s">
        <v>11</v>
      </c>
      <c r="D1329" s="3">
        <v>228.5</v>
      </c>
      <c r="E1329" s="3">
        <v>495.8</v>
      </c>
      <c r="F1329" s="3">
        <v>337.2</v>
      </c>
      <c r="G1329" s="3">
        <v>11.0</v>
      </c>
      <c r="H1329" s="3">
        <v>1.5</v>
      </c>
    </row>
    <row r="1330" ht="15.75" customHeight="1">
      <c r="A1330" s="3" t="s">
        <v>47</v>
      </c>
      <c r="B1330" s="3">
        <v>2020.0</v>
      </c>
      <c r="C1330" s="3" t="s">
        <v>13</v>
      </c>
      <c r="D1330" s="3">
        <v>218.0</v>
      </c>
      <c r="E1330" s="3">
        <v>560.4</v>
      </c>
      <c r="F1330" s="3">
        <v>240.9</v>
      </c>
      <c r="G1330" s="3">
        <v>4.0</v>
      </c>
      <c r="H1330" s="3">
        <v>36.1</v>
      </c>
    </row>
    <row r="1331" ht="15.75" customHeight="1">
      <c r="A1331" s="3" t="s">
        <v>47</v>
      </c>
      <c r="B1331" s="3">
        <v>2020.0</v>
      </c>
      <c r="C1331" s="3" t="s">
        <v>14</v>
      </c>
      <c r="D1331" s="3">
        <v>236.1</v>
      </c>
      <c r="E1331" s="3">
        <v>634.1</v>
      </c>
      <c r="F1331" s="3">
        <v>326.6</v>
      </c>
      <c r="G1331" s="3">
        <v>8.0</v>
      </c>
      <c r="H1331" s="3">
        <v>28.2</v>
      </c>
    </row>
    <row r="1332" ht="15.75" customHeight="1">
      <c r="A1332" s="3" t="s">
        <v>47</v>
      </c>
      <c r="B1332" s="3">
        <v>2021.0</v>
      </c>
      <c r="C1332" s="3" t="s">
        <v>9</v>
      </c>
      <c r="D1332" s="3">
        <v>261.6</v>
      </c>
      <c r="E1332" s="3">
        <v>605.3</v>
      </c>
      <c r="F1332" s="3">
        <v>235.3</v>
      </c>
      <c r="G1332" s="3">
        <v>11.0</v>
      </c>
      <c r="H1332" s="3">
        <v>37.2</v>
      </c>
    </row>
    <row r="1333" ht="15.75" customHeight="1">
      <c r="A1333" s="3" t="s">
        <v>47</v>
      </c>
      <c r="B1333" s="3">
        <v>2021.0</v>
      </c>
      <c r="C1333" s="3" t="s">
        <v>10</v>
      </c>
      <c r="D1333" s="3">
        <v>226.0</v>
      </c>
      <c r="E1333" s="3">
        <v>601.2</v>
      </c>
      <c r="F1333" s="3">
        <v>331.1</v>
      </c>
      <c r="G1333" s="3">
        <v>8.0</v>
      </c>
      <c r="H1333" s="3">
        <v>3.6</v>
      </c>
    </row>
    <row r="1334" ht="15.75" customHeight="1">
      <c r="A1334" s="3" t="s">
        <v>47</v>
      </c>
      <c r="B1334" s="3">
        <v>2021.0</v>
      </c>
      <c r="C1334" s="3" t="s">
        <v>11</v>
      </c>
      <c r="D1334" s="3">
        <v>307.5</v>
      </c>
      <c r="E1334" s="3">
        <v>685.9</v>
      </c>
      <c r="F1334" s="3">
        <v>366.8</v>
      </c>
      <c r="G1334" s="3">
        <v>11.0</v>
      </c>
      <c r="H1334" s="3">
        <v>45.4</v>
      </c>
    </row>
    <row r="1335" ht="15.75" customHeight="1">
      <c r="A1335" s="3" t="s">
        <v>47</v>
      </c>
      <c r="B1335" s="3">
        <v>2021.0</v>
      </c>
      <c r="C1335" s="3" t="s">
        <v>13</v>
      </c>
      <c r="D1335" s="3">
        <v>271.2</v>
      </c>
      <c r="E1335" s="3">
        <v>653.4</v>
      </c>
      <c r="F1335" s="3">
        <v>359.0</v>
      </c>
      <c r="G1335" s="3">
        <v>3.0</v>
      </c>
      <c r="H1335" s="3">
        <v>13.1</v>
      </c>
    </row>
    <row r="1336" ht="15.75" customHeight="1">
      <c r="A1336" s="3" t="s">
        <v>47</v>
      </c>
      <c r="B1336" s="3">
        <v>2021.0</v>
      </c>
      <c r="C1336" s="3" t="s">
        <v>14</v>
      </c>
      <c r="D1336" s="3">
        <v>287.9</v>
      </c>
      <c r="E1336" s="3">
        <v>837.9</v>
      </c>
      <c r="F1336" s="3">
        <v>424.2</v>
      </c>
      <c r="G1336" s="3">
        <v>11.0</v>
      </c>
      <c r="H1336" s="3">
        <v>25.2</v>
      </c>
    </row>
    <row r="1337" ht="15.75" customHeight="1">
      <c r="A1337" s="3" t="s">
        <v>47</v>
      </c>
      <c r="B1337" s="3">
        <v>2022.0</v>
      </c>
      <c r="C1337" s="3" t="s">
        <v>9</v>
      </c>
      <c r="D1337" s="3">
        <v>351.3</v>
      </c>
      <c r="E1337" s="3">
        <v>922.7</v>
      </c>
      <c r="F1337" s="3">
        <v>449.4</v>
      </c>
      <c r="G1337" s="3">
        <v>9.0</v>
      </c>
      <c r="H1337" s="3">
        <v>48.7</v>
      </c>
    </row>
    <row r="1338" ht="15.75" customHeight="1">
      <c r="A1338" s="3" t="s">
        <v>47</v>
      </c>
      <c r="B1338" s="3">
        <v>2022.0</v>
      </c>
      <c r="C1338" s="3" t="s">
        <v>10</v>
      </c>
      <c r="D1338" s="3">
        <v>346.8</v>
      </c>
      <c r="E1338" s="3">
        <v>802.0</v>
      </c>
      <c r="F1338" s="3">
        <v>478.1</v>
      </c>
      <c r="G1338" s="3">
        <v>9.0</v>
      </c>
      <c r="H1338" s="3">
        <v>27.0</v>
      </c>
    </row>
    <row r="1339" ht="15.75" customHeight="1">
      <c r="A1339" s="3" t="s">
        <v>47</v>
      </c>
      <c r="B1339" s="3">
        <v>2022.0</v>
      </c>
      <c r="C1339" s="3" t="s">
        <v>11</v>
      </c>
      <c r="D1339" s="3">
        <v>281.8</v>
      </c>
      <c r="E1339" s="3">
        <v>842.5</v>
      </c>
      <c r="F1339" s="3">
        <v>359.5</v>
      </c>
      <c r="G1339" s="3">
        <v>9.0</v>
      </c>
      <c r="H1339" s="3">
        <v>33.1</v>
      </c>
    </row>
    <row r="1340" ht="15.75" customHeight="1">
      <c r="A1340" s="3" t="s">
        <v>47</v>
      </c>
      <c r="B1340" s="3">
        <v>2022.0</v>
      </c>
      <c r="C1340" s="3" t="s">
        <v>13</v>
      </c>
      <c r="D1340" s="3">
        <v>291.5</v>
      </c>
      <c r="E1340" s="3">
        <v>659.5</v>
      </c>
      <c r="F1340" s="3">
        <v>404.4</v>
      </c>
      <c r="G1340" s="3">
        <v>6.0</v>
      </c>
      <c r="H1340" s="3">
        <v>12.4</v>
      </c>
    </row>
    <row r="1341" ht="15.75" customHeight="1">
      <c r="A1341" s="3" t="s">
        <v>47</v>
      </c>
      <c r="B1341" s="3">
        <v>2022.0</v>
      </c>
      <c r="C1341" s="3" t="s">
        <v>14</v>
      </c>
      <c r="D1341" s="3">
        <v>288.7</v>
      </c>
      <c r="E1341" s="3">
        <v>741.2</v>
      </c>
      <c r="F1341" s="3">
        <v>344.4</v>
      </c>
      <c r="G1341" s="3">
        <v>7.0</v>
      </c>
      <c r="H1341" s="3">
        <v>39.7</v>
      </c>
    </row>
    <row r="1342" ht="15.75" customHeight="1">
      <c r="A1342" s="3" t="s">
        <v>47</v>
      </c>
      <c r="B1342" s="3">
        <v>2023.0</v>
      </c>
      <c r="C1342" s="3" t="s">
        <v>9</v>
      </c>
      <c r="D1342" s="3">
        <v>352.2</v>
      </c>
      <c r="E1342" s="3">
        <v>947.7</v>
      </c>
      <c r="F1342" s="3">
        <v>381.4</v>
      </c>
      <c r="G1342" s="3">
        <v>6.0</v>
      </c>
      <c r="H1342" s="3">
        <v>2.8</v>
      </c>
    </row>
    <row r="1343" ht="15.75" customHeight="1">
      <c r="A1343" s="3" t="s">
        <v>47</v>
      </c>
      <c r="B1343" s="3">
        <v>2023.0</v>
      </c>
      <c r="C1343" s="3" t="s">
        <v>10</v>
      </c>
      <c r="D1343" s="3">
        <v>334.9</v>
      </c>
      <c r="E1343" s="3">
        <v>988.2</v>
      </c>
      <c r="F1343" s="3">
        <v>273.1</v>
      </c>
      <c r="G1343" s="3">
        <v>11.0</v>
      </c>
      <c r="H1343" s="3">
        <v>39.3</v>
      </c>
    </row>
    <row r="1344" ht="15.75" customHeight="1">
      <c r="A1344" s="3" t="s">
        <v>47</v>
      </c>
      <c r="B1344" s="3">
        <v>2023.0</v>
      </c>
      <c r="C1344" s="3" t="s">
        <v>11</v>
      </c>
      <c r="D1344" s="3">
        <v>417.1</v>
      </c>
      <c r="E1344" s="3">
        <v>877.2</v>
      </c>
      <c r="F1344" s="3">
        <v>609.0</v>
      </c>
      <c r="G1344" s="3">
        <v>12.0</v>
      </c>
      <c r="H1344" s="3">
        <v>35.6</v>
      </c>
    </row>
    <row r="1345" ht="15.75" customHeight="1">
      <c r="A1345" s="3" t="s">
        <v>47</v>
      </c>
      <c r="B1345" s="3">
        <v>2023.0</v>
      </c>
      <c r="C1345" s="3" t="s">
        <v>13</v>
      </c>
      <c r="D1345" s="3">
        <v>357.1</v>
      </c>
      <c r="E1345" s="3">
        <v>851.7</v>
      </c>
      <c r="F1345" s="3">
        <v>386.3</v>
      </c>
      <c r="G1345" s="3">
        <v>8.0</v>
      </c>
      <c r="H1345" s="3">
        <v>24.5</v>
      </c>
    </row>
    <row r="1346" ht="15.75" customHeight="1">
      <c r="A1346" s="3" t="s">
        <v>47</v>
      </c>
      <c r="B1346" s="3">
        <v>2023.0</v>
      </c>
      <c r="C1346" s="3" t="s">
        <v>14</v>
      </c>
      <c r="D1346" s="3">
        <v>406.0</v>
      </c>
      <c r="E1346" s="3">
        <v>892.7</v>
      </c>
      <c r="F1346" s="3">
        <v>393.1</v>
      </c>
      <c r="G1346" s="3">
        <v>11.0</v>
      </c>
      <c r="H1346" s="3">
        <v>32.3</v>
      </c>
    </row>
    <row r="1347" ht="15.75" customHeight="1">
      <c r="A1347" s="3" t="s">
        <v>47</v>
      </c>
      <c r="B1347" s="3">
        <v>2024.0</v>
      </c>
      <c r="C1347" s="3" t="s">
        <v>9</v>
      </c>
      <c r="D1347" s="3">
        <v>391.4</v>
      </c>
      <c r="E1347" s="3">
        <v>1167.3</v>
      </c>
      <c r="F1347" s="3">
        <v>367.4</v>
      </c>
      <c r="G1347" s="3">
        <v>8.0</v>
      </c>
      <c r="H1347" s="3">
        <v>3.8</v>
      </c>
    </row>
    <row r="1348" ht="15.75" customHeight="1">
      <c r="A1348" s="3" t="s">
        <v>47</v>
      </c>
      <c r="B1348" s="3">
        <v>2024.0</v>
      </c>
      <c r="C1348" s="3" t="s">
        <v>10</v>
      </c>
      <c r="D1348" s="3">
        <v>373.0</v>
      </c>
      <c r="E1348" s="3">
        <v>835.9</v>
      </c>
      <c r="F1348" s="3">
        <v>542.8</v>
      </c>
      <c r="G1348" s="3">
        <v>9.0</v>
      </c>
      <c r="H1348" s="3">
        <v>20.4</v>
      </c>
    </row>
    <row r="1349" ht="15.75" customHeight="1">
      <c r="A1349" s="3" t="s">
        <v>47</v>
      </c>
      <c r="B1349" s="3">
        <v>2024.0</v>
      </c>
      <c r="C1349" s="3" t="s">
        <v>11</v>
      </c>
      <c r="D1349" s="3">
        <v>372.2</v>
      </c>
      <c r="E1349" s="3">
        <v>789.1</v>
      </c>
      <c r="F1349" s="3">
        <v>357.8</v>
      </c>
      <c r="G1349" s="3">
        <v>9.0</v>
      </c>
      <c r="H1349" s="3">
        <v>16.5</v>
      </c>
    </row>
    <row r="1350" ht="15.75" customHeight="1">
      <c r="A1350" s="3" t="s">
        <v>47</v>
      </c>
      <c r="B1350" s="3">
        <v>2024.0</v>
      </c>
      <c r="C1350" s="3" t="s">
        <v>13</v>
      </c>
      <c r="D1350" s="3">
        <v>397.2</v>
      </c>
      <c r="E1350" s="3">
        <v>1065.8</v>
      </c>
      <c r="F1350" s="3">
        <v>318.5</v>
      </c>
      <c r="G1350" s="3">
        <v>4.0</v>
      </c>
      <c r="H1350" s="3">
        <v>46.9</v>
      </c>
    </row>
    <row r="1351" ht="15.75" customHeight="1">
      <c r="A1351" s="3" t="s">
        <v>47</v>
      </c>
      <c r="B1351" s="3">
        <v>2024.0</v>
      </c>
      <c r="C1351" s="3" t="s">
        <v>14</v>
      </c>
      <c r="D1351" s="3">
        <v>388.5</v>
      </c>
      <c r="E1351" s="3">
        <v>1001.1</v>
      </c>
      <c r="F1351" s="3">
        <v>557.4</v>
      </c>
      <c r="G1351" s="3">
        <v>5.0</v>
      </c>
      <c r="H1351" s="3">
        <v>7.2</v>
      </c>
    </row>
    <row r="1352" ht="15.75" customHeight="1">
      <c r="A1352" s="3" t="s">
        <v>48</v>
      </c>
      <c r="B1352" s="3">
        <v>2015.0</v>
      </c>
      <c r="C1352" s="3" t="s">
        <v>9</v>
      </c>
      <c r="D1352" s="3">
        <v>173.9</v>
      </c>
      <c r="E1352" s="3">
        <v>488.7</v>
      </c>
      <c r="F1352" s="3">
        <v>258.5</v>
      </c>
      <c r="G1352" s="3">
        <v>6.0</v>
      </c>
      <c r="H1352" s="3">
        <v>45.0</v>
      </c>
    </row>
    <row r="1353" ht="15.75" customHeight="1">
      <c r="A1353" s="3" t="s">
        <v>48</v>
      </c>
      <c r="B1353" s="3">
        <v>2015.0</v>
      </c>
      <c r="C1353" s="3" t="s">
        <v>10</v>
      </c>
      <c r="D1353" s="3">
        <v>88.2</v>
      </c>
      <c r="E1353" s="3">
        <v>210.0</v>
      </c>
      <c r="F1353" s="3">
        <v>101.9</v>
      </c>
      <c r="G1353" s="3">
        <v>3.0</v>
      </c>
      <c r="H1353" s="3">
        <v>16.4</v>
      </c>
    </row>
    <row r="1354" ht="15.75" customHeight="1">
      <c r="A1354" s="3" t="s">
        <v>48</v>
      </c>
      <c r="B1354" s="3">
        <v>2015.0</v>
      </c>
      <c r="C1354" s="3" t="s">
        <v>11</v>
      </c>
      <c r="D1354" s="3">
        <v>100.3</v>
      </c>
      <c r="E1354" s="3">
        <v>281.2</v>
      </c>
      <c r="F1354" s="3">
        <v>91.7</v>
      </c>
      <c r="G1354" s="3">
        <v>4.0</v>
      </c>
      <c r="H1354" s="3">
        <v>17.8</v>
      </c>
    </row>
    <row r="1355" ht="15.75" customHeight="1">
      <c r="A1355" s="3" t="s">
        <v>48</v>
      </c>
      <c r="B1355" s="3">
        <v>2015.0</v>
      </c>
      <c r="C1355" s="3" t="s">
        <v>13</v>
      </c>
      <c r="D1355" s="3">
        <v>108.9</v>
      </c>
      <c r="E1355" s="3">
        <v>257.0</v>
      </c>
      <c r="F1355" s="3">
        <v>96.7</v>
      </c>
      <c r="G1355" s="3">
        <v>7.0</v>
      </c>
      <c r="H1355" s="3">
        <v>21.7</v>
      </c>
    </row>
    <row r="1356" ht="15.75" customHeight="1">
      <c r="A1356" s="3" t="s">
        <v>48</v>
      </c>
      <c r="B1356" s="3">
        <v>2015.0</v>
      </c>
      <c r="C1356" s="3" t="s">
        <v>14</v>
      </c>
      <c r="D1356" s="3">
        <v>124.2</v>
      </c>
      <c r="E1356" s="3">
        <v>347.3</v>
      </c>
      <c r="F1356" s="3">
        <v>150.6</v>
      </c>
      <c r="G1356" s="3">
        <v>6.0</v>
      </c>
      <c r="H1356" s="3">
        <v>35.4</v>
      </c>
    </row>
    <row r="1357" ht="15.75" customHeight="1">
      <c r="A1357" s="3" t="s">
        <v>48</v>
      </c>
      <c r="B1357" s="3">
        <v>2016.0</v>
      </c>
      <c r="C1357" s="3" t="s">
        <v>9</v>
      </c>
      <c r="D1357" s="3">
        <v>135.8</v>
      </c>
      <c r="E1357" s="3">
        <v>285.4</v>
      </c>
      <c r="F1357" s="3">
        <v>113.3</v>
      </c>
      <c r="G1357" s="3">
        <v>4.0</v>
      </c>
      <c r="H1357" s="3">
        <v>35.8</v>
      </c>
    </row>
    <row r="1358" ht="15.75" customHeight="1">
      <c r="A1358" s="3" t="s">
        <v>48</v>
      </c>
      <c r="B1358" s="3">
        <v>2016.0</v>
      </c>
      <c r="C1358" s="3" t="s">
        <v>10</v>
      </c>
      <c r="D1358" s="3">
        <v>163.0</v>
      </c>
      <c r="E1358" s="3">
        <v>380.3</v>
      </c>
      <c r="F1358" s="3">
        <v>206.8</v>
      </c>
      <c r="G1358" s="3">
        <v>6.0</v>
      </c>
      <c r="H1358" s="3">
        <v>33.7</v>
      </c>
    </row>
    <row r="1359" ht="15.75" customHeight="1">
      <c r="A1359" s="3" t="s">
        <v>48</v>
      </c>
      <c r="B1359" s="3">
        <v>2016.0</v>
      </c>
      <c r="C1359" s="3" t="s">
        <v>11</v>
      </c>
      <c r="D1359" s="3">
        <v>101.3</v>
      </c>
      <c r="E1359" s="3">
        <v>295.0</v>
      </c>
      <c r="F1359" s="3">
        <v>137.6</v>
      </c>
      <c r="G1359" s="3">
        <v>3.0</v>
      </c>
      <c r="H1359" s="3">
        <v>11.0</v>
      </c>
    </row>
    <row r="1360" ht="15.75" customHeight="1">
      <c r="A1360" s="3" t="s">
        <v>48</v>
      </c>
      <c r="B1360" s="3">
        <v>2016.0</v>
      </c>
      <c r="C1360" s="3" t="s">
        <v>13</v>
      </c>
      <c r="D1360" s="3">
        <v>177.0</v>
      </c>
      <c r="E1360" s="3">
        <v>398.5</v>
      </c>
      <c r="F1360" s="3">
        <v>263.1</v>
      </c>
      <c r="G1360" s="3">
        <v>10.0</v>
      </c>
      <c r="H1360" s="3">
        <v>17.1</v>
      </c>
    </row>
    <row r="1361" ht="15.75" customHeight="1">
      <c r="A1361" s="3" t="s">
        <v>48</v>
      </c>
      <c r="B1361" s="3">
        <v>2016.0</v>
      </c>
      <c r="C1361" s="3" t="s">
        <v>14</v>
      </c>
      <c r="D1361" s="3">
        <v>157.3</v>
      </c>
      <c r="E1361" s="3">
        <v>392.8</v>
      </c>
      <c r="F1361" s="3">
        <v>178.2</v>
      </c>
      <c r="G1361" s="3">
        <v>4.0</v>
      </c>
      <c r="H1361" s="3">
        <v>1.7</v>
      </c>
    </row>
    <row r="1362" ht="15.75" customHeight="1">
      <c r="A1362" s="3" t="s">
        <v>48</v>
      </c>
      <c r="B1362" s="3">
        <v>2017.0</v>
      </c>
      <c r="C1362" s="3" t="s">
        <v>9</v>
      </c>
      <c r="D1362" s="3">
        <v>164.1</v>
      </c>
      <c r="E1362" s="3">
        <v>462.1</v>
      </c>
      <c r="F1362" s="3">
        <v>138.5</v>
      </c>
      <c r="G1362" s="3">
        <v>8.0</v>
      </c>
      <c r="H1362" s="3">
        <v>7.6</v>
      </c>
    </row>
    <row r="1363" ht="15.75" customHeight="1">
      <c r="A1363" s="3" t="s">
        <v>48</v>
      </c>
      <c r="B1363" s="3">
        <v>2017.0</v>
      </c>
      <c r="C1363" s="3" t="s">
        <v>10</v>
      </c>
      <c r="D1363" s="3">
        <v>260.3</v>
      </c>
      <c r="E1363" s="3">
        <v>563.1</v>
      </c>
      <c r="F1363" s="3">
        <v>214.3</v>
      </c>
      <c r="G1363" s="3">
        <v>3.0</v>
      </c>
      <c r="H1363" s="3">
        <v>20.5</v>
      </c>
    </row>
    <row r="1364" ht="15.75" customHeight="1">
      <c r="A1364" s="3" t="s">
        <v>48</v>
      </c>
      <c r="B1364" s="3">
        <v>2017.0</v>
      </c>
      <c r="C1364" s="3" t="s">
        <v>11</v>
      </c>
      <c r="D1364" s="3">
        <v>161.9</v>
      </c>
      <c r="E1364" s="3">
        <v>419.1</v>
      </c>
      <c r="F1364" s="3">
        <v>225.6</v>
      </c>
      <c r="G1364" s="3">
        <v>6.0</v>
      </c>
      <c r="H1364" s="3">
        <v>48.5</v>
      </c>
    </row>
    <row r="1365" ht="15.75" customHeight="1">
      <c r="A1365" s="3" t="s">
        <v>48</v>
      </c>
      <c r="B1365" s="3">
        <v>2017.0</v>
      </c>
      <c r="C1365" s="3" t="s">
        <v>13</v>
      </c>
      <c r="D1365" s="3">
        <v>213.2</v>
      </c>
      <c r="E1365" s="3">
        <v>593.7</v>
      </c>
      <c r="F1365" s="3">
        <v>184.5</v>
      </c>
      <c r="G1365" s="3">
        <v>7.0</v>
      </c>
      <c r="H1365" s="3">
        <v>38.8</v>
      </c>
    </row>
    <row r="1366" ht="15.75" customHeight="1">
      <c r="A1366" s="3" t="s">
        <v>48</v>
      </c>
      <c r="B1366" s="3">
        <v>2017.0</v>
      </c>
      <c r="C1366" s="3" t="s">
        <v>14</v>
      </c>
      <c r="D1366" s="3">
        <v>121.7</v>
      </c>
      <c r="E1366" s="3">
        <v>245.9</v>
      </c>
      <c r="F1366" s="3">
        <v>138.2</v>
      </c>
      <c r="G1366" s="3">
        <v>7.0</v>
      </c>
      <c r="H1366" s="3">
        <v>11.5</v>
      </c>
    </row>
    <row r="1367" ht="15.75" customHeight="1">
      <c r="A1367" s="3" t="s">
        <v>48</v>
      </c>
      <c r="B1367" s="3">
        <v>2018.0</v>
      </c>
      <c r="C1367" s="3" t="s">
        <v>9</v>
      </c>
      <c r="D1367" s="3">
        <v>189.9</v>
      </c>
      <c r="E1367" s="3">
        <v>417.9</v>
      </c>
      <c r="F1367" s="3">
        <v>175.6</v>
      </c>
      <c r="G1367" s="3">
        <v>4.0</v>
      </c>
      <c r="H1367" s="3">
        <v>38.2</v>
      </c>
    </row>
    <row r="1368" ht="15.75" customHeight="1">
      <c r="A1368" s="3" t="s">
        <v>48</v>
      </c>
      <c r="B1368" s="3">
        <v>2018.0</v>
      </c>
      <c r="C1368" s="3" t="s">
        <v>10</v>
      </c>
      <c r="D1368" s="3">
        <v>237.5</v>
      </c>
      <c r="E1368" s="3">
        <v>626.9</v>
      </c>
      <c r="F1368" s="3">
        <v>333.0</v>
      </c>
      <c r="G1368" s="3">
        <v>5.0</v>
      </c>
      <c r="H1368" s="3">
        <v>20.4</v>
      </c>
    </row>
    <row r="1369" ht="15.75" customHeight="1">
      <c r="A1369" s="3" t="s">
        <v>48</v>
      </c>
      <c r="B1369" s="3">
        <v>2018.0</v>
      </c>
      <c r="C1369" s="3" t="s">
        <v>11</v>
      </c>
      <c r="D1369" s="3">
        <v>172.4</v>
      </c>
      <c r="E1369" s="3">
        <v>494.1</v>
      </c>
      <c r="F1369" s="3">
        <v>228.0</v>
      </c>
      <c r="G1369" s="3">
        <v>5.0</v>
      </c>
      <c r="H1369" s="3">
        <v>7.4</v>
      </c>
    </row>
    <row r="1370" ht="15.75" customHeight="1">
      <c r="A1370" s="3" t="s">
        <v>48</v>
      </c>
      <c r="B1370" s="3">
        <v>2018.0</v>
      </c>
      <c r="C1370" s="3" t="s">
        <v>13</v>
      </c>
      <c r="D1370" s="3">
        <v>184.6</v>
      </c>
      <c r="E1370" s="3">
        <v>381.2</v>
      </c>
      <c r="F1370" s="3">
        <v>254.3</v>
      </c>
      <c r="G1370" s="3">
        <v>9.0</v>
      </c>
      <c r="H1370" s="3">
        <v>45.3</v>
      </c>
    </row>
    <row r="1371" ht="15.75" customHeight="1">
      <c r="A1371" s="3" t="s">
        <v>48</v>
      </c>
      <c r="B1371" s="3">
        <v>2018.0</v>
      </c>
      <c r="C1371" s="3" t="s">
        <v>14</v>
      </c>
      <c r="D1371" s="3">
        <v>166.9</v>
      </c>
      <c r="E1371" s="3">
        <v>411.4</v>
      </c>
      <c r="F1371" s="3">
        <v>220.5</v>
      </c>
      <c r="G1371" s="3">
        <v>7.0</v>
      </c>
      <c r="H1371" s="3">
        <v>22.0</v>
      </c>
    </row>
    <row r="1372" ht="15.75" customHeight="1">
      <c r="A1372" s="3" t="s">
        <v>48</v>
      </c>
      <c r="B1372" s="3">
        <v>2019.0</v>
      </c>
      <c r="C1372" s="3" t="s">
        <v>9</v>
      </c>
      <c r="D1372" s="3">
        <v>235.2</v>
      </c>
      <c r="E1372" s="3">
        <v>691.7</v>
      </c>
      <c r="F1372" s="3">
        <v>268.2</v>
      </c>
      <c r="G1372" s="3">
        <v>4.0</v>
      </c>
      <c r="H1372" s="3">
        <v>30.8</v>
      </c>
    </row>
    <row r="1373" ht="15.75" customHeight="1">
      <c r="A1373" s="3" t="s">
        <v>48</v>
      </c>
      <c r="B1373" s="3">
        <v>2019.0</v>
      </c>
      <c r="C1373" s="3" t="s">
        <v>10</v>
      </c>
      <c r="D1373" s="3">
        <v>291.1</v>
      </c>
      <c r="E1373" s="3">
        <v>743.7</v>
      </c>
      <c r="F1373" s="3">
        <v>269.6</v>
      </c>
      <c r="G1373" s="3">
        <v>9.0</v>
      </c>
      <c r="H1373" s="3">
        <v>1.6</v>
      </c>
    </row>
    <row r="1374" ht="15.75" customHeight="1">
      <c r="A1374" s="3" t="s">
        <v>48</v>
      </c>
      <c r="B1374" s="3">
        <v>2019.0</v>
      </c>
      <c r="C1374" s="3" t="s">
        <v>11</v>
      </c>
      <c r="D1374" s="3">
        <v>253.9</v>
      </c>
      <c r="E1374" s="3">
        <v>516.1</v>
      </c>
      <c r="F1374" s="3">
        <v>286.2</v>
      </c>
      <c r="G1374" s="3">
        <v>7.0</v>
      </c>
      <c r="H1374" s="3">
        <v>41.7</v>
      </c>
    </row>
    <row r="1375" ht="15.75" customHeight="1">
      <c r="A1375" s="3" t="s">
        <v>48</v>
      </c>
      <c r="B1375" s="3">
        <v>2019.0</v>
      </c>
      <c r="C1375" s="3" t="s">
        <v>13</v>
      </c>
      <c r="D1375" s="3">
        <v>259.8</v>
      </c>
      <c r="E1375" s="3">
        <v>736.2</v>
      </c>
      <c r="F1375" s="3">
        <v>296.9</v>
      </c>
      <c r="G1375" s="3">
        <v>3.0</v>
      </c>
      <c r="H1375" s="3">
        <v>10.7</v>
      </c>
    </row>
    <row r="1376" ht="15.75" customHeight="1">
      <c r="A1376" s="3" t="s">
        <v>48</v>
      </c>
      <c r="B1376" s="3">
        <v>2019.0</v>
      </c>
      <c r="C1376" s="3" t="s">
        <v>14</v>
      </c>
      <c r="D1376" s="3">
        <v>292.3</v>
      </c>
      <c r="E1376" s="3">
        <v>722.0</v>
      </c>
      <c r="F1376" s="3">
        <v>341.8</v>
      </c>
      <c r="G1376" s="3">
        <v>11.0</v>
      </c>
      <c r="H1376" s="3">
        <v>40.8</v>
      </c>
    </row>
    <row r="1377" ht="15.75" customHeight="1">
      <c r="A1377" s="3" t="s">
        <v>48</v>
      </c>
      <c r="B1377" s="3">
        <v>2020.0</v>
      </c>
      <c r="C1377" s="3" t="s">
        <v>9</v>
      </c>
      <c r="D1377" s="3">
        <v>236.0</v>
      </c>
      <c r="E1377" s="3">
        <v>527.0</v>
      </c>
      <c r="F1377" s="3">
        <v>263.7</v>
      </c>
      <c r="G1377" s="3">
        <v>7.0</v>
      </c>
      <c r="H1377" s="3">
        <v>35.5</v>
      </c>
    </row>
    <row r="1378" ht="15.75" customHeight="1">
      <c r="A1378" s="3" t="s">
        <v>48</v>
      </c>
      <c r="B1378" s="3">
        <v>2020.0</v>
      </c>
      <c r="C1378" s="3" t="s">
        <v>10</v>
      </c>
      <c r="D1378" s="3">
        <v>245.7</v>
      </c>
      <c r="E1378" s="3">
        <v>608.4</v>
      </c>
      <c r="F1378" s="3">
        <v>315.1</v>
      </c>
      <c r="G1378" s="3">
        <v>11.0</v>
      </c>
      <c r="H1378" s="3">
        <v>37.4</v>
      </c>
    </row>
    <row r="1379" ht="15.75" customHeight="1">
      <c r="A1379" s="3" t="s">
        <v>48</v>
      </c>
      <c r="B1379" s="3">
        <v>2020.0</v>
      </c>
      <c r="C1379" s="3" t="s">
        <v>11</v>
      </c>
      <c r="D1379" s="3">
        <v>256.5</v>
      </c>
      <c r="E1379" s="3">
        <v>588.4</v>
      </c>
      <c r="F1379" s="3">
        <v>255.0</v>
      </c>
      <c r="G1379" s="3">
        <v>10.0</v>
      </c>
      <c r="H1379" s="3">
        <v>29.2</v>
      </c>
    </row>
    <row r="1380" ht="15.75" customHeight="1">
      <c r="A1380" s="3" t="s">
        <v>48</v>
      </c>
      <c r="B1380" s="3">
        <v>2020.0</v>
      </c>
      <c r="C1380" s="3" t="s">
        <v>13</v>
      </c>
      <c r="D1380" s="3">
        <v>272.7</v>
      </c>
      <c r="E1380" s="3">
        <v>563.6</v>
      </c>
      <c r="F1380" s="3">
        <v>376.6</v>
      </c>
      <c r="G1380" s="3">
        <v>8.0</v>
      </c>
      <c r="H1380" s="3">
        <v>48.8</v>
      </c>
    </row>
    <row r="1381" ht="15.75" customHeight="1">
      <c r="A1381" s="3" t="s">
        <v>48</v>
      </c>
      <c r="B1381" s="3">
        <v>2020.0</v>
      </c>
      <c r="C1381" s="3" t="s">
        <v>14</v>
      </c>
      <c r="D1381" s="3">
        <v>241.0</v>
      </c>
      <c r="E1381" s="3">
        <v>552.3</v>
      </c>
      <c r="F1381" s="3">
        <v>272.2</v>
      </c>
      <c r="G1381" s="3">
        <v>9.0</v>
      </c>
      <c r="H1381" s="3">
        <v>38.6</v>
      </c>
    </row>
    <row r="1382" ht="15.75" customHeight="1">
      <c r="A1382" s="3" t="s">
        <v>48</v>
      </c>
      <c r="B1382" s="3">
        <v>2021.0</v>
      </c>
      <c r="C1382" s="3" t="s">
        <v>9</v>
      </c>
      <c r="D1382" s="3">
        <v>303.5</v>
      </c>
      <c r="E1382" s="3">
        <v>785.9</v>
      </c>
      <c r="F1382" s="3">
        <v>338.3</v>
      </c>
      <c r="G1382" s="3">
        <v>11.0</v>
      </c>
      <c r="H1382" s="3">
        <v>40.6</v>
      </c>
    </row>
    <row r="1383" ht="15.75" customHeight="1">
      <c r="A1383" s="3" t="s">
        <v>48</v>
      </c>
      <c r="B1383" s="3">
        <v>2021.0</v>
      </c>
      <c r="C1383" s="3" t="s">
        <v>10</v>
      </c>
      <c r="D1383" s="3">
        <v>356.9</v>
      </c>
      <c r="E1383" s="3">
        <v>891.8</v>
      </c>
      <c r="F1383" s="3">
        <v>518.2</v>
      </c>
      <c r="G1383" s="3">
        <v>10.0</v>
      </c>
      <c r="H1383" s="3">
        <v>41.8</v>
      </c>
    </row>
    <row r="1384" ht="15.75" customHeight="1">
      <c r="A1384" s="3" t="s">
        <v>48</v>
      </c>
      <c r="B1384" s="3">
        <v>2021.0</v>
      </c>
      <c r="C1384" s="3" t="s">
        <v>11</v>
      </c>
      <c r="D1384" s="3">
        <v>193.6</v>
      </c>
      <c r="E1384" s="3">
        <v>474.1</v>
      </c>
      <c r="F1384" s="3">
        <v>287.8</v>
      </c>
      <c r="G1384" s="3">
        <v>4.0</v>
      </c>
      <c r="H1384" s="3">
        <v>23.2</v>
      </c>
    </row>
    <row r="1385" ht="15.75" customHeight="1">
      <c r="A1385" s="3" t="s">
        <v>48</v>
      </c>
      <c r="B1385" s="3">
        <v>2021.0</v>
      </c>
      <c r="C1385" s="3" t="s">
        <v>13</v>
      </c>
      <c r="D1385" s="3">
        <v>324.8</v>
      </c>
      <c r="E1385" s="3">
        <v>959.8</v>
      </c>
      <c r="F1385" s="3">
        <v>461.6</v>
      </c>
      <c r="G1385" s="3">
        <v>11.0</v>
      </c>
      <c r="H1385" s="3">
        <v>29.0</v>
      </c>
    </row>
    <row r="1386" ht="15.75" customHeight="1">
      <c r="A1386" s="3" t="s">
        <v>48</v>
      </c>
      <c r="B1386" s="3">
        <v>2021.0</v>
      </c>
      <c r="C1386" s="3" t="s">
        <v>14</v>
      </c>
      <c r="D1386" s="3">
        <v>307.0</v>
      </c>
      <c r="E1386" s="3">
        <v>691.8</v>
      </c>
      <c r="F1386" s="3">
        <v>294.6</v>
      </c>
      <c r="G1386" s="3">
        <v>9.0</v>
      </c>
      <c r="H1386" s="3">
        <v>7.4</v>
      </c>
    </row>
    <row r="1387" ht="15.75" customHeight="1">
      <c r="A1387" s="3" t="s">
        <v>48</v>
      </c>
      <c r="B1387" s="3">
        <v>2022.0</v>
      </c>
      <c r="C1387" s="3" t="s">
        <v>9</v>
      </c>
      <c r="D1387" s="3">
        <v>294.9</v>
      </c>
      <c r="E1387" s="3">
        <v>624.4</v>
      </c>
      <c r="F1387" s="3">
        <v>439.5</v>
      </c>
      <c r="G1387" s="3">
        <v>3.0</v>
      </c>
      <c r="H1387" s="3">
        <v>2.5</v>
      </c>
    </row>
    <row r="1388" ht="15.75" customHeight="1">
      <c r="A1388" s="3" t="s">
        <v>48</v>
      </c>
      <c r="B1388" s="3">
        <v>2022.0</v>
      </c>
      <c r="C1388" s="3" t="s">
        <v>10</v>
      </c>
      <c r="D1388" s="3">
        <v>322.9</v>
      </c>
      <c r="E1388" s="3">
        <v>924.2</v>
      </c>
      <c r="F1388" s="3">
        <v>475.6</v>
      </c>
      <c r="G1388" s="3">
        <v>6.0</v>
      </c>
      <c r="H1388" s="3">
        <v>17.4</v>
      </c>
    </row>
    <row r="1389" ht="15.75" customHeight="1">
      <c r="A1389" s="3" t="s">
        <v>48</v>
      </c>
      <c r="B1389" s="3">
        <v>2022.0</v>
      </c>
      <c r="C1389" s="3" t="s">
        <v>11</v>
      </c>
      <c r="D1389" s="3">
        <v>355.1</v>
      </c>
      <c r="E1389" s="3">
        <v>975.4</v>
      </c>
      <c r="F1389" s="3">
        <v>297.2</v>
      </c>
      <c r="G1389" s="3">
        <v>12.0</v>
      </c>
      <c r="H1389" s="3">
        <v>13.7</v>
      </c>
    </row>
    <row r="1390" ht="15.75" customHeight="1">
      <c r="A1390" s="3" t="s">
        <v>48</v>
      </c>
      <c r="B1390" s="3">
        <v>2022.0</v>
      </c>
      <c r="C1390" s="3" t="s">
        <v>13</v>
      </c>
      <c r="D1390" s="3">
        <v>351.7</v>
      </c>
      <c r="E1390" s="3">
        <v>1005.4</v>
      </c>
      <c r="F1390" s="3">
        <v>310.3</v>
      </c>
      <c r="G1390" s="3">
        <v>5.0</v>
      </c>
      <c r="H1390" s="3">
        <v>34.0</v>
      </c>
    </row>
    <row r="1391" ht="15.75" customHeight="1">
      <c r="A1391" s="3" t="s">
        <v>48</v>
      </c>
      <c r="B1391" s="3">
        <v>2022.0</v>
      </c>
      <c r="C1391" s="3" t="s">
        <v>14</v>
      </c>
      <c r="D1391" s="3">
        <v>392.3</v>
      </c>
      <c r="E1391" s="3">
        <v>1057.2</v>
      </c>
      <c r="F1391" s="3">
        <v>435.1</v>
      </c>
      <c r="G1391" s="3">
        <v>12.0</v>
      </c>
      <c r="H1391" s="3">
        <v>45.7</v>
      </c>
    </row>
    <row r="1392" ht="15.75" customHeight="1">
      <c r="A1392" s="3" t="s">
        <v>48</v>
      </c>
      <c r="B1392" s="3">
        <v>2023.0</v>
      </c>
      <c r="C1392" s="3" t="s">
        <v>9</v>
      </c>
      <c r="D1392" s="3">
        <v>295.9</v>
      </c>
      <c r="E1392" s="3">
        <v>875.0</v>
      </c>
      <c r="F1392" s="3">
        <v>305.1</v>
      </c>
      <c r="G1392" s="3">
        <v>9.0</v>
      </c>
      <c r="H1392" s="3">
        <v>34.6</v>
      </c>
    </row>
    <row r="1393" ht="15.75" customHeight="1">
      <c r="A1393" s="3" t="s">
        <v>48</v>
      </c>
      <c r="B1393" s="3">
        <v>2023.0</v>
      </c>
      <c r="C1393" s="3" t="s">
        <v>10</v>
      </c>
      <c r="D1393" s="3">
        <v>405.1</v>
      </c>
      <c r="E1393" s="3">
        <v>919.7</v>
      </c>
      <c r="F1393" s="3">
        <v>551.9</v>
      </c>
      <c r="G1393" s="3">
        <v>9.0</v>
      </c>
      <c r="H1393" s="3">
        <v>13.4</v>
      </c>
    </row>
    <row r="1394" ht="15.75" customHeight="1">
      <c r="A1394" s="3" t="s">
        <v>48</v>
      </c>
      <c r="B1394" s="3">
        <v>2023.0</v>
      </c>
      <c r="C1394" s="3" t="s">
        <v>11</v>
      </c>
      <c r="D1394" s="3">
        <v>358.6</v>
      </c>
      <c r="E1394" s="3">
        <v>751.5</v>
      </c>
      <c r="F1394" s="3">
        <v>292.5</v>
      </c>
      <c r="G1394" s="3">
        <v>7.0</v>
      </c>
      <c r="H1394" s="3">
        <v>9.4</v>
      </c>
    </row>
    <row r="1395" ht="15.75" customHeight="1">
      <c r="A1395" s="3" t="s">
        <v>48</v>
      </c>
      <c r="B1395" s="3">
        <v>2023.0</v>
      </c>
      <c r="C1395" s="3" t="s">
        <v>13</v>
      </c>
      <c r="D1395" s="3">
        <v>381.0</v>
      </c>
      <c r="E1395" s="3">
        <v>1030.6</v>
      </c>
      <c r="F1395" s="3">
        <v>327.5</v>
      </c>
      <c r="G1395" s="3">
        <v>4.0</v>
      </c>
      <c r="H1395" s="3">
        <v>39.3</v>
      </c>
    </row>
    <row r="1396" ht="15.75" customHeight="1">
      <c r="A1396" s="3" t="s">
        <v>48</v>
      </c>
      <c r="B1396" s="3">
        <v>2023.0</v>
      </c>
      <c r="C1396" s="3" t="s">
        <v>14</v>
      </c>
      <c r="D1396" s="3">
        <v>359.2</v>
      </c>
      <c r="E1396" s="3">
        <v>758.0</v>
      </c>
      <c r="F1396" s="3">
        <v>392.8</v>
      </c>
      <c r="G1396" s="3">
        <v>7.0</v>
      </c>
      <c r="H1396" s="3">
        <v>36.3</v>
      </c>
    </row>
    <row r="1397" ht="15.75" customHeight="1">
      <c r="A1397" s="3" t="s">
        <v>48</v>
      </c>
      <c r="B1397" s="3">
        <v>2024.0</v>
      </c>
      <c r="C1397" s="3" t="s">
        <v>9</v>
      </c>
      <c r="D1397" s="3">
        <v>319.2</v>
      </c>
      <c r="E1397" s="3">
        <v>682.0</v>
      </c>
      <c r="F1397" s="3">
        <v>426.0</v>
      </c>
      <c r="G1397" s="3">
        <v>12.0</v>
      </c>
      <c r="H1397" s="3">
        <v>12.3</v>
      </c>
    </row>
    <row r="1398" ht="15.75" customHeight="1">
      <c r="A1398" s="3" t="s">
        <v>48</v>
      </c>
      <c r="B1398" s="3">
        <v>2024.0</v>
      </c>
      <c r="C1398" s="3" t="s">
        <v>10</v>
      </c>
      <c r="D1398" s="3">
        <v>375.5</v>
      </c>
      <c r="E1398" s="3">
        <v>927.1</v>
      </c>
      <c r="F1398" s="3">
        <v>547.2</v>
      </c>
      <c r="G1398" s="3">
        <v>4.0</v>
      </c>
      <c r="H1398" s="3">
        <v>48.9</v>
      </c>
    </row>
    <row r="1399" ht="15.75" customHeight="1">
      <c r="A1399" s="3" t="s">
        <v>48</v>
      </c>
      <c r="B1399" s="3">
        <v>2024.0</v>
      </c>
      <c r="C1399" s="3" t="s">
        <v>11</v>
      </c>
      <c r="D1399" s="3">
        <v>425.0</v>
      </c>
      <c r="E1399" s="3">
        <v>1031.4</v>
      </c>
      <c r="F1399" s="3">
        <v>381.5</v>
      </c>
      <c r="G1399" s="3">
        <v>5.0</v>
      </c>
      <c r="H1399" s="3">
        <v>16.5</v>
      </c>
    </row>
    <row r="1400" ht="15.75" customHeight="1">
      <c r="A1400" s="3" t="s">
        <v>48</v>
      </c>
      <c r="B1400" s="3">
        <v>2024.0</v>
      </c>
      <c r="C1400" s="3" t="s">
        <v>13</v>
      </c>
      <c r="D1400" s="3">
        <v>366.6</v>
      </c>
      <c r="E1400" s="3">
        <v>1089.8</v>
      </c>
      <c r="F1400" s="3">
        <v>332.7</v>
      </c>
      <c r="G1400" s="3">
        <v>9.0</v>
      </c>
      <c r="H1400" s="3">
        <v>1.0</v>
      </c>
    </row>
    <row r="1401" ht="15.75" customHeight="1">
      <c r="A1401" s="3" t="s">
        <v>48</v>
      </c>
      <c r="B1401" s="3">
        <v>2024.0</v>
      </c>
      <c r="C1401" s="3" t="s">
        <v>14</v>
      </c>
      <c r="D1401" s="3">
        <v>386.1</v>
      </c>
      <c r="E1401" s="3">
        <v>1108.1</v>
      </c>
      <c r="F1401" s="3">
        <v>380.6</v>
      </c>
      <c r="G1401" s="3">
        <v>8.0</v>
      </c>
      <c r="H1401" s="3">
        <v>44.3</v>
      </c>
    </row>
    <row r="1402" ht="15.75" customHeight="1">
      <c r="A1402" s="3" t="s">
        <v>49</v>
      </c>
      <c r="B1402" s="3">
        <v>2015.0</v>
      </c>
      <c r="C1402" s="3" t="s">
        <v>9</v>
      </c>
      <c r="D1402" s="3">
        <v>119.9</v>
      </c>
      <c r="E1402" s="3">
        <v>278.1</v>
      </c>
      <c r="F1402" s="3">
        <v>117.1</v>
      </c>
      <c r="G1402" s="3">
        <v>10.0</v>
      </c>
      <c r="H1402" s="3">
        <v>24.7</v>
      </c>
    </row>
    <row r="1403" ht="15.75" customHeight="1">
      <c r="A1403" s="3" t="s">
        <v>49</v>
      </c>
      <c r="B1403" s="3">
        <v>2015.0</v>
      </c>
      <c r="C1403" s="3" t="s">
        <v>10</v>
      </c>
      <c r="D1403" s="3">
        <v>132.8</v>
      </c>
      <c r="E1403" s="3">
        <v>313.0</v>
      </c>
      <c r="F1403" s="3">
        <v>121.4</v>
      </c>
      <c r="G1403" s="3">
        <v>8.0</v>
      </c>
      <c r="H1403" s="3">
        <v>8.7</v>
      </c>
    </row>
    <row r="1404" ht="15.75" customHeight="1">
      <c r="A1404" s="3" t="s">
        <v>49</v>
      </c>
      <c r="B1404" s="3">
        <v>2015.0</v>
      </c>
      <c r="C1404" s="3" t="s">
        <v>11</v>
      </c>
      <c r="D1404" s="3">
        <v>84.1</v>
      </c>
      <c r="E1404" s="3">
        <v>226.8</v>
      </c>
      <c r="F1404" s="3">
        <v>98.4</v>
      </c>
      <c r="G1404" s="3">
        <v>5.0</v>
      </c>
      <c r="H1404" s="3">
        <v>34.3</v>
      </c>
    </row>
    <row r="1405" ht="15.75" customHeight="1">
      <c r="A1405" s="3" t="s">
        <v>49</v>
      </c>
      <c r="B1405" s="3">
        <v>2015.0</v>
      </c>
      <c r="C1405" s="3" t="s">
        <v>13</v>
      </c>
      <c r="D1405" s="3">
        <v>74.5</v>
      </c>
      <c r="E1405" s="3">
        <v>216.7</v>
      </c>
      <c r="F1405" s="3">
        <v>60.5</v>
      </c>
      <c r="G1405" s="3">
        <v>1.0</v>
      </c>
      <c r="H1405" s="3">
        <v>20.9</v>
      </c>
    </row>
    <row r="1406" ht="15.75" customHeight="1">
      <c r="A1406" s="3" t="s">
        <v>49</v>
      </c>
      <c r="B1406" s="3">
        <v>2015.0</v>
      </c>
      <c r="C1406" s="3" t="s">
        <v>14</v>
      </c>
      <c r="D1406" s="3">
        <v>57.1</v>
      </c>
      <c r="E1406" s="3">
        <v>122.0</v>
      </c>
      <c r="F1406" s="3">
        <v>81.2</v>
      </c>
      <c r="G1406" s="3">
        <v>4.0</v>
      </c>
      <c r="H1406" s="3">
        <v>37.0</v>
      </c>
    </row>
    <row r="1407" ht="15.75" customHeight="1">
      <c r="A1407" s="3" t="s">
        <v>49</v>
      </c>
      <c r="B1407" s="3">
        <v>2016.0</v>
      </c>
      <c r="C1407" s="3" t="s">
        <v>9</v>
      </c>
      <c r="D1407" s="3">
        <v>146.8</v>
      </c>
      <c r="E1407" s="3">
        <v>413.6</v>
      </c>
      <c r="F1407" s="3">
        <v>130.6</v>
      </c>
      <c r="G1407" s="3">
        <v>9.0</v>
      </c>
      <c r="H1407" s="3">
        <v>33.3</v>
      </c>
    </row>
    <row r="1408" ht="15.75" customHeight="1">
      <c r="A1408" s="3" t="s">
        <v>49</v>
      </c>
      <c r="B1408" s="3">
        <v>2016.0</v>
      </c>
      <c r="C1408" s="3" t="s">
        <v>10</v>
      </c>
      <c r="D1408" s="3">
        <v>147.0</v>
      </c>
      <c r="E1408" s="3">
        <v>411.9</v>
      </c>
      <c r="F1408" s="3">
        <v>204.6</v>
      </c>
      <c r="G1408" s="3">
        <v>2.0</v>
      </c>
      <c r="H1408" s="3">
        <v>21.2</v>
      </c>
    </row>
    <row r="1409" ht="15.75" customHeight="1">
      <c r="A1409" s="3" t="s">
        <v>49</v>
      </c>
      <c r="B1409" s="3">
        <v>2016.0</v>
      </c>
      <c r="C1409" s="3" t="s">
        <v>11</v>
      </c>
      <c r="D1409" s="3">
        <v>106.8</v>
      </c>
      <c r="E1409" s="3">
        <v>319.8</v>
      </c>
      <c r="F1409" s="3">
        <v>127.6</v>
      </c>
      <c r="G1409" s="3">
        <v>5.0</v>
      </c>
      <c r="H1409" s="3">
        <v>38.8</v>
      </c>
    </row>
    <row r="1410" ht="15.75" customHeight="1">
      <c r="A1410" s="3" t="s">
        <v>49</v>
      </c>
      <c r="B1410" s="3">
        <v>2016.0</v>
      </c>
      <c r="C1410" s="3" t="s">
        <v>13</v>
      </c>
      <c r="D1410" s="3">
        <v>176.1</v>
      </c>
      <c r="E1410" s="3">
        <v>472.6</v>
      </c>
      <c r="F1410" s="3">
        <v>238.5</v>
      </c>
      <c r="G1410" s="3">
        <v>8.0</v>
      </c>
      <c r="H1410" s="3">
        <v>4.9</v>
      </c>
    </row>
    <row r="1411" ht="15.75" customHeight="1">
      <c r="A1411" s="3" t="s">
        <v>49</v>
      </c>
      <c r="B1411" s="3">
        <v>2016.0</v>
      </c>
      <c r="C1411" s="3" t="s">
        <v>14</v>
      </c>
      <c r="D1411" s="3">
        <v>110.6</v>
      </c>
      <c r="E1411" s="3">
        <v>320.6</v>
      </c>
      <c r="F1411" s="3">
        <v>123.1</v>
      </c>
      <c r="G1411" s="3">
        <v>10.0</v>
      </c>
      <c r="H1411" s="3">
        <v>47.7</v>
      </c>
    </row>
    <row r="1412" ht="15.75" customHeight="1">
      <c r="A1412" s="3" t="s">
        <v>49</v>
      </c>
      <c r="B1412" s="3">
        <v>2017.0</v>
      </c>
      <c r="C1412" s="3" t="s">
        <v>9</v>
      </c>
      <c r="D1412" s="3">
        <v>134.6</v>
      </c>
      <c r="E1412" s="3">
        <v>305.4</v>
      </c>
      <c r="F1412" s="3">
        <v>188.9</v>
      </c>
      <c r="G1412" s="3">
        <v>6.0</v>
      </c>
      <c r="H1412" s="3">
        <v>14.1</v>
      </c>
    </row>
    <row r="1413" ht="15.75" customHeight="1">
      <c r="A1413" s="3" t="s">
        <v>49</v>
      </c>
      <c r="B1413" s="3">
        <v>2017.0</v>
      </c>
      <c r="C1413" s="3" t="s">
        <v>10</v>
      </c>
      <c r="D1413" s="3">
        <v>184.1</v>
      </c>
      <c r="E1413" s="3">
        <v>422.3</v>
      </c>
      <c r="F1413" s="3">
        <v>175.1</v>
      </c>
      <c r="G1413" s="3">
        <v>3.0</v>
      </c>
      <c r="H1413" s="3">
        <v>38.7</v>
      </c>
    </row>
    <row r="1414" ht="15.75" customHeight="1">
      <c r="A1414" s="3" t="s">
        <v>49</v>
      </c>
      <c r="B1414" s="3">
        <v>2017.0</v>
      </c>
      <c r="C1414" s="3" t="s">
        <v>11</v>
      </c>
      <c r="D1414" s="3">
        <v>177.2</v>
      </c>
      <c r="E1414" s="3">
        <v>492.0</v>
      </c>
      <c r="F1414" s="3">
        <v>240.7</v>
      </c>
      <c r="G1414" s="3">
        <v>4.0</v>
      </c>
      <c r="H1414" s="3">
        <v>42.5</v>
      </c>
    </row>
    <row r="1415" ht="15.75" customHeight="1">
      <c r="A1415" s="3" t="s">
        <v>49</v>
      </c>
      <c r="B1415" s="3">
        <v>2017.0</v>
      </c>
      <c r="C1415" s="3" t="s">
        <v>13</v>
      </c>
      <c r="D1415" s="3">
        <v>151.1</v>
      </c>
      <c r="E1415" s="3">
        <v>413.4</v>
      </c>
      <c r="F1415" s="3">
        <v>184.4</v>
      </c>
      <c r="G1415" s="3">
        <v>6.0</v>
      </c>
      <c r="H1415" s="3">
        <v>4.2</v>
      </c>
    </row>
    <row r="1416" ht="15.75" customHeight="1">
      <c r="A1416" s="3" t="s">
        <v>49</v>
      </c>
      <c r="B1416" s="3">
        <v>2017.0</v>
      </c>
      <c r="C1416" s="3" t="s">
        <v>14</v>
      </c>
      <c r="D1416" s="3">
        <v>220.1</v>
      </c>
      <c r="E1416" s="3">
        <v>532.2</v>
      </c>
      <c r="F1416" s="3">
        <v>286.1</v>
      </c>
      <c r="G1416" s="3">
        <v>9.0</v>
      </c>
      <c r="H1416" s="3">
        <v>41.3</v>
      </c>
    </row>
    <row r="1417" ht="15.75" customHeight="1">
      <c r="A1417" s="3" t="s">
        <v>49</v>
      </c>
      <c r="B1417" s="3">
        <v>2018.0</v>
      </c>
      <c r="C1417" s="3" t="s">
        <v>9</v>
      </c>
      <c r="D1417" s="3">
        <v>241.5</v>
      </c>
      <c r="E1417" s="3">
        <v>635.2</v>
      </c>
      <c r="F1417" s="3">
        <v>206.6</v>
      </c>
      <c r="G1417" s="3">
        <v>10.0</v>
      </c>
      <c r="H1417" s="3">
        <v>32.4</v>
      </c>
    </row>
    <row r="1418" ht="15.75" customHeight="1">
      <c r="A1418" s="3" t="s">
        <v>49</v>
      </c>
      <c r="B1418" s="3">
        <v>2018.0</v>
      </c>
      <c r="C1418" s="3" t="s">
        <v>10</v>
      </c>
      <c r="D1418" s="3">
        <v>145.2</v>
      </c>
      <c r="E1418" s="3">
        <v>351.8</v>
      </c>
      <c r="F1418" s="3">
        <v>174.2</v>
      </c>
      <c r="G1418" s="3">
        <v>4.0</v>
      </c>
      <c r="H1418" s="3">
        <v>12.4</v>
      </c>
    </row>
    <row r="1419" ht="15.75" customHeight="1">
      <c r="A1419" s="3" t="s">
        <v>49</v>
      </c>
      <c r="B1419" s="3">
        <v>2018.0</v>
      </c>
      <c r="C1419" s="3" t="s">
        <v>11</v>
      </c>
      <c r="D1419" s="3">
        <v>147.5</v>
      </c>
      <c r="E1419" s="3">
        <v>407.0</v>
      </c>
      <c r="F1419" s="3">
        <v>170.8</v>
      </c>
      <c r="G1419" s="3">
        <v>6.0</v>
      </c>
      <c r="H1419" s="3">
        <v>6.0</v>
      </c>
    </row>
    <row r="1420" ht="15.75" customHeight="1">
      <c r="A1420" s="3" t="s">
        <v>49</v>
      </c>
      <c r="B1420" s="3">
        <v>2018.0</v>
      </c>
      <c r="C1420" s="3" t="s">
        <v>13</v>
      </c>
      <c r="D1420" s="3">
        <v>229.3</v>
      </c>
      <c r="E1420" s="3">
        <v>653.2</v>
      </c>
      <c r="F1420" s="3">
        <v>186.7</v>
      </c>
      <c r="G1420" s="3">
        <v>4.0</v>
      </c>
      <c r="H1420" s="3">
        <v>40.2</v>
      </c>
    </row>
    <row r="1421" ht="15.75" customHeight="1">
      <c r="A1421" s="3" t="s">
        <v>49</v>
      </c>
      <c r="B1421" s="3">
        <v>2018.0</v>
      </c>
      <c r="C1421" s="3" t="s">
        <v>14</v>
      </c>
      <c r="D1421" s="3">
        <v>188.9</v>
      </c>
      <c r="E1421" s="3">
        <v>426.9</v>
      </c>
      <c r="F1421" s="3">
        <v>208.1</v>
      </c>
      <c r="G1421" s="3">
        <v>7.0</v>
      </c>
      <c r="H1421" s="3">
        <v>34.0</v>
      </c>
    </row>
    <row r="1422" ht="15.75" customHeight="1">
      <c r="A1422" s="3" t="s">
        <v>49</v>
      </c>
      <c r="B1422" s="3">
        <v>2019.0</v>
      </c>
      <c r="C1422" s="3" t="s">
        <v>9</v>
      </c>
      <c r="D1422" s="3">
        <v>224.1</v>
      </c>
      <c r="E1422" s="3">
        <v>667.4</v>
      </c>
      <c r="F1422" s="3">
        <v>306.3</v>
      </c>
      <c r="G1422" s="3">
        <v>5.0</v>
      </c>
      <c r="H1422" s="3">
        <v>47.4</v>
      </c>
    </row>
    <row r="1423" ht="15.75" customHeight="1">
      <c r="A1423" s="3" t="s">
        <v>49</v>
      </c>
      <c r="B1423" s="3">
        <v>2019.0</v>
      </c>
      <c r="C1423" s="3" t="s">
        <v>10</v>
      </c>
      <c r="D1423" s="3">
        <v>242.7</v>
      </c>
      <c r="E1423" s="3">
        <v>700.6</v>
      </c>
      <c r="F1423" s="3">
        <v>255.0</v>
      </c>
      <c r="G1423" s="3">
        <v>10.0</v>
      </c>
      <c r="H1423" s="3">
        <v>21.8</v>
      </c>
    </row>
    <row r="1424" ht="15.75" customHeight="1">
      <c r="A1424" s="3" t="s">
        <v>49</v>
      </c>
      <c r="B1424" s="3">
        <v>2019.0</v>
      </c>
      <c r="C1424" s="3" t="s">
        <v>11</v>
      </c>
      <c r="D1424" s="3">
        <v>210.9</v>
      </c>
      <c r="E1424" s="3">
        <v>516.5</v>
      </c>
      <c r="F1424" s="3">
        <v>233.7</v>
      </c>
      <c r="G1424" s="3">
        <v>9.0</v>
      </c>
      <c r="H1424" s="3">
        <v>29.8</v>
      </c>
    </row>
    <row r="1425" ht="15.75" customHeight="1">
      <c r="A1425" s="3" t="s">
        <v>49</v>
      </c>
      <c r="B1425" s="3">
        <v>2019.0</v>
      </c>
      <c r="C1425" s="3" t="s">
        <v>13</v>
      </c>
      <c r="D1425" s="3">
        <v>159.9</v>
      </c>
      <c r="E1425" s="3">
        <v>423.8</v>
      </c>
      <c r="F1425" s="3">
        <v>213.8</v>
      </c>
      <c r="G1425" s="3">
        <v>3.0</v>
      </c>
      <c r="H1425" s="3">
        <v>19.2</v>
      </c>
    </row>
    <row r="1426" ht="15.75" customHeight="1">
      <c r="A1426" s="3" t="s">
        <v>49</v>
      </c>
      <c r="B1426" s="3">
        <v>2019.0</v>
      </c>
      <c r="C1426" s="3" t="s">
        <v>14</v>
      </c>
      <c r="D1426" s="3">
        <v>160.3</v>
      </c>
      <c r="E1426" s="3">
        <v>345.5</v>
      </c>
      <c r="F1426" s="3">
        <v>227.0</v>
      </c>
      <c r="G1426" s="3">
        <v>4.0</v>
      </c>
      <c r="H1426" s="3">
        <v>48.7</v>
      </c>
    </row>
    <row r="1427" ht="15.75" customHeight="1">
      <c r="A1427" s="3" t="s">
        <v>49</v>
      </c>
      <c r="B1427" s="3">
        <v>2020.0</v>
      </c>
      <c r="C1427" s="3" t="s">
        <v>9</v>
      </c>
      <c r="D1427" s="3">
        <v>253.4</v>
      </c>
      <c r="E1427" s="3">
        <v>515.7</v>
      </c>
      <c r="F1427" s="3">
        <v>291.0</v>
      </c>
      <c r="G1427" s="3">
        <v>10.0</v>
      </c>
      <c r="H1427" s="3">
        <v>48.1</v>
      </c>
    </row>
    <row r="1428" ht="15.75" customHeight="1">
      <c r="A1428" s="3" t="s">
        <v>49</v>
      </c>
      <c r="B1428" s="3">
        <v>2020.0</v>
      </c>
      <c r="C1428" s="3" t="s">
        <v>10</v>
      </c>
      <c r="D1428" s="3">
        <v>270.0</v>
      </c>
      <c r="E1428" s="3">
        <v>608.0</v>
      </c>
      <c r="F1428" s="3">
        <v>369.2</v>
      </c>
      <c r="G1428" s="3">
        <v>6.0</v>
      </c>
      <c r="H1428" s="3">
        <v>27.7</v>
      </c>
    </row>
    <row r="1429" ht="15.75" customHeight="1">
      <c r="A1429" s="3" t="s">
        <v>49</v>
      </c>
      <c r="B1429" s="3">
        <v>2020.0</v>
      </c>
      <c r="C1429" s="3" t="s">
        <v>11</v>
      </c>
      <c r="D1429" s="3">
        <v>312.7</v>
      </c>
      <c r="E1429" s="3">
        <v>644.2</v>
      </c>
      <c r="F1429" s="3">
        <v>321.4</v>
      </c>
      <c r="G1429" s="3">
        <v>6.0</v>
      </c>
      <c r="H1429" s="3">
        <v>35.8</v>
      </c>
    </row>
    <row r="1430" ht="15.75" customHeight="1">
      <c r="A1430" s="3" t="s">
        <v>49</v>
      </c>
      <c r="B1430" s="3">
        <v>2020.0</v>
      </c>
      <c r="C1430" s="3" t="s">
        <v>13</v>
      </c>
      <c r="D1430" s="3">
        <v>281.8</v>
      </c>
      <c r="E1430" s="3">
        <v>845.2</v>
      </c>
      <c r="F1430" s="3">
        <v>420.2</v>
      </c>
      <c r="G1430" s="3">
        <v>3.0</v>
      </c>
      <c r="H1430" s="3">
        <v>17.5</v>
      </c>
    </row>
    <row r="1431" ht="15.75" customHeight="1">
      <c r="A1431" s="3" t="s">
        <v>49</v>
      </c>
      <c r="B1431" s="3">
        <v>2020.0</v>
      </c>
      <c r="C1431" s="3" t="s">
        <v>14</v>
      </c>
      <c r="D1431" s="3">
        <v>250.8</v>
      </c>
      <c r="E1431" s="3">
        <v>606.1</v>
      </c>
      <c r="F1431" s="3">
        <v>314.5</v>
      </c>
      <c r="G1431" s="3">
        <v>9.0</v>
      </c>
      <c r="H1431" s="3">
        <v>11.9</v>
      </c>
    </row>
    <row r="1432" ht="15.75" customHeight="1">
      <c r="A1432" s="3" t="s">
        <v>49</v>
      </c>
      <c r="B1432" s="3">
        <v>2021.0</v>
      </c>
      <c r="C1432" s="3" t="s">
        <v>9</v>
      </c>
      <c r="D1432" s="3">
        <v>279.7</v>
      </c>
      <c r="E1432" s="3">
        <v>780.7</v>
      </c>
      <c r="F1432" s="3">
        <v>226.1</v>
      </c>
      <c r="G1432" s="3">
        <v>8.0</v>
      </c>
      <c r="H1432" s="3">
        <v>30.7</v>
      </c>
    </row>
    <row r="1433" ht="15.75" customHeight="1">
      <c r="A1433" s="3" t="s">
        <v>49</v>
      </c>
      <c r="B1433" s="3">
        <v>2021.0</v>
      </c>
      <c r="C1433" s="3" t="s">
        <v>10</v>
      </c>
      <c r="D1433" s="3">
        <v>326.7</v>
      </c>
      <c r="E1433" s="3">
        <v>674.0</v>
      </c>
      <c r="F1433" s="3">
        <v>470.2</v>
      </c>
      <c r="G1433" s="3">
        <v>6.0</v>
      </c>
      <c r="H1433" s="3">
        <v>23.5</v>
      </c>
    </row>
    <row r="1434" ht="15.75" customHeight="1">
      <c r="A1434" s="3" t="s">
        <v>49</v>
      </c>
      <c r="B1434" s="3">
        <v>2021.0</v>
      </c>
      <c r="C1434" s="3" t="s">
        <v>11</v>
      </c>
      <c r="D1434" s="3">
        <v>306.6</v>
      </c>
      <c r="E1434" s="3">
        <v>812.0</v>
      </c>
      <c r="F1434" s="3">
        <v>405.9</v>
      </c>
      <c r="G1434" s="3">
        <v>9.0</v>
      </c>
      <c r="H1434" s="3">
        <v>4.3</v>
      </c>
    </row>
    <row r="1435" ht="15.75" customHeight="1">
      <c r="A1435" s="3" t="s">
        <v>49</v>
      </c>
      <c r="B1435" s="3">
        <v>2021.0</v>
      </c>
      <c r="C1435" s="3" t="s">
        <v>13</v>
      </c>
      <c r="D1435" s="3">
        <v>315.9</v>
      </c>
      <c r="E1435" s="3">
        <v>833.2</v>
      </c>
      <c r="F1435" s="3">
        <v>364.6</v>
      </c>
      <c r="G1435" s="3">
        <v>5.0</v>
      </c>
      <c r="H1435" s="3">
        <v>33.5</v>
      </c>
    </row>
    <row r="1436" ht="15.75" customHeight="1">
      <c r="A1436" s="3" t="s">
        <v>49</v>
      </c>
      <c r="B1436" s="3">
        <v>2021.0</v>
      </c>
      <c r="C1436" s="3" t="s">
        <v>14</v>
      </c>
      <c r="D1436" s="3">
        <v>280.7</v>
      </c>
      <c r="E1436" s="3">
        <v>755.4</v>
      </c>
      <c r="F1436" s="3">
        <v>398.1</v>
      </c>
      <c r="G1436" s="3">
        <v>11.0</v>
      </c>
      <c r="H1436" s="3">
        <v>41.4</v>
      </c>
    </row>
    <row r="1437" ht="15.75" customHeight="1">
      <c r="A1437" s="3" t="s">
        <v>49</v>
      </c>
      <c r="B1437" s="3">
        <v>2022.0</v>
      </c>
      <c r="C1437" s="3" t="s">
        <v>9</v>
      </c>
      <c r="D1437" s="3">
        <v>346.3</v>
      </c>
      <c r="E1437" s="3">
        <v>935.2</v>
      </c>
      <c r="F1437" s="3">
        <v>453.2</v>
      </c>
      <c r="G1437" s="3">
        <v>6.0</v>
      </c>
      <c r="H1437" s="3">
        <v>20.8</v>
      </c>
    </row>
    <row r="1438" ht="15.75" customHeight="1">
      <c r="A1438" s="3" t="s">
        <v>49</v>
      </c>
      <c r="B1438" s="3">
        <v>2022.0</v>
      </c>
      <c r="C1438" s="3" t="s">
        <v>10</v>
      </c>
      <c r="D1438" s="3">
        <v>272.6</v>
      </c>
      <c r="E1438" s="3">
        <v>593.2</v>
      </c>
      <c r="F1438" s="3">
        <v>359.9</v>
      </c>
      <c r="G1438" s="3">
        <v>10.0</v>
      </c>
      <c r="H1438" s="3">
        <v>23.3</v>
      </c>
    </row>
    <row r="1439" ht="15.75" customHeight="1">
      <c r="A1439" s="3" t="s">
        <v>49</v>
      </c>
      <c r="B1439" s="3">
        <v>2022.0</v>
      </c>
      <c r="C1439" s="3" t="s">
        <v>11</v>
      </c>
      <c r="D1439" s="3">
        <v>290.0</v>
      </c>
      <c r="E1439" s="3">
        <v>710.0</v>
      </c>
      <c r="F1439" s="3">
        <v>256.6</v>
      </c>
      <c r="G1439" s="3">
        <v>7.0</v>
      </c>
      <c r="H1439" s="3">
        <v>15.1</v>
      </c>
    </row>
    <row r="1440" ht="15.75" customHeight="1">
      <c r="A1440" s="3" t="s">
        <v>49</v>
      </c>
      <c r="B1440" s="3">
        <v>2022.0</v>
      </c>
      <c r="C1440" s="3" t="s">
        <v>13</v>
      </c>
      <c r="D1440" s="3">
        <v>276.0</v>
      </c>
      <c r="E1440" s="3">
        <v>566.8</v>
      </c>
      <c r="F1440" s="3">
        <v>320.6</v>
      </c>
      <c r="G1440" s="3">
        <v>11.0</v>
      </c>
      <c r="H1440" s="3">
        <v>8.3</v>
      </c>
    </row>
    <row r="1441" ht="15.75" customHeight="1">
      <c r="A1441" s="3" t="s">
        <v>49</v>
      </c>
      <c r="B1441" s="3">
        <v>2022.0</v>
      </c>
      <c r="C1441" s="3" t="s">
        <v>14</v>
      </c>
      <c r="D1441" s="3">
        <v>298.8</v>
      </c>
      <c r="E1441" s="3">
        <v>741.1</v>
      </c>
      <c r="F1441" s="3">
        <v>433.8</v>
      </c>
      <c r="G1441" s="3">
        <v>5.0</v>
      </c>
      <c r="H1441" s="3">
        <v>30.9</v>
      </c>
    </row>
    <row r="1442" ht="15.75" customHeight="1">
      <c r="A1442" s="3" t="s">
        <v>49</v>
      </c>
      <c r="B1442" s="3">
        <v>2023.0</v>
      </c>
      <c r="C1442" s="3" t="s">
        <v>9</v>
      </c>
      <c r="D1442" s="3">
        <v>361.8</v>
      </c>
      <c r="E1442" s="3">
        <v>1070.1</v>
      </c>
      <c r="F1442" s="3">
        <v>505.8</v>
      </c>
      <c r="G1442" s="3">
        <v>7.0</v>
      </c>
      <c r="H1442" s="3">
        <v>19.9</v>
      </c>
    </row>
    <row r="1443" ht="15.75" customHeight="1">
      <c r="A1443" s="3" t="s">
        <v>49</v>
      </c>
      <c r="B1443" s="3">
        <v>2023.0</v>
      </c>
      <c r="C1443" s="3" t="s">
        <v>10</v>
      </c>
      <c r="D1443" s="3">
        <v>365.8</v>
      </c>
      <c r="E1443" s="3">
        <v>808.5</v>
      </c>
      <c r="F1443" s="3">
        <v>418.6</v>
      </c>
      <c r="G1443" s="3">
        <v>8.0</v>
      </c>
      <c r="H1443" s="3">
        <v>40.5</v>
      </c>
    </row>
    <row r="1444" ht="15.75" customHeight="1">
      <c r="A1444" s="3" t="s">
        <v>49</v>
      </c>
      <c r="B1444" s="3">
        <v>2023.0</v>
      </c>
      <c r="C1444" s="3" t="s">
        <v>11</v>
      </c>
      <c r="D1444" s="3">
        <v>367.2</v>
      </c>
      <c r="E1444" s="3">
        <v>781.0</v>
      </c>
      <c r="F1444" s="3">
        <v>396.2</v>
      </c>
      <c r="G1444" s="3">
        <v>4.0</v>
      </c>
      <c r="H1444" s="3">
        <v>45.5</v>
      </c>
    </row>
    <row r="1445" ht="15.75" customHeight="1">
      <c r="A1445" s="3" t="s">
        <v>49</v>
      </c>
      <c r="B1445" s="3">
        <v>2023.0</v>
      </c>
      <c r="C1445" s="3" t="s">
        <v>13</v>
      </c>
      <c r="D1445" s="3">
        <v>395.9</v>
      </c>
      <c r="E1445" s="3">
        <v>1012.0</v>
      </c>
      <c r="F1445" s="3">
        <v>430.7</v>
      </c>
      <c r="G1445" s="3">
        <v>10.0</v>
      </c>
      <c r="H1445" s="3">
        <v>35.5</v>
      </c>
    </row>
    <row r="1446" ht="15.75" customHeight="1">
      <c r="A1446" s="3" t="s">
        <v>49</v>
      </c>
      <c r="B1446" s="3">
        <v>2023.0</v>
      </c>
      <c r="C1446" s="3" t="s">
        <v>14</v>
      </c>
      <c r="D1446" s="3">
        <v>314.4</v>
      </c>
      <c r="E1446" s="3">
        <v>673.8</v>
      </c>
      <c r="F1446" s="3">
        <v>440.3</v>
      </c>
      <c r="G1446" s="3">
        <v>8.0</v>
      </c>
      <c r="H1446" s="3">
        <v>33.3</v>
      </c>
    </row>
    <row r="1447" ht="15.75" customHeight="1">
      <c r="A1447" s="3" t="s">
        <v>49</v>
      </c>
      <c r="B1447" s="3">
        <v>2024.0</v>
      </c>
      <c r="C1447" s="3" t="s">
        <v>9</v>
      </c>
      <c r="D1447" s="3">
        <v>402.9</v>
      </c>
      <c r="E1447" s="3">
        <v>988.0</v>
      </c>
      <c r="F1447" s="3">
        <v>326.9</v>
      </c>
      <c r="G1447" s="3">
        <v>7.0</v>
      </c>
      <c r="H1447" s="3">
        <v>10.1</v>
      </c>
    </row>
    <row r="1448" ht="15.75" customHeight="1">
      <c r="A1448" s="3" t="s">
        <v>49</v>
      </c>
      <c r="B1448" s="3">
        <v>2024.0</v>
      </c>
      <c r="C1448" s="3" t="s">
        <v>10</v>
      </c>
      <c r="D1448" s="3">
        <v>420.0</v>
      </c>
      <c r="E1448" s="3">
        <v>1023.6</v>
      </c>
      <c r="F1448" s="3">
        <v>454.6</v>
      </c>
      <c r="G1448" s="3">
        <v>6.0</v>
      </c>
      <c r="H1448" s="3">
        <v>25.5</v>
      </c>
    </row>
    <row r="1449" ht="15.75" customHeight="1">
      <c r="A1449" s="3" t="s">
        <v>49</v>
      </c>
      <c r="B1449" s="3">
        <v>2024.0</v>
      </c>
      <c r="C1449" s="3" t="s">
        <v>11</v>
      </c>
      <c r="D1449" s="3">
        <v>328.5</v>
      </c>
      <c r="E1449" s="3">
        <v>708.8</v>
      </c>
      <c r="F1449" s="3">
        <v>438.5</v>
      </c>
      <c r="G1449" s="3">
        <v>11.0</v>
      </c>
      <c r="H1449" s="3">
        <v>17.6</v>
      </c>
    </row>
    <row r="1450" ht="15.75" customHeight="1">
      <c r="A1450" s="3" t="s">
        <v>49</v>
      </c>
      <c r="B1450" s="3">
        <v>2024.0</v>
      </c>
      <c r="C1450" s="3" t="s">
        <v>13</v>
      </c>
      <c r="D1450" s="3">
        <v>446.8</v>
      </c>
      <c r="E1450" s="3">
        <v>1019.5</v>
      </c>
      <c r="F1450" s="3">
        <v>425.8</v>
      </c>
      <c r="G1450" s="3">
        <v>13.0</v>
      </c>
      <c r="H1450" s="3">
        <v>3.0</v>
      </c>
    </row>
    <row r="1451" ht="15.75" customHeight="1">
      <c r="A1451" s="3" t="s">
        <v>49</v>
      </c>
      <c r="B1451" s="3">
        <v>2024.0</v>
      </c>
      <c r="C1451" s="3" t="s">
        <v>14</v>
      </c>
      <c r="D1451" s="3">
        <v>384.6</v>
      </c>
      <c r="E1451" s="3">
        <v>1052.2</v>
      </c>
      <c r="F1451" s="3">
        <v>347.7</v>
      </c>
      <c r="G1451" s="3">
        <v>5.0</v>
      </c>
      <c r="H1451" s="3">
        <v>15.4</v>
      </c>
    </row>
    <row r="1452" ht="15.75" customHeight="1">
      <c r="A1452" s="3" t="s">
        <v>50</v>
      </c>
      <c r="B1452" s="3">
        <v>2015.0</v>
      </c>
      <c r="C1452" s="3" t="s">
        <v>9</v>
      </c>
      <c r="D1452" s="3">
        <v>45.2</v>
      </c>
      <c r="E1452" s="3">
        <v>116.4</v>
      </c>
      <c r="F1452" s="3">
        <v>47.0</v>
      </c>
      <c r="G1452" s="3">
        <v>8.0</v>
      </c>
      <c r="H1452" s="3">
        <v>49.6</v>
      </c>
    </row>
    <row r="1453" ht="15.75" customHeight="1">
      <c r="A1453" s="3" t="s">
        <v>50</v>
      </c>
      <c r="B1453" s="3">
        <v>2015.0</v>
      </c>
      <c r="C1453" s="3" t="s">
        <v>10</v>
      </c>
      <c r="D1453" s="3">
        <v>165.5</v>
      </c>
      <c r="E1453" s="3">
        <v>353.6</v>
      </c>
      <c r="F1453" s="3">
        <v>180.7</v>
      </c>
      <c r="G1453" s="3">
        <v>7.0</v>
      </c>
      <c r="H1453" s="3">
        <v>42.3</v>
      </c>
    </row>
    <row r="1454" ht="15.75" customHeight="1">
      <c r="A1454" s="3" t="s">
        <v>50</v>
      </c>
      <c r="B1454" s="3">
        <v>2015.0</v>
      </c>
      <c r="C1454" s="3" t="s">
        <v>11</v>
      </c>
      <c r="D1454" s="3">
        <v>102.1</v>
      </c>
      <c r="E1454" s="3">
        <v>277.6</v>
      </c>
      <c r="F1454" s="3">
        <v>118.2</v>
      </c>
      <c r="G1454" s="3">
        <v>8.0</v>
      </c>
      <c r="H1454" s="3">
        <v>16.1</v>
      </c>
    </row>
    <row r="1455" ht="15.75" customHeight="1">
      <c r="A1455" s="3" t="s">
        <v>50</v>
      </c>
      <c r="B1455" s="3">
        <v>2015.0</v>
      </c>
      <c r="C1455" s="3" t="s">
        <v>13</v>
      </c>
      <c r="D1455" s="3">
        <v>56.4</v>
      </c>
      <c r="E1455" s="3">
        <v>156.9</v>
      </c>
      <c r="F1455" s="3">
        <v>59.0</v>
      </c>
      <c r="G1455" s="3">
        <v>2.0</v>
      </c>
      <c r="H1455" s="3">
        <v>28.4</v>
      </c>
    </row>
    <row r="1456" ht="15.75" customHeight="1">
      <c r="A1456" s="3" t="s">
        <v>50</v>
      </c>
      <c r="B1456" s="3">
        <v>2015.0</v>
      </c>
      <c r="C1456" s="3" t="s">
        <v>14</v>
      </c>
      <c r="D1456" s="3">
        <v>105.6</v>
      </c>
      <c r="E1456" s="3">
        <v>315.9</v>
      </c>
      <c r="F1456" s="3">
        <v>132.7</v>
      </c>
      <c r="G1456" s="3">
        <v>6.0</v>
      </c>
      <c r="H1456" s="3">
        <v>26.8</v>
      </c>
    </row>
    <row r="1457" ht="15.75" customHeight="1">
      <c r="A1457" s="3" t="s">
        <v>50</v>
      </c>
      <c r="B1457" s="3">
        <v>2016.0</v>
      </c>
      <c r="C1457" s="3" t="s">
        <v>9</v>
      </c>
      <c r="D1457" s="3">
        <v>81.2</v>
      </c>
      <c r="E1457" s="3">
        <v>164.8</v>
      </c>
      <c r="F1457" s="3">
        <v>104.2</v>
      </c>
      <c r="G1457" s="3">
        <v>8.0</v>
      </c>
      <c r="H1457" s="3">
        <v>11.5</v>
      </c>
    </row>
    <row r="1458" ht="15.75" customHeight="1">
      <c r="A1458" s="3" t="s">
        <v>50</v>
      </c>
      <c r="B1458" s="3">
        <v>2016.0</v>
      </c>
      <c r="C1458" s="3" t="s">
        <v>10</v>
      </c>
      <c r="D1458" s="3">
        <v>102.2</v>
      </c>
      <c r="E1458" s="3">
        <v>250.8</v>
      </c>
      <c r="F1458" s="3">
        <v>98.8</v>
      </c>
      <c r="G1458" s="3">
        <v>9.0</v>
      </c>
      <c r="H1458" s="3">
        <v>39.4</v>
      </c>
    </row>
    <row r="1459" ht="15.75" customHeight="1">
      <c r="A1459" s="3" t="s">
        <v>50</v>
      </c>
      <c r="B1459" s="3">
        <v>2016.0</v>
      </c>
      <c r="C1459" s="3" t="s">
        <v>11</v>
      </c>
      <c r="D1459" s="3">
        <v>162.1</v>
      </c>
      <c r="E1459" s="3">
        <v>441.4</v>
      </c>
      <c r="F1459" s="3">
        <v>224.1</v>
      </c>
      <c r="G1459" s="3">
        <v>9.0</v>
      </c>
      <c r="H1459" s="3">
        <v>28.7</v>
      </c>
    </row>
    <row r="1460" ht="15.75" customHeight="1">
      <c r="A1460" s="3" t="s">
        <v>50</v>
      </c>
      <c r="B1460" s="3">
        <v>2016.0</v>
      </c>
      <c r="C1460" s="3" t="s">
        <v>13</v>
      </c>
      <c r="D1460" s="3">
        <v>157.6</v>
      </c>
      <c r="E1460" s="3">
        <v>336.3</v>
      </c>
      <c r="F1460" s="3">
        <v>200.2</v>
      </c>
      <c r="G1460" s="3">
        <v>6.0</v>
      </c>
      <c r="H1460" s="3">
        <v>45.9</v>
      </c>
    </row>
    <row r="1461" ht="15.75" customHeight="1">
      <c r="A1461" s="3" t="s">
        <v>50</v>
      </c>
      <c r="B1461" s="3">
        <v>2016.0</v>
      </c>
      <c r="C1461" s="3" t="s">
        <v>14</v>
      </c>
      <c r="D1461" s="3">
        <v>161.0</v>
      </c>
      <c r="E1461" s="3">
        <v>346.7</v>
      </c>
      <c r="F1461" s="3">
        <v>218.2</v>
      </c>
      <c r="G1461" s="3">
        <v>2.0</v>
      </c>
      <c r="H1461" s="3">
        <v>46.7</v>
      </c>
    </row>
    <row r="1462" ht="15.75" customHeight="1">
      <c r="A1462" s="3" t="s">
        <v>50</v>
      </c>
      <c r="B1462" s="3">
        <v>2017.0</v>
      </c>
      <c r="C1462" s="3" t="s">
        <v>9</v>
      </c>
      <c r="D1462" s="3">
        <v>174.9</v>
      </c>
      <c r="E1462" s="3">
        <v>412.0</v>
      </c>
      <c r="F1462" s="3">
        <v>140.8</v>
      </c>
      <c r="G1462" s="3">
        <v>7.0</v>
      </c>
      <c r="H1462" s="3">
        <v>35.2</v>
      </c>
    </row>
    <row r="1463" ht="15.75" customHeight="1">
      <c r="A1463" s="3" t="s">
        <v>50</v>
      </c>
      <c r="B1463" s="3">
        <v>2017.0</v>
      </c>
      <c r="C1463" s="3" t="s">
        <v>10</v>
      </c>
      <c r="D1463" s="3">
        <v>179.4</v>
      </c>
      <c r="E1463" s="3">
        <v>430.5</v>
      </c>
      <c r="F1463" s="3">
        <v>166.8</v>
      </c>
      <c r="G1463" s="3">
        <v>3.0</v>
      </c>
      <c r="H1463" s="3">
        <v>9.6</v>
      </c>
    </row>
    <row r="1464" ht="15.75" customHeight="1">
      <c r="A1464" s="3" t="s">
        <v>50</v>
      </c>
      <c r="B1464" s="3">
        <v>2017.0</v>
      </c>
      <c r="C1464" s="3" t="s">
        <v>11</v>
      </c>
      <c r="D1464" s="3">
        <v>186.6</v>
      </c>
      <c r="E1464" s="3">
        <v>399.4</v>
      </c>
      <c r="F1464" s="3">
        <v>191.4</v>
      </c>
      <c r="G1464" s="3">
        <v>2.0</v>
      </c>
      <c r="H1464" s="3">
        <v>4.7</v>
      </c>
    </row>
    <row r="1465" ht="15.75" customHeight="1">
      <c r="A1465" s="3" t="s">
        <v>50</v>
      </c>
      <c r="B1465" s="3">
        <v>2017.0</v>
      </c>
      <c r="C1465" s="3" t="s">
        <v>13</v>
      </c>
      <c r="D1465" s="3">
        <v>193.9</v>
      </c>
      <c r="E1465" s="3">
        <v>450.8</v>
      </c>
      <c r="F1465" s="3">
        <v>176.6</v>
      </c>
      <c r="G1465" s="3">
        <v>5.0</v>
      </c>
      <c r="H1465" s="3">
        <v>38.0</v>
      </c>
    </row>
    <row r="1466" ht="15.75" customHeight="1">
      <c r="A1466" s="3" t="s">
        <v>50</v>
      </c>
      <c r="B1466" s="3">
        <v>2017.0</v>
      </c>
      <c r="C1466" s="3" t="s">
        <v>14</v>
      </c>
      <c r="D1466" s="3">
        <v>230.8</v>
      </c>
      <c r="E1466" s="3">
        <v>606.6</v>
      </c>
      <c r="F1466" s="3">
        <v>274.1</v>
      </c>
      <c r="G1466" s="3">
        <v>4.0</v>
      </c>
      <c r="H1466" s="3">
        <v>36.9</v>
      </c>
    </row>
    <row r="1467" ht="15.75" customHeight="1">
      <c r="A1467" s="3" t="s">
        <v>50</v>
      </c>
      <c r="B1467" s="3">
        <v>2018.0</v>
      </c>
      <c r="C1467" s="3" t="s">
        <v>9</v>
      </c>
      <c r="D1467" s="3">
        <v>265.2</v>
      </c>
      <c r="E1467" s="3">
        <v>761.8</v>
      </c>
      <c r="F1467" s="3">
        <v>252.2</v>
      </c>
      <c r="G1467" s="3">
        <v>10.0</v>
      </c>
      <c r="H1467" s="3">
        <v>41.7</v>
      </c>
    </row>
    <row r="1468" ht="15.75" customHeight="1">
      <c r="A1468" s="3" t="s">
        <v>50</v>
      </c>
      <c r="B1468" s="3">
        <v>2018.0</v>
      </c>
      <c r="C1468" s="3" t="s">
        <v>10</v>
      </c>
      <c r="D1468" s="3">
        <v>223.6</v>
      </c>
      <c r="E1468" s="3">
        <v>574.8</v>
      </c>
      <c r="F1468" s="3">
        <v>261.4</v>
      </c>
      <c r="G1468" s="3">
        <v>7.0</v>
      </c>
      <c r="H1468" s="3">
        <v>33.0</v>
      </c>
    </row>
    <row r="1469" ht="15.75" customHeight="1">
      <c r="A1469" s="3" t="s">
        <v>50</v>
      </c>
      <c r="B1469" s="3">
        <v>2018.0</v>
      </c>
      <c r="C1469" s="3" t="s">
        <v>11</v>
      </c>
      <c r="D1469" s="3">
        <v>244.6</v>
      </c>
      <c r="E1469" s="3">
        <v>665.6</v>
      </c>
      <c r="F1469" s="3">
        <v>196.7</v>
      </c>
      <c r="G1469" s="3">
        <v>8.0</v>
      </c>
      <c r="H1469" s="3">
        <v>42.5</v>
      </c>
    </row>
    <row r="1470" ht="15.75" customHeight="1">
      <c r="A1470" s="3" t="s">
        <v>50</v>
      </c>
      <c r="B1470" s="3">
        <v>2018.0</v>
      </c>
      <c r="C1470" s="3" t="s">
        <v>13</v>
      </c>
      <c r="D1470" s="3">
        <v>223.4</v>
      </c>
      <c r="E1470" s="3">
        <v>609.2</v>
      </c>
      <c r="F1470" s="3">
        <v>195.5</v>
      </c>
      <c r="G1470" s="3">
        <v>8.0</v>
      </c>
      <c r="H1470" s="3">
        <v>30.9</v>
      </c>
    </row>
    <row r="1471" ht="15.75" customHeight="1">
      <c r="A1471" s="3" t="s">
        <v>50</v>
      </c>
      <c r="B1471" s="3">
        <v>2018.0</v>
      </c>
      <c r="C1471" s="3" t="s">
        <v>14</v>
      </c>
      <c r="D1471" s="3">
        <v>193.2</v>
      </c>
      <c r="E1471" s="3">
        <v>403.3</v>
      </c>
      <c r="F1471" s="3">
        <v>275.3</v>
      </c>
      <c r="G1471" s="3">
        <v>9.0</v>
      </c>
      <c r="H1471" s="3">
        <v>19.0</v>
      </c>
    </row>
    <row r="1472" ht="15.75" customHeight="1">
      <c r="A1472" s="3" t="s">
        <v>50</v>
      </c>
      <c r="B1472" s="3">
        <v>2019.0</v>
      </c>
      <c r="C1472" s="3" t="s">
        <v>9</v>
      </c>
      <c r="D1472" s="3">
        <v>248.7</v>
      </c>
      <c r="E1472" s="3">
        <v>698.9</v>
      </c>
      <c r="F1472" s="3">
        <v>245.3</v>
      </c>
      <c r="G1472" s="3">
        <v>5.0</v>
      </c>
      <c r="H1472" s="3">
        <v>39.3</v>
      </c>
    </row>
    <row r="1473" ht="15.75" customHeight="1">
      <c r="A1473" s="3" t="s">
        <v>50</v>
      </c>
      <c r="B1473" s="3">
        <v>2019.0</v>
      </c>
      <c r="C1473" s="3" t="s">
        <v>10</v>
      </c>
      <c r="D1473" s="3">
        <v>190.7</v>
      </c>
      <c r="E1473" s="3">
        <v>428.2</v>
      </c>
      <c r="F1473" s="3">
        <v>229.5</v>
      </c>
      <c r="G1473" s="3">
        <v>8.0</v>
      </c>
      <c r="H1473" s="3">
        <v>1.3</v>
      </c>
    </row>
    <row r="1474" ht="15.75" customHeight="1">
      <c r="A1474" s="3" t="s">
        <v>50</v>
      </c>
      <c r="B1474" s="3">
        <v>2019.0</v>
      </c>
      <c r="C1474" s="3" t="s">
        <v>11</v>
      </c>
      <c r="D1474" s="3">
        <v>219.2</v>
      </c>
      <c r="E1474" s="3">
        <v>444.3</v>
      </c>
      <c r="F1474" s="3">
        <v>261.6</v>
      </c>
      <c r="G1474" s="3">
        <v>4.0</v>
      </c>
      <c r="H1474" s="3">
        <v>17.7</v>
      </c>
    </row>
    <row r="1475" ht="15.75" customHeight="1">
      <c r="A1475" s="3" t="s">
        <v>50</v>
      </c>
      <c r="B1475" s="3">
        <v>2019.0</v>
      </c>
      <c r="C1475" s="3" t="s">
        <v>13</v>
      </c>
      <c r="D1475" s="3">
        <v>223.6</v>
      </c>
      <c r="E1475" s="3">
        <v>563.4</v>
      </c>
      <c r="F1475" s="3">
        <v>249.4</v>
      </c>
      <c r="G1475" s="3">
        <v>7.0</v>
      </c>
      <c r="H1475" s="3">
        <v>28.3</v>
      </c>
    </row>
    <row r="1476" ht="15.75" customHeight="1">
      <c r="A1476" s="3" t="s">
        <v>50</v>
      </c>
      <c r="B1476" s="3">
        <v>2019.0</v>
      </c>
      <c r="C1476" s="3" t="s">
        <v>14</v>
      </c>
      <c r="D1476" s="3">
        <v>222.6</v>
      </c>
      <c r="E1476" s="3">
        <v>460.0</v>
      </c>
      <c r="F1476" s="3">
        <v>196.2</v>
      </c>
      <c r="G1476" s="3">
        <v>3.0</v>
      </c>
      <c r="H1476" s="3">
        <v>20.3</v>
      </c>
    </row>
    <row r="1477" ht="15.75" customHeight="1">
      <c r="A1477" s="3" t="s">
        <v>50</v>
      </c>
      <c r="B1477" s="3">
        <v>2020.0</v>
      </c>
      <c r="C1477" s="3" t="s">
        <v>9</v>
      </c>
      <c r="D1477" s="3">
        <v>297.3</v>
      </c>
      <c r="E1477" s="3">
        <v>644.5</v>
      </c>
      <c r="F1477" s="3">
        <v>382.2</v>
      </c>
      <c r="G1477" s="3">
        <v>8.0</v>
      </c>
      <c r="H1477" s="3">
        <v>34.7</v>
      </c>
    </row>
    <row r="1478" ht="15.75" customHeight="1">
      <c r="A1478" s="3" t="s">
        <v>50</v>
      </c>
      <c r="B1478" s="3">
        <v>2020.0</v>
      </c>
      <c r="C1478" s="3" t="s">
        <v>10</v>
      </c>
      <c r="D1478" s="3">
        <v>272.3</v>
      </c>
      <c r="E1478" s="3">
        <v>721.2</v>
      </c>
      <c r="F1478" s="3">
        <v>339.3</v>
      </c>
      <c r="G1478" s="3">
        <v>5.0</v>
      </c>
      <c r="H1478" s="3">
        <v>47.2</v>
      </c>
    </row>
    <row r="1479" ht="15.75" customHeight="1">
      <c r="A1479" s="3" t="s">
        <v>50</v>
      </c>
      <c r="B1479" s="3">
        <v>2020.0</v>
      </c>
      <c r="C1479" s="3" t="s">
        <v>11</v>
      </c>
      <c r="D1479" s="3">
        <v>255.8</v>
      </c>
      <c r="E1479" s="3">
        <v>642.8</v>
      </c>
      <c r="F1479" s="3">
        <v>286.8</v>
      </c>
      <c r="G1479" s="3">
        <v>5.0</v>
      </c>
      <c r="H1479" s="3">
        <v>34.3</v>
      </c>
    </row>
    <row r="1480" ht="15.75" customHeight="1">
      <c r="A1480" s="3" t="s">
        <v>50</v>
      </c>
      <c r="B1480" s="3">
        <v>2020.0</v>
      </c>
      <c r="C1480" s="3" t="s">
        <v>13</v>
      </c>
      <c r="D1480" s="3">
        <v>176.8</v>
      </c>
      <c r="E1480" s="3">
        <v>444.5</v>
      </c>
      <c r="F1480" s="3">
        <v>161.9</v>
      </c>
      <c r="G1480" s="3">
        <v>2.0</v>
      </c>
      <c r="H1480" s="3">
        <v>19.3</v>
      </c>
    </row>
    <row r="1481" ht="15.75" customHeight="1">
      <c r="A1481" s="3" t="s">
        <v>50</v>
      </c>
      <c r="B1481" s="3">
        <v>2020.0</v>
      </c>
      <c r="C1481" s="3" t="s">
        <v>14</v>
      </c>
      <c r="D1481" s="3">
        <v>274.5</v>
      </c>
      <c r="E1481" s="3">
        <v>804.9</v>
      </c>
      <c r="F1481" s="3">
        <v>395.2</v>
      </c>
      <c r="G1481" s="3">
        <v>3.0</v>
      </c>
      <c r="H1481" s="3">
        <v>22.4</v>
      </c>
    </row>
    <row r="1482" ht="15.75" customHeight="1">
      <c r="A1482" s="3" t="s">
        <v>50</v>
      </c>
      <c r="B1482" s="3">
        <v>2021.0</v>
      </c>
      <c r="C1482" s="3" t="s">
        <v>9</v>
      </c>
      <c r="D1482" s="3">
        <v>333.5</v>
      </c>
      <c r="E1482" s="3">
        <v>801.3</v>
      </c>
      <c r="F1482" s="3">
        <v>304.6</v>
      </c>
      <c r="G1482" s="3">
        <v>8.0</v>
      </c>
      <c r="H1482" s="3">
        <v>29.4</v>
      </c>
    </row>
    <row r="1483" ht="15.75" customHeight="1">
      <c r="A1483" s="3" t="s">
        <v>50</v>
      </c>
      <c r="B1483" s="3">
        <v>2021.0</v>
      </c>
      <c r="C1483" s="3" t="s">
        <v>10</v>
      </c>
      <c r="D1483" s="3">
        <v>350.7</v>
      </c>
      <c r="E1483" s="3">
        <v>730.7</v>
      </c>
      <c r="F1483" s="3">
        <v>293.4</v>
      </c>
      <c r="G1483" s="3">
        <v>9.0</v>
      </c>
      <c r="H1483" s="3">
        <v>6.1</v>
      </c>
    </row>
    <row r="1484" ht="15.75" customHeight="1">
      <c r="A1484" s="3" t="s">
        <v>50</v>
      </c>
      <c r="B1484" s="3">
        <v>2021.0</v>
      </c>
      <c r="C1484" s="3" t="s">
        <v>11</v>
      </c>
      <c r="D1484" s="3">
        <v>312.7</v>
      </c>
      <c r="E1484" s="3">
        <v>660.7</v>
      </c>
      <c r="F1484" s="3">
        <v>367.0</v>
      </c>
      <c r="G1484" s="3">
        <v>6.0</v>
      </c>
      <c r="H1484" s="3">
        <v>26.4</v>
      </c>
    </row>
    <row r="1485" ht="15.75" customHeight="1">
      <c r="A1485" s="3" t="s">
        <v>50</v>
      </c>
      <c r="B1485" s="3">
        <v>2021.0</v>
      </c>
      <c r="C1485" s="3" t="s">
        <v>13</v>
      </c>
      <c r="D1485" s="3">
        <v>335.2</v>
      </c>
      <c r="E1485" s="3">
        <v>840.5</v>
      </c>
      <c r="F1485" s="3">
        <v>457.7</v>
      </c>
      <c r="G1485" s="3">
        <v>10.0</v>
      </c>
      <c r="H1485" s="3">
        <v>7.1</v>
      </c>
    </row>
    <row r="1486" ht="15.75" customHeight="1">
      <c r="A1486" s="3" t="s">
        <v>50</v>
      </c>
      <c r="B1486" s="3">
        <v>2021.0</v>
      </c>
      <c r="C1486" s="3" t="s">
        <v>14</v>
      </c>
      <c r="D1486" s="3">
        <v>280.3</v>
      </c>
      <c r="E1486" s="3">
        <v>717.6</v>
      </c>
      <c r="F1486" s="3">
        <v>228.5</v>
      </c>
      <c r="G1486" s="3">
        <v>4.0</v>
      </c>
      <c r="H1486" s="3">
        <v>6.3</v>
      </c>
    </row>
    <row r="1487" ht="15.75" customHeight="1">
      <c r="A1487" s="3" t="s">
        <v>50</v>
      </c>
      <c r="B1487" s="3">
        <v>2022.0</v>
      </c>
      <c r="C1487" s="3" t="s">
        <v>9</v>
      </c>
      <c r="D1487" s="3">
        <v>286.5</v>
      </c>
      <c r="E1487" s="3">
        <v>783.7</v>
      </c>
      <c r="F1487" s="3">
        <v>271.6</v>
      </c>
      <c r="G1487" s="3">
        <v>10.0</v>
      </c>
      <c r="H1487" s="3">
        <v>22.1</v>
      </c>
    </row>
    <row r="1488" ht="15.75" customHeight="1">
      <c r="A1488" s="3" t="s">
        <v>50</v>
      </c>
      <c r="B1488" s="3">
        <v>2022.0</v>
      </c>
      <c r="C1488" s="3" t="s">
        <v>10</v>
      </c>
      <c r="D1488" s="3">
        <v>298.1</v>
      </c>
      <c r="E1488" s="3">
        <v>605.1</v>
      </c>
      <c r="F1488" s="3">
        <v>321.3</v>
      </c>
      <c r="G1488" s="3">
        <v>6.0</v>
      </c>
      <c r="H1488" s="3">
        <v>49.6</v>
      </c>
    </row>
    <row r="1489" ht="15.75" customHeight="1">
      <c r="A1489" s="3" t="s">
        <v>50</v>
      </c>
      <c r="B1489" s="3">
        <v>2022.0</v>
      </c>
      <c r="C1489" s="3" t="s">
        <v>11</v>
      </c>
      <c r="D1489" s="3">
        <v>247.4</v>
      </c>
      <c r="E1489" s="3">
        <v>697.5</v>
      </c>
      <c r="F1489" s="3">
        <v>292.7</v>
      </c>
      <c r="G1489" s="3">
        <v>4.0</v>
      </c>
      <c r="H1489" s="3">
        <v>42.1</v>
      </c>
    </row>
    <row r="1490" ht="15.75" customHeight="1">
      <c r="A1490" s="3" t="s">
        <v>50</v>
      </c>
      <c r="B1490" s="3">
        <v>2022.0</v>
      </c>
      <c r="C1490" s="3" t="s">
        <v>13</v>
      </c>
      <c r="D1490" s="3">
        <v>346.8</v>
      </c>
      <c r="E1490" s="3">
        <v>991.5</v>
      </c>
      <c r="F1490" s="3">
        <v>332.8</v>
      </c>
      <c r="G1490" s="3">
        <v>10.0</v>
      </c>
      <c r="H1490" s="3">
        <v>29.5</v>
      </c>
    </row>
    <row r="1491" ht="15.75" customHeight="1">
      <c r="A1491" s="3" t="s">
        <v>50</v>
      </c>
      <c r="B1491" s="3">
        <v>2022.0</v>
      </c>
      <c r="C1491" s="3" t="s">
        <v>14</v>
      </c>
      <c r="D1491" s="3">
        <v>307.0</v>
      </c>
      <c r="E1491" s="3">
        <v>875.7</v>
      </c>
      <c r="F1491" s="3">
        <v>412.1</v>
      </c>
      <c r="G1491" s="3">
        <v>11.0</v>
      </c>
      <c r="H1491" s="3">
        <v>23.8</v>
      </c>
    </row>
    <row r="1492" ht="15.75" customHeight="1">
      <c r="A1492" s="3" t="s">
        <v>50</v>
      </c>
      <c r="B1492" s="3">
        <v>2023.0</v>
      </c>
      <c r="C1492" s="3" t="s">
        <v>9</v>
      </c>
      <c r="D1492" s="3">
        <v>394.3</v>
      </c>
      <c r="E1492" s="3">
        <v>932.3</v>
      </c>
      <c r="F1492" s="3">
        <v>552.1</v>
      </c>
      <c r="G1492" s="3">
        <v>4.0</v>
      </c>
      <c r="H1492" s="3">
        <v>37.8</v>
      </c>
    </row>
    <row r="1493" ht="15.75" customHeight="1">
      <c r="A1493" s="3" t="s">
        <v>50</v>
      </c>
      <c r="B1493" s="3">
        <v>2023.0</v>
      </c>
      <c r="C1493" s="3" t="s">
        <v>10</v>
      </c>
      <c r="D1493" s="3">
        <v>351.2</v>
      </c>
      <c r="E1493" s="3">
        <v>739.9</v>
      </c>
      <c r="F1493" s="3">
        <v>443.2</v>
      </c>
      <c r="G1493" s="3">
        <v>11.0</v>
      </c>
      <c r="H1493" s="3">
        <v>37.3</v>
      </c>
    </row>
    <row r="1494" ht="15.75" customHeight="1">
      <c r="A1494" s="3" t="s">
        <v>50</v>
      </c>
      <c r="B1494" s="3">
        <v>2023.0</v>
      </c>
      <c r="C1494" s="3" t="s">
        <v>11</v>
      </c>
      <c r="D1494" s="3">
        <v>348.7</v>
      </c>
      <c r="E1494" s="3">
        <v>1022.9</v>
      </c>
      <c r="F1494" s="3">
        <v>451.2</v>
      </c>
      <c r="G1494" s="3">
        <v>9.0</v>
      </c>
      <c r="H1494" s="3">
        <v>24.0</v>
      </c>
    </row>
    <row r="1495" ht="15.75" customHeight="1">
      <c r="A1495" s="3" t="s">
        <v>50</v>
      </c>
      <c r="B1495" s="3">
        <v>2023.0</v>
      </c>
      <c r="C1495" s="3" t="s">
        <v>13</v>
      </c>
      <c r="D1495" s="3">
        <v>384.9</v>
      </c>
      <c r="E1495" s="3">
        <v>939.7</v>
      </c>
      <c r="F1495" s="3">
        <v>505.6</v>
      </c>
      <c r="G1495" s="3">
        <v>12.0</v>
      </c>
      <c r="H1495" s="3">
        <v>20.6</v>
      </c>
    </row>
    <row r="1496" ht="15.75" customHeight="1">
      <c r="A1496" s="3" t="s">
        <v>50</v>
      </c>
      <c r="B1496" s="3">
        <v>2023.0</v>
      </c>
      <c r="C1496" s="3" t="s">
        <v>14</v>
      </c>
      <c r="D1496" s="3">
        <v>312.5</v>
      </c>
      <c r="E1496" s="3">
        <v>656.9</v>
      </c>
      <c r="F1496" s="3">
        <v>381.6</v>
      </c>
      <c r="G1496" s="3">
        <v>11.0</v>
      </c>
      <c r="H1496" s="3">
        <v>26.1</v>
      </c>
    </row>
    <row r="1497" ht="15.75" customHeight="1">
      <c r="A1497" s="3" t="s">
        <v>50</v>
      </c>
      <c r="B1497" s="3">
        <v>2024.0</v>
      </c>
      <c r="C1497" s="3" t="s">
        <v>9</v>
      </c>
      <c r="D1497" s="3">
        <v>406.0</v>
      </c>
      <c r="E1497" s="3">
        <v>1181.8</v>
      </c>
      <c r="F1497" s="3">
        <v>556.2</v>
      </c>
      <c r="G1497" s="3">
        <v>10.0</v>
      </c>
      <c r="H1497" s="3">
        <v>19.5</v>
      </c>
    </row>
    <row r="1498" ht="15.75" customHeight="1">
      <c r="A1498" s="3" t="s">
        <v>50</v>
      </c>
      <c r="B1498" s="3">
        <v>2024.0</v>
      </c>
      <c r="C1498" s="3" t="s">
        <v>10</v>
      </c>
      <c r="D1498" s="3">
        <v>399.8</v>
      </c>
      <c r="E1498" s="3">
        <v>1086.1</v>
      </c>
      <c r="F1498" s="3">
        <v>357.8</v>
      </c>
      <c r="G1498" s="3">
        <v>5.0</v>
      </c>
      <c r="H1498" s="3">
        <v>46.6</v>
      </c>
    </row>
    <row r="1499" ht="15.75" customHeight="1">
      <c r="A1499" s="3" t="s">
        <v>50</v>
      </c>
      <c r="B1499" s="3">
        <v>2024.0</v>
      </c>
      <c r="C1499" s="3" t="s">
        <v>11</v>
      </c>
      <c r="D1499" s="3">
        <v>445.8</v>
      </c>
      <c r="E1499" s="3">
        <v>1084.6</v>
      </c>
      <c r="F1499" s="3">
        <v>510.5</v>
      </c>
      <c r="G1499" s="3">
        <v>11.0</v>
      </c>
      <c r="H1499" s="3">
        <v>35.5</v>
      </c>
    </row>
    <row r="1500" ht="15.75" customHeight="1">
      <c r="A1500" s="3" t="s">
        <v>50</v>
      </c>
      <c r="B1500" s="3">
        <v>2024.0</v>
      </c>
      <c r="C1500" s="3" t="s">
        <v>13</v>
      </c>
      <c r="D1500" s="3">
        <v>299.0</v>
      </c>
      <c r="E1500" s="3">
        <v>695.5</v>
      </c>
      <c r="F1500" s="3">
        <v>338.8</v>
      </c>
      <c r="G1500" s="3">
        <v>5.0</v>
      </c>
      <c r="H1500" s="3">
        <v>32.6</v>
      </c>
    </row>
    <row r="1501" ht="15.75" customHeight="1">
      <c r="A1501" s="3" t="s">
        <v>50</v>
      </c>
      <c r="B1501" s="3">
        <v>2024.0</v>
      </c>
      <c r="C1501" s="3" t="s">
        <v>14</v>
      </c>
      <c r="D1501" s="3">
        <v>383.6</v>
      </c>
      <c r="E1501" s="3">
        <v>1338.5</v>
      </c>
      <c r="F1501" s="3">
        <v>665.2</v>
      </c>
      <c r="G1501" s="3">
        <v>5.0</v>
      </c>
      <c r="H1501" s="3">
        <v>44.1</v>
      </c>
    </row>
    <row r="1502" ht="15.75" customHeight="1">
      <c r="A1502" s="3" t="s">
        <v>51</v>
      </c>
      <c r="B1502" s="3">
        <v>2015.0</v>
      </c>
      <c r="C1502" s="3" t="s">
        <v>9</v>
      </c>
      <c r="D1502" s="3">
        <v>124.5</v>
      </c>
      <c r="E1502" s="3">
        <v>300.8</v>
      </c>
      <c r="F1502" s="3">
        <v>152.0</v>
      </c>
      <c r="G1502" s="3">
        <v>9.0</v>
      </c>
      <c r="H1502" s="3">
        <v>47.0</v>
      </c>
    </row>
    <row r="1503" ht="15.75" customHeight="1">
      <c r="A1503" s="3" t="s">
        <v>51</v>
      </c>
      <c r="B1503" s="3">
        <v>2015.0</v>
      </c>
      <c r="C1503" s="3" t="s">
        <v>10</v>
      </c>
      <c r="D1503" s="3">
        <v>92.9</v>
      </c>
      <c r="E1503" s="3">
        <v>235.4</v>
      </c>
      <c r="F1503" s="3">
        <v>119.1</v>
      </c>
      <c r="G1503" s="3">
        <v>4.0</v>
      </c>
      <c r="H1503" s="3">
        <v>13.4</v>
      </c>
    </row>
    <row r="1504" ht="15.75" customHeight="1">
      <c r="A1504" s="3" t="s">
        <v>51</v>
      </c>
      <c r="B1504" s="3">
        <v>2015.0</v>
      </c>
      <c r="C1504" s="3" t="s">
        <v>11</v>
      </c>
      <c r="D1504" s="3">
        <v>166.4</v>
      </c>
      <c r="E1504" s="3">
        <v>386.5</v>
      </c>
      <c r="F1504" s="3">
        <v>189.2</v>
      </c>
      <c r="G1504" s="3">
        <v>3.0</v>
      </c>
      <c r="H1504" s="3">
        <v>47.0</v>
      </c>
    </row>
    <row r="1505" ht="15.75" customHeight="1">
      <c r="A1505" s="3" t="s">
        <v>51</v>
      </c>
      <c r="B1505" s="3">
        <v>2015.0</v>
      </c>
      <c r="C1505" s="3" t="s">
        <v>13</v>
      </c>
      <c r="D1505" s="3">
        <v>167.3</v>
      </c>
      <c r="E1505" s="3">
        <v>339.8</v>
      </c>
      <c r="F1505" s="3">
        <v>153.8</v>
      </c>
      <c r="G1505" s="3">
        <v>7.0</v>
      </c>
      <c r="H1505" s="3">
        <v>21.1</v>
      </c>
    </row>
    <row r="1506" ht="15.75" customHeight="1">
      <c r="A1506" s="3" t="s">
        <v>51</v>
      </c>
      <c r="B1506" s="3">
        <v>2015.0</v>
      </c>
      <c r="C1506" s="3" t="s">
        <v>14</v>
      </c>
      <c r="D1506" s="3">
        <v>92.3</v>
      </c>
      <c r="E1506" s="3">
        <v>234.8</v>
      </c>
      <c r="F1506" s="3">
        <v>108.9</v>
      </c>
      <c r="G1506" s="3">
        <v>2.0</v>
      </c>
      <c r="H1506" s="3">
        <v>7.6</v>
      </c>
    </row>
    <row r="1507" ht="15.75" customHeight="1">
      <c r="A1507" s="3" t="s">
        <v>51</v>
      </c>
      <c r="B1507" s="3">
        <v>2016.0</v>
      </c>
      <c r="C1507" s="3" t="s">
        <v>9</v>
      </c>
      <c r="D1507" s="3">
        <v>127.2</v>
      </c>
      <c r="E1507" s="3">
        <v>275.9</v>
      </c>
      <c r="F1507" s="3">
        <v>113.0</v>
      </c>
      <c r="G1507" s="3">
        <v>6.0</v>
      </c>
      <c r="H1507" s="3">
        <v>16.6</v>
      </c>
    </row>
    <row r="1508" ht="15.75" customHeight="1">
      <c r="A1508" s="3" t="s">
        <v>51</v>
      </c>
      <c r="B1508" s="3">
        <v>2016.0</v>
      </c>
      <c r="C1508" s="3" t="s">
        <v>10</v>
      </c>
      <c r="D1508" s="3">
        <v>117.3</v>
      </c>
      <c r="E1508" s="3">
        <v>344.1</v>
      </c>
      <c r="F1508" s="3">
        <v>121.2</v>
      </c>
      <c r="G1508" s="3">
        <v>2.0</v>
      </c>
      <c r="H1508" s="3">
        <v>48.0</v>
      </c>
    </row>
    <row r="1509" ht="15.75" customHeight="1">
      <c r="A1509" s="3" t="s">
        <v>51</v>
      </c>
      <c r="B1509" s="3">
        <v>2016.0</v>
      </c>
      <c r="C1509" s="3" t="s">
        <v>11</v>
      </c>
      <c r="D1509" s="3">
        <v>155.2</v>
      </c>
      <c r="E1509" s="3">
        <v>442.8</v>
      </c>
      <c r="F1509" s="3">
        <v>142.8</v>
      </c>
      <c r="G1509" s="3">
        <v>2.0</v>
      </c>
      <c r="H1509" s="3">
        <v>7.5</v>
      </c>
    </row>
    <row r="1510" ht="15.75" customHeight="1">
      <c r="A1510" s="3" t="s">
        <v>51</v>
      </c>
      <c r="B1510" s="3">
        <v>2016.0</v>
      </c>
      <c r="C1510" s="3" t="s">
        <v>13</v>
      </c>
      <c r="D1510" s="3">
        <v>102.2</v>
      </c>
      <c r="E1510" s="3">
        <v>283.1</v>
      </c>
      <c r="F1510" s="3">
        <v>126.2</v>
      </c>
      <c r="G1510" s="3">
        <v>5.0</v>
      </c>
      <c r="H1510" s="3">
        <v>10.8</v>
      </c>
    </row>
    <row r="1511" ht="15.75" customHeight="1">
      <c r="A1511" s="3" t="s">
        <v>51</v>
      </c>
      <c r="B1511" s="3">
        <v>2016.0</v>
      </c>
      <c r="C1511" s="3" t="s">
        <v>14</v>
      </c>
      <c r="D1511" s="3">
        <v>122.2</v>
      </c>
      <c r="E1511" s="3">
        <v>341.9</v>
      </c>
      <c r="F1511" s="3">
        <v>145.9</v>
      </c>
      <c r="G1511" s="3">
        <v>4.0</v>
      </c>
      <c r="H1511" s="3">
        <v>22.0</v>
      </c>
    </row>
    <row r="1512" ht="15.75" customHeight="1">
      <c r="A1512" s="3" t="s">
        <v>51</v>
      </c>
      <c r="B1512" s="3">
        <v>2017.0</v>
      </c>
      <c r="C1512" s="3" t="s">
        <v>9</v>
      </c>
      <c r="D1512" s="3">
        <v>158.1</v>
      </c>
      <c r="E1512" s="3">
        <v>422.5</v>
      </c>
      <c r="F1512" s="3">
        <v>177.4</v>
      </c>
      <c r="G1512" s="3">
        <v>9.0</v>
      </c>
      <c r="H1512" s="3">
        <v>36.7</v>
      </c>
    </row>
    <row r="1513" ht="15.75" customHeight="1">
      <c r="A1513" s="3" t="s">
        <v>51</v>
      </c>
      <c r="B1513" s="3">
        <v>2017.0</v>
      </c>
      <c r="C1513" s="3" t="s">
        <v>10</v>
      </c>
      <c r="D1513" s="3">
        <v>195.6</v>
      </c>
      <c r="E1513" s="3">
        <v>452.0</v>
      </c>
      <c r="F1513" s="3">
        <v>291.3</v>
      </c>
      <c r="G1513" s="3">
        <v>5.0</v>
      </c>
      <c r="H1513" s="3">
        <v>1.8</v>
      </c>
    </row>
    <row r="1514" ht="15.75" customHeight="1">
      <c r="A1514" s="3" t="s">
        <v>51</v>
      </c>
      <c r="B1514" s="3">
        <v>2017.0</v>
      </c>
      <c r="C1514" s="3" t="s">
        <v>11</v>
      </c>
      <c r="D1514" s="3">
        <v>189.0</v>
      </c>
      <c r="E1514" s="3">
        <v>416.9</v>
      </c>
      <c r="F1514" s="3">
        <v>260.8</v>
      </c>
      <c r="G1514" s="3">
        <v>5.0</v>
      </c>
      <c r="H1514" s="3">
        <v>8.5</v>
      </c>
    </row>
    <row r="1515" ht="15.75" customHeight="1">
      <c r="A1515" s="3" t="s">
        <v>51</v>
      </c>
      <c r="B1515" s="3">
        <v>2017.0</v>
      </c>
      <c r="C1515" s="3" t="s">
        <v>13</v>
      </c>
      <c r="D1515" s="3">
        <v>221.7</v>
      </c>
      <c r="E1515" s="3">
        <v>569.8</v>
      </c>
      <c r="F1515" s="3">
        <v>324.1</v>
      </c>
      <c r="G1515" s="3">
        <v>9.0</v>
      </c>
      <c r="H1515" s="3">
        <v>7.2</v>
      </c>
    </row>
    <row r="1516" ht="15.75" customHeight="1">
      <c r="A1516" s="3" t="s">
        <v>51</v>
      </c>
      <c r="B1516" s="3">
        <v>2017.0</v>
      </c>
      <c r="C1516" s="3" t="s">
        <v>14</v>
      </c>
      <c r="D1516" s="3">
        <v>107.7</v>
      </c>
      <c r="E1516" s="3">
        <v>290.9</v>
      </c>
      <c r="F1516" s="3">
        <v>156.0</v>
      </c>
      <c r="G1516" s="3">
        <v>4.0</v>
      </c>
      <c r="H1516" s="3">
        <v>29.6</v>
      </c>
    </row>
    <row r="1517" ht="15.75" customHeight="1">
      <c r="A1517" s="3" t="s">
        <v>51</v>
      </c>
      <c r="B1517" s="3">
        <v>2018.0</v>
      </c>
      <c r="C1517" s="3" t="s">
        <v>9</v>
      </c>
      <c r="D1517" s="3">
        <v>228.3</v>
      </c>
      <c r="E1517" s="3">
        <v>583.3</v>
      </c>
      <c r="F1517" s="3">
        <v>309.9</v>
      </c>
      <c r="G1517" s="3">
        <v>5.0</v>
      </c>
      <c r="H1517" s="3">
        <v>31.9</v>
      </c>
    </row>
    <row r="1518" ht="15.75" customHeight="1">
      <c r="A1518" s="3" t="s">
        <v>51</v>
      </c>
      <c r="B1518" s="3">
        <v>2018.0</v>
      </c>
      <c r="C1518" s="3" t="s">
        <v>10</v>
      </c>
      <c r="D1518" s="3">
        <v>145.0</v>
      </c>
      <c r="E1518" s="3">
        <v>404.6</v>
      </c>
      <c r="F1518" s="3">
        <v>180.4</v>
      </c>
      <c r="G1518" s="3">
        <v>4.0</v>
      </c>
      <c r="H1518" s="3">
        <v>20.2</v>
      </c>
    </row>
    <row r="1519" ht="15.75" customHeight="1">
      <c r="A1519" s="3" t="s">
        <v>51</v>
      </c>
      <c r="B1519" s="3">
        <v>2018.0</v>
      </c>
      <c r="C1519" s="3" t="s">
        <v>11</v>
      </c>
      <c r="D1519" s="3">
        <v>215.8</v>
      </c>
      <c r="E1519" s="3">
        <v>609.1</v>
      </c>
      <c r="F1519" s="3">
        <v>240.8</v>
      </c>
      <c r="G1519" s="3">
        <v>8.0</v>
      </c>
      <c r="H1519" s="3">
        <v>23.0</v>
      </c>
    </row>
    <row r="1520" ht="15.75" customHeight="1">
      <c r="A1520" s="3" t="s">
        <v>51</v>
      </c>
      <c r="B1520" s="3">
        <v>2018.0</v>
      </c>
      <c r="C1520" s="3" t="s">
        <v>13</v>
      </c>
      <c r="D1520" s="3">
        <v>186.8</v>
      </c>
      <c r="E1520" s="3">
        <v>383.9</v>
      </c>
      <c r="F1520" s="3">
        <v>253.7</v>
      </c>
      <c r="G1520" s="3">
        <v>9.0</v>
      </c>
      <c r="H1520" s="3">
        <v>1.9</v>
      </c>
    </row>
    <row r="1521" ht="15.75" customHeight="1">
      <c r="A1521" s="3" t="s">
        <v>51</v>
      </c>
      <c r="B1521" s="3">
        <v>2018.0</v>
      </c>
      <c r="C1521" s="3" t="s">
        <v>14</v>
      </c>
      <c r="D1521" s="3">
        <v>201.6</v>
      </c>
      <c r="E1521" s="3">
        <v>471.6</v>
      </c>
      <c r="F1521" s="3">
        <v>179.2</v>
      </c>
      <c r="G1521" s="3">
        <v>4.0</v>
      </c>
      <c r="H1521" s="3">
        <v>35.1</v>
      </c>
    </row>
    <row r="1522" ht="15.75" customHeight="1">
      <c r="A1522" s="3" t="s">
        <v>51</v>
      </c>
      <c r="B1522" s="3">
        <v>2019.0</v>
      </c>
      <c r="C1522" s="3" t="s">
        <v>9</v>
      </c>
      <c r="D1522" s="3">
        <v>199.8</v>
      </c>
      <c r="E1522" s="3">
        <v>446.9</v>
      </c>
      <c r="F1522" s="3">
        <v>222.5</v>
      </c>
      <c r="G1522" s="3">
        <v>6.0</v>
      </c>
      <c r="H1522" s="3">
        <v>10.8</v>
      </c>
    </row>
    <row r="1523" ht="15.75" customHeight="1">
      <c r="A1523" s="3" t="s">
        <v>51</v>
      </c>
      <c r="B1523" s="3">
        <v>2019.0</v>
      </c>
      <c r="C1523" s="3" t="s">
        <v>10</v>
      </c>
      <c r="D1523" s="3">
        <v>260.3</v>
      </c>
      <c r="E1523" s="3">
        <v>685.5</v>
      </c>
      <c r="F1523" s="3">
        <v>253.5</v>
      </c>
      <c r="G1523" s="3">
        <v>5.0</v>
      </c>
      <c r="H1523" s="3">
        <v>38.1</v>
      </c>
    </row>
    <row r="1524" ht="15.75" customHeight="1">
      <c r="A1524" s="3" t="s">
        <v>51</v>
      </c>
      <c r="B1524" s="3">
        <v>2019.0</v>
      </c>
      <c r="C1524" s="3" t="s">
        <v>11</v>
      </c>
      <c r="D1524" s="3">
        <v>251.9</v>
      </c>
      <c r="E1524" s="3">
        <v>536.4</v>
      </c>
      <c r="F1524" s="3">
        <v>281.5</v>
      </c>
      <c r="G1524" s="3">
        <v>5.0</v>
      </c>
      <c r="H1524" s="3">
        <v>17.2</v>
      </c>
    </row>
    <row r="1525" ht="15.75" customHeight="1">
      <c r="A1525" s="3" t="s">
        <v>51</v>
      </c>
      <c r="B1525" s="3">
        <v>2019.0</v>
      </c>
      <c r="C1525" s="3" t="s">
        <v>13</v>
      </c>
      <c r="D1525" s="3">
        <v>198.1</v>
      </c>
      <c r="E1525" s="3">
        <v>405.1</v>
      </c>
      <c r="F1525" s="3">
        <v>199.6</v>
      </c>
      <c r="G1525" s="3">
        <v>6.0</v>
      </c>
      <c r="H1525" s="3">
        <v>47.9</v>
      </c>
    </row>
    <row r="1526" ht="15.75" customHeight="1">
      <c r="A1526" s="3" t="s">
        <v>51</v>
      </c>
      <c r="B1526" s="3">
        <v>2019.0</v>
      </c>
      <c r="C1526" s="3" t="s">
        <v>14</v>
      </c>
      <c r="D1526" s="3">
        <v>233.5</v>
      </c>
      <c r="E1526" s="3">
        <v>644.2</v>
      </c>
      <c r="F1526" s="3">
        <v>223.6</v>
      </c>
      <c r="G1526" s="3">
        <v>7.0</v>
      </c>
      <c r="H1526" s="3">
        <v>40.7</v>
      </c>
    </row>
    <row r="1527" ht="15.75" customHeight="1">
      <c r="A1527" s="3" t="s">
        <v>51</v>
      </c>
      <c r="B1527" s="3">
        <v>2020.0</v>
      </c>
      <c r="C1527" s="3" t="s">
        <v>9</v>
      </c>
      <c r="D1527" s="3">
        <v>200.5</v>
      </c>
      <c r="E1527" s="3">
        <v>459.3</v>
      </c>
      <c r="F1527" s="3">
        <v>236.4</v>
      </c>
      <c r="G1527" s="3">
        <v>6.0</v>
      </c>
      <c r="H1527" s="3">
        <v>4.9</v>
      </c>
    </row>
    <row r="1528" ht="15.75" customHeight="1">
      <c r="A1528" s="3" t="s">
        <v>51</v>
      </c>
      <c r="B1528" s="3">
        <v>2020.0</v>
      </c>
      <c r="C1528" s="3" t="s">
        <v>10</v>
      </c>
      <c r="D1528" s="3">
        <v>280.1</v>
      </c>
      <c r="E1528" s="3">
        <v>822.0</v>
      </c>
      <c r="F1528" s="3">
        <v>388.9</v>
      </c>
      <c r="G1528" s="3">
        <v>6.0</v>
      </c>
      <c r="H1528" s="3">
        <v>41.2</v>
      </c>
    </row>
    <row r="1529" ht="15.75" customHeight="1">
      <c r="A1529" s="3" t="s">
        <v>51</v>
      </c>
      <c r="B1529" s="3">
        <v>2020.0</v>
      </c>
      <c r="C1529" s="3" t="s">
        <v>11</v>
      </c>
      <c r="D1529" s="3">
        <v>284.5</v>
      </c>
      <c r="E1529" s="3">
        <v>747.1</v>
      </c>
      <c r="F1529" s="3">
        <v>385.9</v>
      </c>
      <c r="G1529" s="3">
        <v>4.0</v>
      </c>
      <c r="H1529" s="3">
        <v>29.1</v>
      </c>
    </row>
    <row r="1530" ht="15.75" customHeight="1">
      <c r="A1530" s="3" t="s">
        <v>51</v>
      </c>
      <c r="B1530" s="3">
        <v>2020.0</v>
      </c>
      <c r="C1530" s="3" t="s">
        <v>13</v>
      </c>
      <c r="D1530" s="3">
        <v>283.9</v>
      </c>
      <c r="E1530" s="3">
        <v>721.5</v>
      </c>
      <c r="F1530" s="3">
        <v>244.7</v>
      </c>
      <c r="G1530" s="3">
        <v>3.0</v>
      </c>
      <c r="H1530" s="3">
        <v>14.0</v>
      </c>
    </row>
    <row r="1531" ht="15.75" customHeight="1">
      <c r="A1531" s="3" t="s">
        <v>51</v>
      </c>
      <c r="B1531" s="3">
        <v>2020.0</v>
      </c>
      <c r="C1531" s="3" t="s">
        <v>14</v>
      </c>
      <c r="D1531" s="3">
        <v>260.6</v>
      </c>
      <c r="E1531" s="3">
        <v>588.5</v>
      </c>
      <c r="F1531" s="3">
        <v>270.6</v>
      </c>
      <c r="G1531" s="3">
        <v>10.0</v>
      </c>
      <c r="H1531" s="3">
        <v>37.7</v>
      </c>
    </row>
    <row r="1532" ht="15.75" customHeight="1">
      <c r="A1532" s="3" t="s">
        <v>51</v>
      </c>
      <c r="B1532" s="3">
        <v>2021.0</v>
      </c>
      <c r="C1532" s="3" t="s">
        <v>9</v>
      </c>
      <c r="D1532" s="3">
        <v>316.3</v>
      </c>
      <c r="E1532" s="3">
        <v>758.3</v>
      </c>
      <c r="F1532" s="3">
        <v>312.6</v>
      </c>
      <c r="G1532" s="3">
        <v>8.0</v>
      </c>
      <c r="H1532" s="3">
        <v>18.1</v>
      </c>
    </row>
    <row r="1533" ht="15.75" customHeight="1">
      <c r="A1533" s="3" t="s">
        <v>51</v>
      </c>
      <c r="B1533" s="3">
        <v>2021.0</v>
      </c>
      <c r="C1533" s="3" t="s">
        <v>10</v>
      </c>
      <c r="D1533" s="3">
        <v>269.5</v>
      </c>
      <c r="E1533" s="3">
        <v>688.5</v>
      </c>
      <c r="F1533" s="3">
        <v>386.1</v>
      </c>
      <c r="G1533" s="3">
        <v>10.0</v>
      </c>
      <c r="H1533" s="3">
        <v>5.9</v>
      </c>
    </row>
    <row r="1534" ht="15.75" customHeight="1">
      <c r="A1534" s="3" t="s">
        <v>51</v>
      </c>
      <c r="B1534" s="3">
        <v>2021.0</v>
      </c>
      <c r="C1534" s="3" t="s">
        <v>11</v>
      </c>
      <c r="D1534" s="3">
        <v>276.5</v>
      </c>
      <c r="E1534" s="3">
        <v>723.3</v>
      </c>
      <c r="F1534" s="3">
        <v>317.7</v>
      </c>
      <c r="G1534" s="3">
        <v>7.0</v>
      </c>
      <c r="H1534" s="3">
        <v>22.0</v>
      </c>
    </row>
    <row r="1535" ht="15.75" customHeight="1">
      <c r="A1535" s="3" t="s">
        <v>51</v>
      </c>
      <c r="B1535" s="3">
        <v>2021.0</v>
      </c>
      <c r="C1535" s="3" t="s">
        <v>13</v>
      </c>
      <c r="D1535" s="3">
        <v>306.8</v>
      </c>
      <c r="E1535" s="3">
        <v>872.4</v>
      </c>
      <c r="F1535" s="3">
        <v>283.7</v>
      </c>
      <c r="G1535" s="3">
        <v>9.0</v>
      </c>
      <c r="H1535" s="3">
        <v>40.7</v>
      </c>
    </row>
    <row r="1536" ht="15.75" customHeight="1">
      <c r="A1536" s="3" t="s">
        <v>51</v>
      </c>
      <c r="B1536" s="3">
        <v>2021.0</v>
      </c>
      <c r="C1536" s="3" t="s">
        <v>14</v>
      </c>
      <c r="D1536" s="3">
        <v>295.9</v>
      </c>
      <c r="E1536" s="3">
        <v>803.8</v>
      </c>
      <c r="F1536" s="3">
        <v>316.8</v>
      </c>
      <c r="G1536" s="3">
        <v>7.0</v>
      </c>
      <c r="H1536" s="3">
        <v>36.4</v>
      </c>
    </row>
    <row r="1537" ht="15.75" customHeight="1">
      <c r="A1537" s="3" t="s">
        <v>51</v>
      </c>
      <c r="B1537" s="3">
        <v>2022.0</v>
      </c>
      <c r="C1537" s="3" t="s">
        <v>9</v>
      </c>
      <c r="D1537" s="3">
        <v>394.7</v>
      </c>
      <c r="E1537" s="3">
        <v>1174.6</v>
      </c>
      <c r="F1537" s="3">
        <v>401.6</v>
      </c>
      <c r="G1537" s="3">
        <v>7.0</v>
      </c>
      <c r="H1537" s="3">
        <v>35.0</v>
      </c>
    </row>
    <row r="1538" ht="15.75" customHeight="1">
      <c r="A1538" s="3" t="s">
        <v>51</v>
      </c>
      <c r="B1538" s="3">
        <v>2022.0</v>
      </c>
      <c r="C1538" s="3" t="s">
        <v>10</v>
      </c>
      <c r="D1538" s="3">
        <v>361.9</v>
      </c>
      <c r="E1538" s="3">
        <v>745.0</v>
      </c>
      <c r="F1538" s="3">
        <v>542.5</v>
      </c>
      <c r="G1538" s="3">
        <v>7.0</v>
      </c>
      <c r="H1538" s="3">
        <v>44.1</v>
      </c>
    </row>
    <row r="1539" ht="15.75" customHeight="1">
      <c r="A1539" s="3" t="s">
        <v>51</v>
      </c>
      <c r="B1539" s="3">
        <v>2022.0</v>
      </c>
      <c r="C1539" s="3" t="s">
        <v>11</v>
      </c>
      <c r="D1539" s="3">
        <v>364.3</v>
      </c>
      <c r="E1539" s="3">
        <v>965.8</v>
      </c>
      <c r="F1539" s="3">
        <v>509.8</v>
      </c>
      <c r="G1539" s="3">
        <v>11.0</v>
      </c>
      <c r="H1539" s="3">
        <v>43.9</v>
      </c>
    </row>
    <row r="1540" ht="15.75" customHeight="1">
      <c r="A1540" s="3" t="s">
        <v>51</v>
      </c>
      <c r="B1540" s="3">
        <v>2022.0</v>
      </c>
      <c r="C1540" s="3" t="s">
        <v>13</v>
      </c>
      <c r="D1540" s="3">
        <v>321.4</v>
      </c>
      <c r="E1540" s="3">
        <v>807.8</v>
      </c>
      <c r="F1540" s="3">
        <v>388.9</v>
      </c>
      <c r="G1540" s="3">
        <v>9.0</v>
      </c>
      <c r="H1540" s="3">
        <v>42.9</v>
      </c>
    </row>
    <row r="1541" ht="15.75" customHeight="1">
      <c r="A1541" s="3" t="s">
        <v>51</v>
      </c>
      <c r="B1541" s="3">
        <v>2022.0</v>
      </c>
      <c r="C1541" s="3" t="s">
        <v>14</v>
      </c>
      <c r="D1541" s="3">
        <v>306.7</v>
      </c>
      <c r="E1541" s="3">
        <v>671.3</v>
      </c>
      <c r="F1541" s="3">
        <v>269.8</v>
      </c>
      <c r="G1541" s="3">
        <v>12.0</v>
      </c>
      <c r="H1541" s="3">
        <v>21.5</v>
      </c>
    </row>
    <row r="1542" ht="15.75" customHeight="1">
      <c r="A1542" s="3" t="s">
        <v>51</v>
      </c>
      <c r="B1542" s="3">
        <v>2023.0</v>
      </c>
      <c r="C1542" s="3" t="s">
        <v>9</v>
      </c>
      <c r="D1542" s="3">
        <v>359.3</v>
      </c>
      <c r="E1542" s="3">
        <v>806.8</v>
      </c>
      <c r="F1542" s="3">
        <v>442.2</v>
      </c>
      <c r="G1542" s="3">
        <v>10.0</v>
      </c>
      <c r="H1542" s="3">
        <v>10.4</v>
      </c>
    </row>
    <row r="1543" ht="15.75" customHeight="1">
      <c r="A1543" s="3" t="s">
        <v>51</v>
      </c>
      <c r="B1543" s="3">
        <v>2023.0</v>
      </c>
      <c r="C1543" s="3" t="s">
        <v>10</v>
      </c>
      <c r="D1543" s="3">
        <v>343.0</v>
      </c>
      <c r="E1543" s="3">
        <v>855.1</v>
      </c>
      <c r="F1543" s="3">
        <v>409.8</v>
      </c>
      <c r="G1543" s="3">
        <v>6.0</v>
      </c>
      <c r="H1543" s="3">
        <v>21.1</v>
      </c>
    </row>
    <row r="1544" ht="15.75" customHeight="1">
      <c r="A1544" s="3" t="s">
        <v>51</v>
      </c>
      <c r="B1544" s="3">
        <v>2023.0</v>
      </c>
      <c r="C1544" s="3" t="s">
        <v>11</v>
      </c>
      <c r="D1544" s="3">
        <v>325.7</v>
      </c>
      <c r="E1544" s="3">
        <v>825.7</v>
      </c>
      <c r="F1544" s="3">
        <v>460.5</v>
      </c>
      <c r="G1544" s="3">
        <v>11.0</v>
      </c>
      <c r="H1544" s="3">
        <v>40.8</v>
      </c>
    </row>
    <row r="1545" ht="15.75" customHeight="1">
      <c r="A1545" s="3" t="s">
        <v>51</v>
      </c>
      <c r="B1545" s="3">
        <v>2023.0</v>
      </c>
      <c r="C1545" s="3" t="s">
        <v>13</v>
      </c>
      <c r="D1545" s="3">
        <v>364.4</v>
      </c>
      <c r="E1545" s="3">
        <v>852.4</v>
      </c>
      <c r="F1545" s="3">
        <v>309.5</v>
      </c>
      <c r="G1545" s="3">
        <v>8.0</v>
      </c>
      <c r="H1545" s="3">
        <v>36.3</v>
      </c>
    </row>
    <row r="1546" ht="15.75" customHeight="1">
      <c r="A1546" s="3" t="s">
        <v>51</v>
      </c>
      <c r="B1546" s="3">
        <v>2023.0</v>
      </c>
      <c r="C1546" s="3" t="s">
        <v>14</v>
      </c>
      <c r="D1546" s="3">
        <v>352.9</v>
      </c>
      <c r="E1546" s="3">
        <v>708.6</v>
      </c>
      <c r="F1546" s="3">
        <v>284.6</v>
      </c>
      <c r="G1546" s="3">
        <v>4.0</v>
      </c>
      <c r="H1546" s="3">
        <v>7.3</v>
      </c>
    </row>
    <row r="1547" ht="15.75" customHeight="1">
      <c r="A1547" s="3" t="s">
        <v>51</v>
      </c>
      <c r="B1547" s="3">
        <v>2024.0</v>
      </c>
      <c r="C1547" s="3" t="s">
        <v>9</v>
      </c>
      <c r="D1547" s="3">
        <v>415.0</v>
      </c>
      <c r="E1547" s="3">
        <v>839.4</v>
      </c>
      <c r="F1547" s="3">
        <v>531.6</v>
      </c>
      <c r="G1547" s="3">
        <v>7.0</v>
      </c>
      <c r="H1547" s="3">
        <v>28.4</v>
      </c>
    </row>
    <row r="1548" ht="15.75" customHeight="1">
      <c r="A1548" s="3" t="s">
        <v>51</v>
      </c>
      <c r="B1548" s="3">
        <v>2024.0</v>
      </c>
      <c r="C1548" s="3" t="s">
        <v>10</v>
      </c>
      <c r="D1548" s="3">
        <v>370.2</v>
      </c>
      <c r="E1548" s="3">
        <v>826.4</v>
      </c>
      <c r="F1548" s="3">
        <v>434.8</v>
      </c>
      <c r="G1548" s="3">
        <v>8.0</v>
      </c>
      <c r="H1548" s="3">
        <v>30.2</v>
      </c>
    </row>
    <row r="1549" ht="15.75" customHeight="1">
      <c r="A1549" s="3" t="s">
        <v>51</v>
      </c>
      <c r="B1549" s="3">
        <v>2024.0</v>
      </c>
      <c r="C1549" s="3" t="s">
        <v>11</v>
      </c>
      <c r="D1549" s="3">
        <v>367.9</v>
      </c>
      <c r="E1549" s="3">
        <v>982.6</v>
      </c>
      <c r="F1549" s="3">
        <v>488.4</v>
      </c>
      <c r="G1549" s="3">
        <v>10.0</v>
      </c>
      <c r="H1549" s="3">
        <v>23.9</v>
      </c>
    </row>
    <row r="1550" ht="15.75" customHeight="1">
      <c r="A1550" s="3" t="s">
        <v>51</v>
      </c>
      <c r="B1550" s="3">
        <v>2024.0</v>
      </c>
      <c r="C1550" s="3" t="s">
        <v>13</v>
      </c>
      <c r="D1550" s="3">
        <v>316.6</v>
      </c>
      <c r="E1550" s="3">
        <v>800.2</v>
      </c>
      <c r="F1550" s="3">
        <v>367.9</v>
      </c>
      <c r="G1550" s="3">
        <v>8.0</v>
      </c>
      <c r="H1550" s="3">
        <v>11.4</v>
      </c>
    </row>
    <row r="1551" ht="15.75" customHeight="1">
      <c r="A1551" s="3" t="s">
        <v>51</v>
      </c>
      <c r="B1551" s="3">
        <v>2024.0</v>
      </c>
      <c r="C1551" s="3" t="s">
        <v>14</v>
      </c>
      <c r="D1551" s="3">
        <v>381.4</v>
      </c>
      <c r="E1551" s="3">
        <v>960.5</v>
      </c>
      <c r="F1551" s="3">
        <v>585.6</v>
      </c>
      <c r="G1551" s="3">
        <v>8.0</v>
      </c>
      <c r="H1551" s="3">
        <v>49.9</v>
      </c>
    </row>
    <row r="1552" ht="15.75" customHeight="1">
      <c r="A1552" s="3" t="s">
        <v>52</v>
      </c>
      <c r="B1552" s="3">
        <v>2015.0</v>
      </c>
      <c r="C1552" s="3" t="s">
        <v>9</v>
      </c>
      <c r="D1552" s="3">
        <v>86.6</v>
      </c>
      <c r="E1552" s="3">
        <v>196.8</v>
      </c>
      <c r="F1552" s="3">
        <v>125.3</v>
      </c>
      <c r="G1552" s="3">
        <v>9.0</v>
      </c>
      <c r="H1552" s="3">
        <v>33.4</v>
      </c>
    </row>
    <row r="1553" ht="15.75" customHeight="1">
      <c r="A1553" s="3" t="s">
        <v>52</v>
      </c>
      <c r="B1553" s="3">
        <v>2015.0</v>
      </c>
      <c r="C1553" s="3" t="s">
        <v>10</v>
      </c>
      <c r="D1553" s="3">
        <v>135.7</v>
      </c>
      <c r="E1553" s="3">
        <v>311.8</v>
      </c>
      <c r="F1553" s="3">
        <v>136.7</v>
      </c>
      <c r="G1553" s="3">
        <v>6.0</v>
      </c>
      <c r="H1553" s="3">
        <v>35.1</v>
      </c>
    </row>
    <row r="1554" ht="15.75" customHeight="1">
      <c r="A1554" s="3" t="s">
        <v>52</v>
      </c>
      <c r="B1554" s="3">
        <v>2015.0</v>
      </c>
      <c r="C1554" s="3" t="s">
        <v>11</v>
      </c>
      <c r="D1554" s="3">
        <v>108.4</v>
      </c>
      <c r="E1554" s="3">
        <v>228.1</v>
      </c>
      <c r="F1554" s="3">
        <v>104.7</v>
      </c>
      <c r="G1554" s="3">
        <v>8.0</v>
      </c>
      <c r="H1554" s="3">
        <v>48.6</v>
      </c>
    </row>
    <row r="1555" ht="15.75" customHeight="1">
      <c r="A1555" s="3" t="s">
        <v>52</v>
      </c>
      <c r="B1555" s="3">
        <v>2015.0</v>
      </c>
      <c r="C1555" s="3" t="s">
        <v>13</v>
      </c>
      <c r="D1555" s="3">
        <v>108.1</v>
      </c>
      <c r="E1555" s="3">
        <v>221.1</v>
      </c>
      <c r="F1555" s="3">
        <v>160.0</v>
      </c>
      <c r="G1555" s="3">
        <v>3.0</v>
      </c>
      <c r="H1555" s="3">
        <v>16.8</v>
      </c>
    </row>
    <row r="1556" ht="15.75" customHeight="1">
      <c r="A1556" s="3" t="s">
        <v>52</v>
      </c>
      <c r="B1556" s="3">
        <v>2015.0</v>
      </c>
      <c r="C1556" s="3" t="s">
        <v>14</v>
      </c>
      <c r="D1556" s="3">
        <v>139.2</v>
      </c>
      <c r="E1556" s="3">
        <v>317.7</v>
      </c>
      <c r="F1556" s="3">
        <v>154.0</v>
      </c>
      <c r="G1556" s="3">
        <v>9.0</v>
      </c>
      <c r="H1556" s="3">
        <v>43.1</v>
      </c>
    </row>
    <row r="1557" ht="15.75" customHeight="1">
      <c r="A1557" s="3" t="s">
        <v>52</v>
      </c>
      <c r="B1557" s="3">
        <v>2016.0</v>
      </c>
      <c r="C1557" s="3" t="s">
        <v>9</v>
      </c>
      <c r="D1557" s="3">
        <v>175.2</v>
      </c>
      <c r="E1557" s="3">
        <v>468.3</v>
      </c>
      <c r="F1557" s="3">
        <v>241.3</v>
      </c>
      <c r="G1557" s="3">
        <v>2.0</v>
      </c>
      <c r="H1557" s="3">
        <v>49.5</v>
      </c>
    </row>
    <row r="1558" ht="15.75" customHeight="1">
      <c r="A1558" s="3" t="s">
        <v>52</v>
      </c>
      <c r="B1558" s="3">
        <v>2016.0</v>
      </c>
      <c r="C1558" s="3" t="s">
        <v>10</v>
      </c>
      <c r="D1558" s="3">
        <v>70.5</v>
      </c>
      <c r="E1558" s="3">
        <v>173.4</v>
      </c>
      <c r="F1558" s="3">
        <v>69.2</v>
      </c>
      <c r="G1558" s="3">
        <v>3.0</v>
      </c>
      <c r="H1558" s="3">
        <v>36.4</v>
      </c>
    </row>
    <row r="1559" ht="15.75" customHeight="1">
      <c r="A1559" s="3" t="s">
        <v>52</v>
      </c>
      <c r="B1559" s="3">
        <v>2016.0</v>
      </c>
      <c r="C1559" s="3" t="s">
        <v>11</v>
      </c>
      <c r="D1559" s="3">
        <v>120.3</v>
      </c>
      <c r="E1559" s="3">
        <v>302.3</v>
      </c>
      <c r="F1559" s="3">
        <v>126.6</v>
      </c>
      <c r="G1559" s="3">
        <v>7.0</v>
      </c>
      <c r="H1559" s="3">
        <v>36.5</v>
      </c>
    </row>
    <row r="1560" ht="15.75" customHeight="1">
      <c r="A1560" s="3" t="s">
        <v>52</v>
      </c>
      <c r="B1560" s="3">
        <v>2016.0</v>
      </c>
      <c r="C1560" s="3" t="s">
        <v>13</v>
      </c>
      <c r="D1560" s="3">
        <v>150.2</v>
      </c>
      <c r="E1560" s="3">
        <v>438.4</v>
      </c>
      <c r="F1560" s="3">
        <v>205.9</v>
      </c>
      <c r="G1560" s="3">
        <v>8.0</v>
      </c>
      <c r="H1560" s="3">
        <v>44.1</v>
      </c>
    </row>
    <row r="1561" ht="15.75" customHeight="1">
      <c r="A1561" s="3" t="s">
        <v>52</v>
      </c>
      <c r="B1561" s="3">
        <v>2016.0</v>
      </c>
      <c r="C1561" s="3" t="s">
        <v>14</v>
      </c>
      <c r="D1561" s="3">
        <v>126.9</v>
      </c>
      <c r="E1561" s="3">
        <v>301.1</v>
      </c>
      <c r="F1561" s="3">
        <v>162.7</v>
      </c>
      <c r="G1561" s="3">
        <v>4.0</v>
      </c>
      <c r="H1561" s="3">
        <v>15.3</v>
      </c>
    </row>
    <row r="1562" ht="15.75" customHeight="1">
      <c r="A1562" s="3" t="s">
        <v>52</v>
      </c>
      <c r="B1562" s="3">
        <v>2017.0</v>
      </c>
      <c r="C1562" s="3" t="s">
        <v>9</v>
      </c>
      <c r="D1562" s="3">
        <v>217.1</v>
      </c>
      <c r="E1562" s="3">
        <v>498.5</v>
      </c>
      <c r="F1562" s="3">
        <v>281.7</v>
      </c>
      <c r="G1562" s="3">
        <v>8.0</v>
      </c>
      <c r="H1562" s="3">
        <v>41.8</v>
      </c>
    </row>
    <row r="1563" ht="15.75" customHeight="1">
      <c r="A1563" s="3" t="s">
        <v>52</v>
      </c>
      <c r="B1563" s="3">
        <v>2017.0</v>
      </c>
      <c r="C1563" s="3" t="s">
        <v>10</v>
      </c>
      <c r="D1563" s="3">
        <v>209.6</v>
      </c>
      <c r="E1563" s="3">
        <v>541.6</v>
      </c>
      <c r="F1563" s="3">
        <v>198.5</v>
      </c>
      <c r="G1563" s="3">
        <v>9.0</v>
      </c>
      <c r="H1563" s="3">
        <v>23.8</v>
      </c>
    </row>
    <row r="1564" ht="15.75" customHeight="1">
      <c r="A1564" s="3" t="s">
        <v>52</v>
      </c>
      <c r="B1564" s="3">
        <v>2017.0</v>
      </c>
      <c r="C1564" s="3" t="s">
        <v>11</v>
      </c>
      <c r="D1564" s="3">
        <v>230.8</v>
      </c>
      <c r="E1564" s="3">
        <v>590.0</v>
      </c>
      <c r="F1564" s="3">
        <v>334.7</v>
      </c>
      <c r="G1564" s="3">
        <v>7.0</v>
      </c>
      <c r="H1564" s="3">
        <v>47.6</v>
      </c>
    </row>
    <row r="1565" ht="15.75" customHeight="1">
      <c r="A1565" s="3" t="s">
        <v>52</v>
      </c>
      <c r="B1565" s="3">
        <v>2017.0</v>
      </c>
      <c r="C1565" s="3" t="s">
        <v>13</v>
      </c>
      <c r="D1565" s="3">
        <v>157.7</v>
      </c>
      <c r="E1565" s="3">
        <v>329.3</v>
      </c>
      <c r="F1565" s="3">
        <v>193.3</v>
      </c>
      <c r="G1565" s="3">
        <v>7.0</v>
      </c>
      <c r="H1565" s="3">
        <v>29.8</v>
      </c>
    </row>
    <row r="1566" ht="15.75" customHeight="1">
      <c r="A1566" s="3" t="s">
        <v>52</v>
      </c>
      <c r="B1566" s="3">
        <v>2017.0</v>
      </c>
      <c r="C1566" s="3" t="s">
        <v>14</v>
      </c>
      <c r="D1566" s="3">
        <v>235.3</v>
      </c>
      <c r="E1566" s="3">
        <v>488.5</v>
      </c>
      <c r="F1566" s="3">
        <v>303.3</v>
      </c>
      <c r="G1566" s="3">
        <v>3.0</v>
      </c>
      <c r="H1566" s="3">
        <v>11.7</v>
      </c>
    </row>
    <row r="1567" ht="15.75" customHeight="1">
      <c r="A1567" s="3" t="s">
        <v>52</v>
      </c>
      <c r="B1567" s="3">
        <v>2018.0</v>
      </c>
      <c r="C1567" s="3" t="s">
        <v>9</v>
      </c>
      <c r="D1567" s="3">
        <v>251.1</v>
      </c>
      <c r="E1567" s="3">
        <v>663.6</v>
      </c>
      <c r="F1567" s="3">
        <v>249.5</v>
      </c>
      <c r="G1567" s="3">
        <v>8.0</v>
      </c>
      <c r="H1567" s="3">
        <v>20.4</v>
      </c>
    </row>
    <row r="1568" ht="15.75" customHeight="1">
      <c r="A1568" s="3" t="s">
        <v>52</v>
      </c>
      <c r="B1568" s="3">
        <v>2018.0</v>
      </c>
      <c r="C1568" s="3" t="s">
        <v>10</v>
      </c>
      <c r="D1568" s="3">
        <v>200.3</v>
      </c>
      <c r="E1568" s="3">
        <v>535.2</v>
      </c>
      <c r="F1568" s="3">
        <v>170.7</v>
      </c>
      <c r="G1568" s="3">
        <v>4.0</v>
      </c>
      <c r="H1568" s="3">
        <v>49.5</v>
      </c>
    </row>
    <row r="1569" ht="15.75" customHeight="1">
      <c r="A1569" s="3" t="s">
        <v>52</v>
      </c>
      <c r="B1569" s="3">
        <v>2018.0</v>
      </c>
      <c r="C1569" s="3" t="s">
        <v>11</v>
      </c>
      <c r="D1569" s="3">
        <v>230.6</v>
      </c>
      <c r="E1569" s="3">
        <v>629.4</v>
      </c>
      <c r="F1569" s="3">
        <v>340.1</v>
      </c>
      <c r="G1569" s="3">
        <v>6.0</v>
      </c>
      <c r="H1569" s="3">
        <v>18.8</v>
      </c>
    </row>
    <row r="1570" ht="15.75" customHeight="1">
      <c r="A1570" s="3" t="s">
        <v>52</v>
      </c>
      <c r="B1570" s="3">
        <v>2018.0</v>
      </c>
      <c r="C1570" s="3" t="s">
        <v>13</v>
      </c>
      <c r="D1570" s="3">
        <v>253.0</v>
      </c>
      <c r="E1570" s="3">
        <v>658.5</v>
      </c>
      <c r="F1570" s="3">
        <v>215.1</v>
      </c>
      <c r="G1570" s="3">
        <v>5.0</v>
      </c>
      <c r="H1570" s="3">
        <v>11.3</v>
      </c>
    </row>
    <row r="1571" ht="15.75" customHeight="1">
      <c r="A1571" s="3" t="s">
        <v>52</v>
      </c>
      <c r="B1571" s="3">
        <v>2018.0</v>
      </c>
      <c r="C1571" s="3" t="s">
        <v>14</v>
      </c>
      <c r="D1571" s="3">
        <v>242.9</v>
      </c>
      <c r="E1571" s="3">
        <v>524.5</v>
      </c>
      <c r="F1571" s="3">
        <v>201.8</v>
      </c>
      <c r="G1571" s="3">
        <v>7.0</v>
      </c>
      <c r="H1571" s="3">
        <v>8.1</v>
      </c>
    </row>
    <row r="1572" ht="15.75" customHeight="1">
      <c r="A1572" s="3" t="s">
        <v>52</v>
      </c>
      <c r="B1572" s="3">
        <v>2019.0</v>
      </c>
      <c r="C1572" s="3" t="s">
        <v>9</v>
      </c>
      <c r="D1572" s="3">
        <v>247.7</v>
      </c>
      <c r="E1572" s="3">
        <v>579.2</v>
      </c>
      <c r="F1572" s="3">
        <v>251.9</v>
      </c>
      <c r="G1572" s="3">
        <v>4.0</v>
      </c>
      <c r="H1572" s="3">
        <v>13.2</v>
      </c>
    </row>
    <row r="1573" ht="15.75" customHeight="1">
      <c r="A1573" s="3" t="s">
        <v>52</v>
      </c>
      <c r="B1573" s="3">
        <v>2019.0</v>
      </c>
      <c r="C1573" s="3" t="s">
        <v>10</v>
      </c>
      <c r="D1573" s="3">
        <v>223.8</v>
      </c>
      <c r="E1573" s="3">
        <v>509.1</v>
      </c>
      <c r="F1573" s="3">
        <v>258.5</v>
      </c>
      <c r="G1573" s="3">
        <v>4.0</v>
      </c>
      <c r="H1573" s="3">
        <v>29.8</v>
      </c>
    </row>
    <row r="1574" ht="15.75" customHeight="1">
      <c r="A1574" s="3" t="s">
        <v>52</v>
      </c>
      <c r="B1574" s="3">
        <v>2019.0</v>
      </c>
      <c r="C1574" s="3" t="s">
        <v>11</v>
      </c>
      <c r="D1574" s="3">
        <v>161.5</v>
      </c>
      <c r="E1574" s="3">
        <v>429.7</v>
      </c>
      <c r="F1574" s="3">
        <v>209.4</v>
      </c>
      <c r="G1574" s="3">
        <v>2.0</v>
      </c>
      <c r="H1574" s="3">
        <v>22.5</v>
      </c>
    </row>
    <row r="1575" ht="15.75" customHeight="1">
      <c r="A1575" s="3" t="s">
        <v>52</v>
      </c>
      <c r="B1575" s="3">
        <v>2019.0</v>
      </c>
      <c r="C1575" s="3" t="s">
        <v>13</v>
      </c>
      <c r="D1575" s="3">
        <v>253.9</v>
      </c>
      <c r="E1575" s="3">
        <v>632.1</v>
      </c>
      <c r="F1575" s="3">
        <v>258.5</v>
      </c>
      <c r="G1575" s="3">
        <v>3.0</v>
      </c>
      <c r="H1575" s="3">
        <v>6.0</v>
      </c>
    </row>
    <row r="1576" ht="15.75" customHeight="1">
      <c r="A1576" s="3" t="s">
        <v>52</v>
      </c>
      <c r="B1576" s="3">
        <v>2019.0</v>
      </c>
      <c r="C1576" s="3" t="s">
        <v>14</v>
      </c>
      <c r="D1576" s="3">
        <v>220.4</v>
      </c>
      <c r="E1576" s="3">
        <v>518.5</v>
      </c>
      <c r="F1576" s="3">
        <v>286.3</v>
      </c>
      <c r="G1576" s="3">
        <v>3.0</v>
      </c>
      <c r="H1576" s="3">
        <v>13.4</v>
      </c>
    </row>
    <row r="1577" ht="15.75" customHeight="1">
      <c r="A1577" s="3" t="s">
        <v>52</v>
      </c>
      <c r="B1577" s="3">
        <v>2020.0</v>
      </c>
      <c r="C1577" s="3" t="s">
        <v>9</v>
      </c>
      <c r="D1577" s="3">
        <v>256.6</v>
      </c>
      <c r="E1577" s="3">
        <v>757.7</v>
      </c>
      <c r="F1577" s="3">
        <v>278.1</v>
      </c>
      <c r="G1577" s="3">
        <v>5.0</v>
      </c>
      <c r="H1577" s="3">
        <v>8.1</v>
      </c>
    </row>
    <row r="1578" ht="15.75" customHeight="1">
      <c r="A1578" s="3" t="s">
        <v>52</v>
      </c>
      <c r="B1578" s="3">
        <v>2020.0</v>
      </c>
      <c r="C1578" s="3" t="s">
        <v>10</v>
      </c>
      <c r="D1578" s="3">
        <v>225.6</v>
      </c>
      <c r="E1578" s="3">
        <v>566.5</v>
      </c>
      <c r="F1578" s="3">
        <v>252.4</v>
      </c>
      <c r="G1578" s="3">
        <v>10.0</v>
      </c>
      <c r="H1578" s="3">
        <v>39.8</v>
      </c>
    </row>
    <row r="1579" ht="15.75" customHeight="1">
      <c r="A1579" s="3" t="s">
        <v>52</v>
      </c>
      <c r="B1579" s="3">
        <v>2020.0</v>
      </c>
      <c r="C1579" s="3" t="s">
        <v>11</v>
      </c>
      <c r="D1579" s="3">
        <v>291.1</v>
      </c>
      <c r="E1579" s="3">
        <v>619.4</v>
      </c>
      <c r="F1579" s="3">
        <v>383.5</v>
      </c>
      <c r="G1579" s="3">
        <v>3.0</v>
      </c>
      <c r="H1579" s="3">
        <v>35.7</v>
      </c>
    </row>
    <row r="1580" ht="15.75" customHeight="1">
      <c r="A1580" s="3" t="s">
        <v>52</v>
      </c>
      <c r="B1580" s="3">
        <v>2020.0</v>
      </c>
      <c r="C1580" s="3" t="s">
        <v>13</v>
      </c>
      <c r="D1580" s="3">
        <v>194.4</v>
      </c>
      <c r="E1580" s="3">
        <v>435.9</v>
      </c>
      <c r="F1580" s="3">
        <v>209.8</v>
      </c>
      <c r="G1580" s="3">
        <v>10.0</v>
      </c>
      <c r="H1580" s="3">
        <v>26.5</v>
      </c>
    </row>
    <row r="1581" ht="15.75" customHeight="1">
      <c r="A1581" s="3" t="s">
        <v>52</v>
      </c>
      <c r="B1581" s="3">
        <v>2020.0</v>
      </c>
      <c r="C1581" s="3" t="s">
        <v>14</v>
      </c>
      <c r="D1581" s="3">
        <v>252.1</v>
      </c>
      <c r="E1581" s="3">
        <v>547.2</v>
      </c>
      <c r="F1581" s="3">
        <v>209.4</v>
      </c>
      <c r="G1581" s="3">
        <v>11.0</v>
      </c>
      <c r="H1581" s="3">
        <v>38.9</v>
      </c>
    </row>
    <row r="1582" ht="15.75" customHeight="1">
      <c r="A1582" s="3" t="s">
        <v>52</v>
      </c>
      <c r="B1582" s="3">
        <v>2021.0</v>
      </c>
      <c r="C1582" s="3" t="s">
        <v>9</v>
      </c>
      <c r="D1582" s="3">
        <v>310.0</v>
      </c>
      <c r="E1582" s="3">
        <v>765.0</v>
      </c>
      <c r="F1582" s="3">
        <v>335.7</v>
      </c>
      <c r="G1582" s="3">
        <v>10.0</v>
      </c>
      <c r="H1582" s="3">
        <v>6.1</v>
      </c>
    </row>
    <row r="1583" ht="15.75" customHeight="1">
      <c r="A1583" s="3" t="s">
        <v>52</v>
      </c>
      <c r="B1583" s="3">
        <v>2021.0</v>
      </c>
      <c r="C1583" s="3" t="s">
        <v>10</v>
      </c>
      <c r="D1583" s="3">
        <v>323.0</v>
      </c>
      <c r="E1583" s="3">
        <v>920.7</v>
      </c>
      <c r="F1583" s="3">
        <v>418.1</v>
      </c>
      <c r="G1583" s="3">
        <v>9.0</v>
      </c>
      <c r="H1583" s="3">
        <v>9.1</v>
      </c>
    </row>
    <row r="1584" ht="15.75" customHeight="1">
      <c r="A1584" s="3" t="s">
        <v>52</v>
      </c>
      <c r="B1584" s="3">
        <v>2021.0</v>
      </c>
      <c r="C1584" s="3" t="s">
        <v>11</v>
      </c>
      <c r="D1584" s="3">
        <v>275.5</v>
      </c>
      <c r="E1584" s="3">
        <v>570.7</v>
      </c>
      <c r="F1584" s="3">
        <v>295.6</v>
      </c>
      <c r="G1584" s="3">
        <v>7.0</v>
      </c>
      <c r="H1584" s="3">
        <v>19.9</v>
      </c>
    </row>
    <row r="1585" ht="15.75" customHeight="1">
      <c r="A1585" s="3" t="s">
        <v>52</v>
      </c>
      <c r="B1585" s="3">
        <v>2021.0</v>
      </c>
      <c r="C1585" s="3" t="s">
        <v>13</v>
      </c>
      <c r="D1585" s="3">
        <v>253.9</v>
      </c>
      <c r="E1585" s="3">
        <v>711.7</v>
      </c>
      <c r="F1585" s="3">
        <v>279.0</v>
      </c>
      <c r="G1585" s="3">
        <v>3.0</v>
      </c>
      <c r="H1585" s="3">
        <v>3.3</v>
      </c>
    </row>
    <row r="1586" ht="15.75" customHeight="1">
      <c r="A1586" s="3" t="s">
        <v>52</v>
      </c>
      <c r="B1586" s="3">
        <v>2021.0</v>
      </c>
      <c r="C1586" s="3" t="s">
        <v>14</v>
      </c>
      <c r="D1586" s="3">
        <v>270.2</v>
      </c>
      <c r="E1586" s="3">
        <v>787.2</v>
      </c>
      <c r="F1586" s="3">
        <v>268.3</v>
      </c>
      <c r="G1586" s="3">
        <v>7.0</v>
      </c>
      <c r="H1586" s="3">
        <v>46.9</v>
      </c>
    </row>
    <row r="1587" ht="15.75" customHeight="1">
      <c r="A1587" s="3" t="s">
        <v>52</v>
      </c>
      <c r="B1587" s="3">
        <v>2022.0</v>
      </c>
      <c r="C1587" s="3" t="s">
        <v>9</v>
      </c>
      <c r="D1587" s="3">
        <v>362.0</v>
      </c>
      <c r="E1587" s="3">
        <v>882.6</v>
      </c>
      <c r="F1587" s="3">
        <v>295.1</v>
      </c>
      <c r="G1587" s="3">
        <v>11.0</v>
      </c>
      <c r="H1587" s="3">
        <v>10.5</v>
      </c>
    </row>
    <row r="1588" ht="15.75" customHeight="1">
      <c r="A1588" s="3" t="s">
        <v>52</v>
      </c>
      <c r="B1588" s="3">
        <v>2022.0</v>
      </c>
      <c r="C1588" s="3" t="s">
        <v>10</v>
      </c>
      <c r="D1588" s="3">
        <v>304.8</v>
      </c>
      <c r="E1588" s="3">
        <v>724.3</v>
      </c>
      <c r="F1588" s="3">
        <v>387.2</v>
      </c>
      <c r="G1588" s="3">
        <v>11.0</v>
      </c>
      <c r="H1588" s="3">
        <v>41.8</v>
      </c>
    </row>
    <row r="1589" ht="15.75" customHeight="1">
      <c r="A1589" s="3" t="s">
        <v>52</v>
      </c>
      <c r="B1589" s="3">
        <v>2022.0</v>
      </c>
      <c r="C1589" s="3" t="s">
        <v>11</v>
      </c>
      <c r="D1589" s="3">
        <v>306.3</v>
      </c>
      <c r="E1589" s="3">
        <v>793.1</v>
      </c>
      <c r="F1589" s="3">
        <v>288.0</v>
      </c>
      <c r="G1589" s="3">
        <v>10.0</v>
      </c>
      <c r="H1589" s="3">
        <v>26.1</v>
      </c>
    </row>
    <row r="1590" ht="15.75" customHeight="1">
      <c r="A1590" s="3" t="s">
        <v>52</v>
      </c>
      <c r="B1590" s="3">
        <v>2022.0</v>
      </c>
      <c r="C1590" s="3" t="s">
        <v>13</v>
      </c>
      <c r="D1590" s="3">
        <v>340.3</v>
      </c>
      <c r="E1590" s="3">
        <v>872.0</v>
      </c>
      <c r="F1590" s="3">
        <v>497.3</v>
      </c>
      <c r="G1590" s="3">
        <v>10.0</v>
      </c>
      <c r="H1590" s="3">
        <v>32.4</v>
      </c>
    </row>
    <row r="1591" ht="15.75" customHeight="1">
      <c r="A1591" s="3" t="s">
        <v>52</v>
      </c>
      <c r="B1591" s="3">
        <v>2022.0</v>
      </c>
      <c r="C1591" s="3" t="s">
        <v>14</v>
      </c>
      <c r="D1591" s="3">
        <v>308.8</v>
      </c>
      <c r="E1591" s="3">
        <v>701.2</v>
      </c>
      <c r="F1591" s="3">
        <v>333.6</v>
      </c>
      <c r="G1591" s="3">
        <v>7.0</v>
      </c>
      <c r="H1591" s="3">
        <v>13.9</v>
      </c>
    </row>
    <row r="1592" ht="15.75" customHeight="1">
      <c r="A1592" s="3" t="s">
        <v>52</v>
      </c>
      <c r="B1592" s="3">
        <v>2023.0</v>
      </c>
      <c r="C1592" s="3" t="s">
        <v>9</v>
      </c>
      <c r="D1592" s="3">
        <v>390.0</v>
      </c>
      <c r="E1592" s="3">
        <v>957.5</v>
      </c>
      <c r="F1592" s="3">
        <v>502.5</v>
      </c>
      <c r="G1592" s="3">
        <v>9.0</v>
      </c>
      <c r="H1592" s="3">
        <v>20.5</v>
      </c>
    </row>
    <row r="1593" ht="15.75" customHeight="1">
      <c r="A1593" s="3" t="s">
        <v>52</v>
      </c>
      <c r="B1593" s="3">
        <v>2023.0</v>
      </c>
      <c r="C1593" s="3" t="s">
        <v>10</v>
      </c>
      <c r="D1593" s="3">
        <v>342.1</v>
      </c>
      <c r="E1593" s="3">
        <v>1008.6</v>
      </c>
      <c r="F1593" s="3">
        <v>290.2</v>
      </c>
      <c r="G1593" s="3">
        <v>10.0</v>
      </c>
      <c r="H1593" s="3">
        <v>24.3</v>
      </c>
    </row>
    <row r="1594" ht="15.75" customHeight="1">
      <c r="A1594" s="3" t="s">
        <v>52</v>
      </c>
      <c r="B1594" s="3">
        <v>2023.0</v>
      </c>
      <c r="C1594" s="3" t="s">
        <v>11</v>
      </c>
      <c r="D1594" s="3">
        <v>331.1</v>
      </c>
      <c r="E1594" s="3">
        <v>965.1</v>
      </c>
      <c r="F1594" s="3">
        <v>269.7</v>
      </c>
      <c r="G1594" s="3">
        <v>6.0</v>
      </c>
      <c r="H1594" s="3">
        <v>23.1</v>
      </c>
    </row>
    <row r="1595" ht="15.75" customHeight="1">
      <c r="A1595" s="3" t="s">
        <v>52</v>
      </c>
      <c r="B1595" s="3">
        <v>2023.0</v>
      </c>
      <c r="C1595" s="3" t="s">
        <v>13</v>
      </c>
      <c r="D1595" s="3">
        <v>371.7</v>
      </c>
      <c r="E1595" s="3">
        <v>885.7</v>
      </c>
      <c r="F1595" s="3">
        <v>514.7</v>
      </c>
      <c r="G1595" s="3">
        <v>4.0</v>
      </c>
      <c r="H1595" s="3">
        <v>6.4</v>
      </c>
    </row>
    <row r="1596" ht="15.75" customHeight="1">
      <c r="A1596" s="3" t="s">
        <v>52</v>
      </c>
      <c r="B1596" s="3">
        <v>2023.0</v>
      </c>
      <c r="C1596" s="3" t="s">
        <v>14</v>
      </c>
      <c r="D1596" s="3">
        <v>418.5</v>
      </c>
      <c r="E1596" s="3">
        <v>1015.7</v>
      </c>
      <c r="F1596" s="3">
        <v>496.5</v>
      </c>
      <c r="G1596" s="3">
        <v>12.0</v>
      </c>
      <c r="H1596" s="3">
        <v>26.6</v>
      </c>
    </row>
    <row r="1597" ht="15.75" customHeight="1">
      <c r="A1597" s="3" t="s">
        <v>52</v>
      </c>
      <c r="B1597" s="3">
        <v>2024.0</v>
      </c>
      <c r="C1597" s="3" t="s">
        <v>9</v>
      </c>
      <c r="D1597" s="3">
        <v>390.0</v>
      </c>
      <c r="E1597" s="3">
        <v>987.5</v>
      </c>
      <c r="F1597" s="3">
        <v>532.9</v>
      </c>
      <c r="G1597" s="3">
        <v>4.0</v>
      </c>
      <c r="H1597" s="3">
        <v>10.8</v>
      </c>
    </row>
    <row r="1598" ht="15.75" customHeight="1">
      <c r="A1598" s="3" t="s">
        <v>52</v>
      </c>
      <c r="B1598" s="3">
        <v>2024.0</v>
      </c>
      <c r="C1598" s="3" t="s">
        <v>10</v>
      </c>
      <c r="D1598" s="3">
        <v>419.7</v>
      </c>
      <c r="E1598" s="3">
        <v>1050.2</v>
      </c>
      <c r="F1598" s="3">
        <v>619.5</v>
      </c>
      <c r="G1598" s="3">
        <v>5.0</v>
      </c>
      <c r="H1598" s="3">
        <v>43.4</v>
      </c>
    </row>
    <row r="1599" ht="15.75" customHeight="1">
      <c r="A1599" s="3" t="s">
        <v>52</v>
      </c>
      <c r="B1599" s="3">
        <v>2024.0</v>
      </c>
      <c r="C1599" s="3" t="s">
        <v>11</v>
      </c>
      <c r="D1599" s="3">
        <v>380.8</v>
      </c>
      <c r="E1599" s="3">
        <v>972.9</v>
      </c>
      <c r="F1599" s="3">
        <v>354.8</v>
      </c>
      <c r="G1599" s="3">
        <v>12.0</v>
      </c>
      <c r="H1599" s="3">
        <v>32.7</v>
      </c>
    </row>
    <row r="1600" ht="15.75" customHeight="1">
      <c r="A1600" s="3" t="s">
        <v>52</v>
      </c>
      <c r="B1600" s="3">
        <v>2024.0</v>
      </c>
      <c r="C1600" s="3" t="s">
        <v>13</v>
      </c>
      <c r="D1600" s="3">
        <v>400.6</v>
      </c>
      <c r="E1600" s="3">
        <v>887.3</v>
      </c>
      <c r="F1600" s="3">
        <v>396.7</v>
      </c>
      <c r="G1600" s="3">
        <v>8.0</v>
      </c>
      <c r="H1600" s="3">
        <v>31.8</v>
      </c>
    </row>
    <row r="1601" ht="15.75" customHeight="1">
      <c r="A1601" s="3" t="s">
        <v>52</v>
      </c>
      <c r="B1601" s="3">
        <v>2024.0</v>
      </c>
      <c r="C1601" s="3" t="s">
        <v>14</v>
      </c>
      <c r="D1601" s="3">
        <v>380.0</v>
      </c>
      <c r="E1601" s="3">
        <v>789.4</v>
      </c>
      <c r="F1601" s="3">
        <v>320.2</v>
      </c>
      <c r="G1601" s="3">
        <v>4.0</v>
      </c>
      <c r="H1601" s="3">
        <v>39.2</v>
      </c>
    </row>
    <row r="1602" ht="15.75" customHeight="1">
      <c r="A1602" s="3" t="s">
        <v>53</v>
      </c>
      <c r="B1602" s="3">
        <v>2015.0</v>
      </c>
      <c r="C1602" s="3" t="s">
        <v>9</v>
      </c>
      <c r="D1602" s="3">
        <v>131.2</v>
      </c>
      <c r="E1602" s="3">
        <v>278.8</v>
      </c>
      <c r="F1602" s="3">
        <v>117.6</v>
      </c>
      <c r="G1602" s="3">
        <v>4.0</v>
      </c>
      <c r="H1602" s="3">
        <v>42.3</v>
      </c>
    </row>
    <row r="1603" ht="15.75" customHeight="1">
      <c r="A1603" s="3" t="s">
        <v>53</v>
      </c>
      <c r="B1603" s="3">
        <v>2015.0</v>
      </c>
      <c r="C1603" s="3" t="s">
        <v>10</v>
      </c>
      <c r="D1603" s="3">
        <v>127.2</v>
      </c>
      <c r="E1603" s="3">
        <v>353.9</v>
      </c>
      <c r="F1603" s="3">
        <v>168.2</v>
      </c>
      <c r="G1603" s="3">
        <v>3.0</v>
      </c>
      <c r="H1603" s="3">
        <v>36.6</v>
      </c>
    </row>
    <row r="1604" ht="15.75" customHeight="1">
      <c r="A1604" s="3" t="s">
        <v>53</v>
      </c>
      <c r="B1604" s="3">
        <v>2015.0</v>
      </c>
      <c r="C1604" s="3" t="s">
        <v>11</v>
      </c>
      <c r="D1604" s="3">
        <v>88.1</v>
      </c>
      <c r="E1604" s="3">
        <v>236.7</v>
      </c>
      <c r="F1604" s="3">
        <v>119.3</v>
      </c>
      <c r="G1604" s="3">
        <v>9.0</v>
      </c>
      <c r="H1604" s="3">
        <v>46.7</v>
      </c>
    </row>
    <row r="1605" ht="15.75" customHeight="1">
      <c r="A1605" s="3" t="s">
        <v>53</v>
      </c>
      <c r="B1605" s="3">
        <v>2015.0</v>
      </c>
      <c r="C1605" s="3" t="s">
        <v>13</v>
      </c>
      <c r="D1605" s="3">
        <v>142.6</v>
      </c>
      <c r="E1605" s="3">
        <v>377.6</v>
      </c>
      <c r="F1605" s="3">
        <v>148.2</v>
      </c>
      <c r="G1605" s="3">
        <v>4.0</v>
      </c>
      <c r="H1605" s="3">
        <v>11.9</v>
      </c>
    </row>
    <row r="1606" ht="15.75" customHeight="1">
      <c r="A1606" s="3" t="s">
        <v>53</v>
      </c>
      <c r="B1606" s="3">
        <v>2015.0</v>
      </c>
      <c r="C1606" s="3" t="s">
        <v>14</v>
      </c>
      <c r="D1606" s="3">
        <v>163.6</v>
      </c>
      <c r="E1606" s="3">
        <v>351.2</v>
      </c>
      <c r="F1606" s="3">
        <v>242.1</v>
      </c>
      <c r="G1606" s="3">
        <v>10.0</v>
      </c>
      <c r="H1606" s="3">
        <v>36.9</v>
      </c>
    </row>
    <row r="1607" ht="15.75" customHeight="1">
      <c r="A1607" s="3" t="s">
        <v>53</v>
      </c>
      <c r="B1607" s="3">
        <v>2016.0</v>
      </c>
      <c r="C1607" s="3" t="s">
        <v>9</v>
      </c>
      <c r="D1607" s="3">
        <v>124.0</v>
      </c>
      <c r="E1607" s="3">
        <v>349.8</v>
      </c>
      <c r="F1607" s="3">
        <v>103.1</v>
      </c>
      <c r="G1607" s="3">
        <v>6.0</v>
      </c>
      <c r="H1607" s="3">
        <v>49.3</v>
      </c>
    </row>
    <row r="1608" ht="15.75" customHeight="1">
      <c r="A1608" s="3" t="s">
        <v>53</v>
      </c>
      <c r="B1608" s="3">
        <v>2016.0</v>
      </c>
      <c r="C1608" s="3" t="s">
        <v>10</v>
      </c>
      <c r="D1608" s="3">
        <v>134.0</v>
      </c>
      <c r="E1608" s="3">
        <v>374.4</v>
      </c>
      <c r="F1608" s="3">
        <v>150.8</v>
      </c>
      <c r="G1608" s="3">
        <v>9.0</v>
      </c>
      <c r="H1608" s="3">
        <v>13.6</v>
      </c>
    </row>
    <row r="1609" ht="15.75" customHeight="1">
      <c r="A1609" s="3" t="s">
        <v>53</v>
      </c>
      <c r="B1609" s="3">
        <v>2016.0</v>
      </c>
      <c r="C1609" s="3" t="s">
        <v>11</v>
      </c>
      <c r="D1609" s="3">
        <v>108.9</v>
      </c>
      <c r="E1609" s="3">
        <v>260.6</v>
      </c>
      <c r="F1609" s="3">
        <v>140.2</v>
      </c>
      <c r="G1609" s="3">
        <v>10.0</v>
      </c>
      <c r="H1609" s="3">
        <v>27.6</v>
      </c>
    </row>
    <row r="1610" ht="15.75" customHeight="1">
      <c r="A1610" s="3" t="s">
        <v>53</v>
      </c>
      <c r="B1610" s="3">
        <v>2016.0</v>
      </c>
      <c r="C1610" s="3" t="s">
        <v>13</v>
      </c>
      <c r="D1610" s="3">
        <v>166.3</v>
      </c>
      <c r="E1610" s="3">
        <v>338.1</v>
      </c>
      <c r="F1610" s="3">
        <v>133.2</v>
      </c>
      <c r="G1610" s="3">
        <v>10.0</v>
      </c>
      <c r="H1610" s="3">
        <v>13.4</v>
      </c>
    </row>
    <row r="1611" ht="15.75" customHeight="1">
      <c r="A1611" s="3" t="s">
        <v>53</v>
      </c>
      <c r="B1611" s="3">
        <v>2016.0</v>
      </c>
      <c r="C1611" s="3" t="s">
        <v>14</v>
      </c>
      <c r="D1611" s="3">
        <v>194.3</v>
      </c>
      <c r="E1611" s="3">
        <v>502.1</v>
      </c>
      <c r="F1611" s="3">
        <v>160.6</v>
      </c>
      <c r="G1611" s="3">
        <v>10.0</v>
      </c>
      <c r="H1611" s="3">
        <v>26.2</v>
      </c>
    </row>
    <row r="1612" ht="15.75" customHeight="1">
      <c r="A1612" s="3" t="s">
        <v>53</v>
      </c>
      <c r="B1612" s="3">
        <v>2017.0</v>
      </c>
      <c r="C1612" s="3" t="s">
        <v>9</v>
      </c>
      <c r="D1612" s="3">
        <v>151.8</v>
      </c>
      <c r="E1612" s="3">
        <v>339.6</v>
      </c>
      <c r="F1612" s="3">
        <v>203.9</v>
      </c>
      <c r="G1612" s="3">
        <v>9.0</v>
      </c>
      <c r="H1612" s="3">
        <v>7.4</v>
      </c>
    </row>
    <row r="1613" ht="15.75" customHeight="1">
      <c r="A1613" s="3" t="s">
        <v>53</v>
      </c>
      <c r="B1613" s="3">
        <v>2017.0</v>
      </c>
      <c r="C1613" s="3" t="s">
        <v>10</v>
      </c>
      <c r="D1613" s="3">
        <v>195.1</v>
      </c>
      <c r="E1613" s="3">
        <v>473.9</v>
      </c>
      <c r="F1613" s="3">
        <v>197.7</v>
      </c>
      <c r="G1613" s="3">
        <v>8.0</v>
      </c>
      <c r="H1613" s="3">
        <v>31.6</v>
      </c>
    </row>
    <row r="1614" ht="15.75" customHeight="1">
      <c r="A1614" s="3" t="s">
        <v>53</v>
      </c>
      <c r="B1614" s="3">
        <v>2017.0</v>
      </c>
      <c r="C1614" s="3" t="s">
        <v>11</v>
      </c>
      <c r="D1614" s="3">
        <v>201.3</v>
      </c>
      <c r="E1614" s="3">
        <v>419.4</v>
      </c>
      <c r="F1614" s="3">
        <v>202.4</v>
      </c>
      <c r="G1614" s="3">
        <v>7.0</v>
      </c>
      <c r="H1614" s="3">
        <v>35.1</v>
      </c>
    </row>
    <row r="1615" ht="15.75" customHeight="1">
      <c r="A1615" s="3" t="s">
        <v>53</v>
      </c>
      <c r="B1615" s="3">
        <v>2017.0</v>
      </c>
      <c r="C1615" s="3" t="s">
        <v>13</v>
      </c>
      <c r="D1615" s="3">
        <v>166.0</v>
      </c>
      <c r="E1615" s="3">
        <v>408.3</v>
      </c>
      <c r="F1615" s="3">
        <v>175.1</v>
      </c>
      <c r="G1615" s="3">
        <v>5.0</v>
      </c>
      <c r="H1615" s="3">
        <v>32.8</v>
      </c>
    </row>
    <row r="1616" ht="15.75" customHeight="1">
      <c r="A1616" s="3" t="s">
        <v>53</v>
      </c>
      <c r="B1616" s="3">
        <v>2017.0</v>
      </c>
      <c r="C1616" s="3" t="s">
        <v>14</v>
      </c>
      <c r="D1616" s="3">
        <v>160.8</v>
      </c>
      <c r="E1616" s="3">
        <v>385.5</v>
      </c>
      <c r="F1616" s="3">
        <v>169.6</v>
      </c>
      <c r="G1616" s="3">
        <v>3.0</v>
      </c>
      <c r="H1616" s="3">
        <v>21.1</v>
      </c>
    </row>
    <row r="1617" ht="15.75" customHeight="1">
      <c r="A1617" s="3" t="s">
        <v>53</v>
      </c>
      <c r="B1617" s="3">
        <v>2018.0</v>
      </c>
      <c r="C1617" s="3" t="s">
        <v>9</v>
      </c>
      <c r="D1617" s="3">
        <v>226.4</v>
      </c>
      <c r="E1617" s="3">
        <v>489.7</v>
      </c>
      <c r="F1617" s="3">
        <v>338.9</v>
      </c>
      <c r="G1617" s="3">
        <v>7.0</v>
      </c>
      <c r="H1617" s="3">
        <v>3.5</v>
      </c>
    </row>
    <row r="1618" ht="15.75" customHeight="1">
      <c r="A1618" s="3" t="s">
        <v>53</v>
      </c>
      <c r="B1618" s="3">
        <v>2018.0</v>
      </c>
      <c r="C1618" s="3" t="s">
        <v>10</v>
      </c>
      <c r="D1618" s="3">
        <v>173.3</v>
      </c>
      <c r="E1618" s="3">
        <v>473.0</v>
      </c>
      <c r="F1618" s="3">
        <v>237.0</v>
      </c>
      <c r="G1618" s="3">
        <v>4.0</v>
      </c>
      <c r="H1618" s="3">
        <v>39.6</v>
      </c>
    </row>
    <row r="1619" ht="15.75" customHeight="1">
      <c r="A1619" s="3" t="s">
        <v>53</v>
      </c>
      <c r="B1619" s="3">
        <v>2018.0</v>
      </c>
      <c r="C1619" s="3" t="s">
        <v>11</v>
      </c>
      <c r="D1619" s="3">
        <v>228.3</v>
      </c>
      <c r="E1619" s="3">
        <v>523.8</v>
      </c>
      <c r="F1619" s="3">
        <v>296.2</v>
      </c>
      <c r="G1619" s="3">
        <v>3.0</v>
      </c>
      <c r="H1619" s="3">
        <v>40.9</v>
      </c>
    </row>
    <row r="1620" ht="15.75" customHeight="1">
      <c r="A1620" s="3" t="s">
        <v>53</v>
      </c>
      <c r="B1620" s="3">
        <v>2018.0</v>
      </c>
      <c r="C1620" s="3" t="s">
        <v>13</v>
      </c>
      <c r="D1620" s="3">
        <v>227.2</v>
      </c>
      <c r="E1620" s="3">
        <v>601.3</v>
      </c>
      <c r="F1620" s="3">
        <v>336.5</v>
      </c>
      <c r="G1620" s="3">
        <v>7.0</v>
      </c>
      <c r="H1620" s="3">
        <v>37.1</v>
      </c>
    </row>
    <row r="1621" ht="15.75" customHeight="1">
      <c r="A1621" s="3" t="s">
        <v>53</v>
      </c>
      <c r="B1621" s="3">
        <v>2018.0</v>
      </c>
      <c r="C1621" s="3" t="s">
        <v>14</v>
      </c>
      <c r="D1621" s="3">
        <v>293.2</v>
      </c>
      <c r="E1621" s="3">
        <v>839.5</v>
      </c>
      <c r="F1621" s="3">
        <v>333.4</v>
      </c>
      <c r="G1621" s="3">
        <v>4.0</v>
      </c>
      <c r="H1621" s="3">
        <v>28.5</v>
      </c>
    </row>
    <row r="1622" ht="15.75" customHeight="1">
      <c r="A1622" s="3" t="s">
        <v>53</v>
      </c>
      <c r="B1622" s="3">
        <v>2019.0</v>
      </c>
      <c r="C1622" s="3" t="s">
        <v>9</v>
      </c>
      <c r="D1622" s="3">
        <v>218.6</v>
      </c>
      <c r="E1622" s="3">
        <v>559.5</v>
      </c>
      <c r="F1622" s="3">
        <v>276.7</v>
      </c>
      <c r="G1622" s="3">
        <v>9.0</v>
      </c>
      <c r="H1622" s="3">
        <v>1.2</v>
      </c>
    </row>
    <row r="1623" ht="15.75" customHeight="1">
      <c r="A1623" s="3" t="s">
        <v>53</v>
      </c>
      <c r="B1623" s="3">
        <v>2019.0</v>
      </c>
      <c r="C1623" s="3" t="s">
        <v>10</v>
      </c>
      <c r="D1623" s="3">
        <v>175.4</v>
      </c>
      <c r="E1623" s="3">
        <v>409.5</v>
      </c>
      <c r="F1623" s="3">
        <v>144.5</v>
      </c>
      <c r="G1623" s="3">
        <v>9.0</v>
      </c>
      <c r="H1623" s="3">
        <v>38.7</v>
      </c>
    </row>
    <row r="1624" ht="15.75" customHeight="1">
      <c r="A1624" s="3" t="s">
        <v>53</v>
      </c>
      <c r="B1624" s="3">
        <v>2019.0</v>
      </c>
      <c r="C1624" s="3" t="s">
        <v>11</v>
      </c>
      <c r="D1624" s="3">
        <v>205.3</v>
      </c>
      <c r="E1624" s="3">
        <v>453.7</v>
      </c>
      <c r="F1624" s="3">
        <v>250.4</v>
      </c>
      <c r="G1624" s="3">
        <v>9.0</v>
      </c>
      <c r="H1624" s="3">
        <v>3.9</v>
      </c>
    </row>
    <row r="1625" ht="15.75" customHeight="1">
      <c r="A1625" s="3" t="s">
        <v>53</v>
      </c>
      <c r="B1625" s="3">
        <v>2019.0</v>
      </c>
      <c r="C1625" s="3" t="s">
        <v>13</v>
      </c>
      <c r="D1625" s="3">
        <v>260.7</v>
      </c>
      <c r="E1625" s="3">
        <v>724.3</v>
      </c>
      <c r="F1625" s="3">
        <v>342.6</v>
      </c>
      <c r="G1625" s="3">
        <v>3.0</v>
      </c>
      <c r="H1625" s="3">
        <v>41.3</v>
      </c>
    </row>
    <row r="1626" ht="15.75" customHeight="1">
      <c r="A1626" s="3" t="s">
        <v>53</v>
      </c>
      <c r="B1626" s="3">
        <v>2019.0</v>
      </c>
      <c r="C1626" s="3" t="s">
        <v>14</v>
      </c>
      <c r="D1626" s="3">
        <v>289.2</v>
      </c>
      <c r="E1626" s="3">
        <v>685.4</v>
      </c>
      <c r="F1626" s="3">
        <v>287.9</v>
      </c>
      <c r="G1626" s="3">
        <v>9.0</v>
      </c>
      <c r="H1626" s="3">
        <v>10.0</v>
      </c>
    </row>
    <row r="1627" ht="15.75" customHeight="1">
      <c r="A1627" s="3" t="s">
        <v>53</v>
      </c>
      <c r="B1627" s="3">
        <v>2020.0</v>
      </c>
      <c r="C1627" s="3" t="s">
        <v>9</v>
      </c>
      <c r="D1627" s="3">
        <v>249.0</v>
      </c>
      <c r="E1627" s="3">
        <v>676.5</v>
      </c>
      <c r="F1627" s="3">
        <v>213.9</v>
      </c>
      <c r="G1627" s="3">
        <v>4.0</v>
      </c>
      <c r="H1627" s="3">
        <v>40.3</v>
      </c>
    </row>
    <row r="1628" ht="15.75" customHeight="1">
      <c r="A1628" s="3" t="s">
        <v>53</v>
      </c>
      <c r="B1628" s="3">
        <v>2020.0</v>
      </c>
      <c r="C1628" s="3" t="s">
        <v>10</v>
      </c>
      <c r="D1628" s="3">
        <v>289.8</v>
      </c>
      <c r="E1628" s="3">
        <v>776.6</v>
      </c>
      <c r="F1628" s="3">
        <v>400.4</v>
      </c>
      <c r="G1628" s="3">
        <v>6.0</v>
      </c>
      <c r="H1628" s="3">
        <v>21.3</v>
      </c>
    </row>
    <row r="1629" ht="15.75" customHeight="1">
      <c r="A1629" s="3" t="s">
        <v>53</v>
      </c>
      <c r="B1629" s="3">
        <v>2020.0</v>
      </c>
      <c r="C1629" s="3" t="s">
        <v>11</v>
      </c>
      <c r="D1629" s="3">
        <v>263.9</v>
      </c>
      <c r="E1629" s="3">
        <v>636.2</v>
      </c>
      <c r="F1629" s="3">
        <v>382.9</v>
      </c>
      <c r="G1629" s="3">
        <v>8.0</v>
      </c>
      <c r="H1629" s="3">
        <v>48.2</v>
      </c>
    </row>
    <row r="1630" ht="15.75" customHeight="1">
      <c r="A1630" s="3" t="s">
        <v>53</v>
      </c>
      <c r="B1630" s="3">
        <v>2020.0</v>
      </c>
      <c r="C1630" s="3" t="s">
        <v>13</v>
      </c>
      <c r="D1630" s="3">
        <v>256.0</v>
      </c>
      <c r="E1630" s="3">
        <v>752.3</v>
      </c>
      <c r="F1630" s="3">
        <v>226.8</v>
      </c>
      <c r="G1630" s="3">
        <v>3.0</v>
      </c>
      <c r="H1630" s="3">
        <v>19.0</v>
      </c>
    </row>
    <row r="1631" ht="15.75" customHeight="1">
      <c r="A1631" s="3" t="s">
        <v>53</v>
      </c>
      <c r="B1631" s="3">
        <v>2020.0</v>
      </c>
      <c r="C1631" s="3" t="s">
        <v>14</v>
      </c>
      <c r="D1631" s="3">
        <v>309.8</v>
      </c>
      <c r="E1631" s="3">
        <v>754.1</v>
      </c>
      <c r="F1631" s="3">
        <v>308.1</v>
      </c>
      <c r="G1631" s="3">
        <v>8.0</v>
      </c>
      <c r="H1631" s="3">
        <v>2.0</v>
      </c>
    </row>
    <row r="1632" ht="15.75" customHeight="1">
      <c r="A1632" s="3" t="s">
        <v>53</v>
      </c>
      <c r="B1632" s="3">
        <v>2021.0</v>
      </c>
      <c r="C1632" s="3" t="s">
        <v>9</v>
      </c>
      <c r="D1632" s="3">
        <v>289.3</v>
      </c>
      <c r="E1632" s="3">
        <v>707.2</v>
      </c>
      <c r="F1632" s="3">
        <v>433.8</v>
      </c>
      <c r="G1632" s="3">
        <v>11.0</v>
      </c>
      <c r="H1632" s="3">
        <v>39.0</v>
      </c>
    </row>
    <row r="1633" ht="15.75" customHeight="1">
      <c r="A1633" s="3" t="s">
        <v>53</v>
      </c>
      <c r="B1633" s="3">
        <v>2021.0</v>
      </c>
      <c r="C1633" s="3" t="s">
        <v>10</v>
      </c>
      <c r="D1633" s="3">
        <v>297.1</v>
      </c>
      <c r="E1633" s="3">
        <v>838.8</v>
      </c>
      <c r="F1633" s="3">
        <v>259.1</v>
      </c>
      <c r="G1633" s="3">
        <v>4.0</v>
      </c>
      <c r="H1633" s="3">
        <v>1.2</v>
      </c>
    </row>
    <row r="1634" ht="15.75" customHeight="1">
      <c r="A1634" s="3" t="s">
        <v>53</v>
      </c>
      <c r="B1634" s="3">
        <v>2021.0</v>
      </c>
      <c r="C1634" s="3" t="s">
        <v>11</v>
      </c>
      <c r="D1634" s="3">
        <v>267.3</v>
      </c>
      <c r="E1634" s="3">
        <v>754.9</v>
      </c>
      <c r="F1634" s="3">
        <v>340.6</v>
      </c>
      <c r="G1634" s="3">
        <v>10.0</v>
      </c>
      <c r="H1634" s="3">
        <v>42.0</v>
      </c>
    </row>
    <row r="1635" ht="15.75" customHeight="1">
      <c r="A1635" s="3" t="s">
        <v>53</v>
      </c>
      <c r="B1635" s="3">
        <v>2021.0</v>
      </c>
      <c r="C1635" s="3" t="s">
        <v>13</v>
      </c>
      <c r="D1635" s="3">
        <v>278.2</v>
      </c>
      <c r="E1635" s="3">
        <v>637.0</v>
      </c>
      <c r="F1635" s="3">
        <v>272.0</v>
      </c>
      <c r="G1635" s="3">
        <v>7.0</v>
      </c>
      <c r="H1635" s="3">
        <v>7.6</v>
      </c>
    </row>
    <row r="1636" ht="15.75" customHeight="1">
      <c r="A1636" s="3" t="s">
        <v>53</v>
      </c>
      <c r="B1636" s="3">
        <v>2021.0</v>
      </c>
      <c r="C1636" s="3" t="s">
        <v>14</v>
      </c>
      <c r="D1636" s="3">
        <v>207.5</v>
      </c>
      <c r="E1636" s="3">
        <v>521.3</v>
      </c>
      <c r="F1636" s="3">
        <v>263.7</v>
      </c>
      <c r="G1636" s="3">
        <v>6.0</v>
      </c>
      <c r="H1636" s="3">
        <v>40.1</v>
      </c>
    </row>
    <row r="1637" ht="15.75" customHeight="1">
      <c r="A1637" s="3" t="s">
        <v>53</v>
      </c>
      <c r="B1637" s="3">
        <v>2022.0</v>
      </c>
      <c r="C1637" s="3" t="s">
        <v>9</v>
      </c>
      <c r="D1637" s="3">
        <v>366.3</v>
      </c>
      <c r="E1637" s="3">
        <v>1026.3</v>
      </c>
      <c r="F1637" s="3">
        <v>496.1</v>
      </c>
      <c r="G1637" s="3">
        <v>6.0</v>
      </c>
      <c r="H1637" s="3">
        <v>29.8</v>
      </c>
    </row>
    <row r="1638" ht="15.75" customHeight="1">
      <c r="A1638" s="3" t="s">
        <v>53</v>
      </c>
      <c r="B1638" s="3">
        <v>2022.0</v>
      </c>
      <c r="C1638" s="3" t="s">
        <v>10</v>
      </c>
      <c r="D1638" s="3">
        <v>353.9</v>
      </c>
      <c r="E1638" s="3">
        <v>707.8</v>
      </c>
      <c r="F1638" s="3">
        <v>372.9</v>
      </c>
      <c r="G1638" s="3">
        <v>8.0</v>
      </c>
      <c r="H1638" s="3">
        <v>36.1</v>
      </c>
    </row>
    <row r="1639" ht="15.75" customHeight="1">
      <c r="A1639" s="3" t="s">
        <v>53</v>
      </c>
      <c r="B1639" s="3">
        <v>2022.0</v>
      </c>
      <c r="C1639" s="3" t="s">
        <v>11</v>
      </c>
      <c r="D1639" s="3">
        <v>367.0</v>
      </c>
      <c r="E1639" s="3">
        <v>1009.1</v>
      </c>
      <c r="F1639" s="3">
        <v>328.5</v>
      </c>
      <c r="G1639" s="3">
        <v>5.0</v>
      </c>
      <c r="H1639" s="3">
        <v>46.7</v>
      </c>
    </row>
    <row r="1640" ht="15.75" customHeight="1">
      <c r="A1640" s="3" t="s">
        <v>53</v>
      </c>
      <c r="B1640" s="3">
        <v>2022.0</v>
      </c>
      <c r="C1640" s="3" t="s">
        <v>13</v>
      </c>
      <c r="D1640" s="3">
        <v>322.8</v>
      </c>
      <c r="E1640" s="3">
        <v>771.5</v>
      </c>
      <c r="F1640" s="3">
        <v>347.0</v>
      </c>
      <c r="G1640" s="3">
        <v>10.0</v>
      </c>
      <c r="H1640" s="3">
        <v>7.1</v>
      </c>
    </row>
    <row r="1641" ht="15.75" customHeight="1">
      <c r="A1641" s="3" t="s">
        <v>53</v>
      </c>
      <c r="B1641" s="3">
        <v>2022.0</v>
      </c>
      <c r="C1641" s="3" t="s">
        <v>14</v>
      </c>
      <c r="D1641" s="3">
        <v>349.5</v>
      </c>
      <c r="E1641" s="3">
        <v>909.9</v>
      </c>
      <c r="F1641" s="3">
        <v>355.9</v>
      </c>
      <c r="G1641" s="3">
        <v>10.0</v>
      </c>
      <c r="H1641" s="3">
        <v>47.7</v>
      </c>
    </row>
    <row r="1642" ht="15.75" customHeight="1">
      <c r="A1642" s="3" t="s">
        <v>53</v>
      </c>
      <c r="B1642" s="3">
        <v>2023.0</v>
      </c>
      <c r="C1642" s="3" t="s">
        <v>9</v>
      </c>
      <c r="D1642" s="3">
        <v>363.6</v>
      </c>
      <c r="E1642" s="3">
        <v>972.8</v>
      </c>
      <c r="F1642" s="3">
        <v>373.3</v>
      </c>
      <c r="G1642" s="3">
        <v>10.0</v>
      </c>
      <c r="H1642" s="3">
        <v>23.1</v>
      </c>
    </row>
    <row r="1643" ht="15.75" customHeight="1">
      <c r="A1643" s="3" t="s">
        <v>53</v>
      </c>
      <c r="B1643" s="3">
        <v>2023.0</v>
      </c>
      <c r="C1643" s="3" t="s">
        <v>10</v>
      </c>
      <c r="D1643" s="3">
        <v>290.5</v>
      </c>
      <c r="E1643" s="3">
        <v>718.0</v>
      </c>
      <c r="F1643" s="3">
        <v>399.0</v>
      </c>
      <c r="G1643" s="3">
        <v>3.0</v>
      </c>
      <c r="H1643" s="3">
        <v>43.0</v>
      </c>
    </row>
    <row r="1644" ht="15.75" customHeight="1">
      <c r="A1644" s="3" t="s">
        <v>53</v>
      </c>
      <c r="B1644" s="3">
        <v>2023.0</v>
      </c>
      <c r="C1644" s="3" t="s">
        <v>11</v>
      </c>
      <c r="D1644" s="3">
        <v>326.8</v>
      </c>
      <c r="E1644" s="3">
        <v>735.4</v>
      </c>
      <c r="F1644" s="3">
        <v>418.6</v>
      </c>
      <c r="G1644" s="3">
        <v>7.0</v>
      </c>
      <c r="H1644" s="3">
        <v>9.8</v>
      </c>
    </row>
    <row r="1645" ht="15.75" customHeight="1">
      <c r="A1645" s="3" t="s">
        <v>53</v>
      </c>
      <c r="B1645" s="3">
        <v>2023.0</v>
      </c>
      <c r="C1645" s="3" t="s">
        <v>13</v>
      </c>
      <c r="D1645" s="3">
        <v>385.2</v>
      </c>
      <c r="E1645" s="3">
        <v>1059.8</v>
      </c>
      <c r="F1645" s="3">
        <v>559.9</v>
      </c>
      <c r="G1645" s="3">
        <v>12.0</v>
      </c>
      <c r="H1645" s="3">
        <v>47.0</v>
      </c>
    </row>
    <row r="1646" ht="15.75" customHeight="1">
      <c r="A1646" s="3" t="s">
        <v>53</v>
      </c>
      <c r="B1646" s="3">
        <v>2023.0</v>
      </c>
      <c r="C1646" s="3" t="s">
        <v>14</v>
      </c>
      <c r="D1646" s="3">
        <v>386.2</v>
      </c>
      <c r="E1646" s="3">
        <v>961.6</v>
      </c>
      <c r="F1646" s="3">
        <v>317.6</v>
      </c>
      <c r="G1646" s="3">
        <v>11.0</v>
      </c>
      <c r="H1646" s="3">
        <v>1.3</v>
      </c>
    </row>
    <row r="1647" ht="15.75" customHeight="1">
      <c r="A1647" s="3" t="s">
        <v>53</v>
      </c>
      <c r="B1647" s="3">
        <v>2024.0</v>
      </c>
      <c r="C1647" s="3" t="s">
        <v>9</v>
      </c>
      <c r="D1647" s="3">
        <v>435.2</v>
      </c>
      <c r="E1647" s="3">
        <v>1057.2</v>
      </c>
      <c r="F1647" s="3">
        <v>642.5</v>
      </c>
      <c r="G1647" s="3">
        <v>12.0</v>
      </c>
      <c r="H1647" s="3">
        <v>46.9</v>
      </c>
    </row>
    <row r="1648" ht="15.75" customHeight="1">
      <c r="A1648" s="3" t="s">
        <v>53</v>
      </c>
      <c r="B1648" s="3">
        <v>2024.0</v>
      </c>
      <c r="C1648" s="3" t="s">
        <v>10</v>
      </c>
      <c r="D1648" s="3">
        <v>418.0</v>
      </c>
      <c r="E1648" s="3">
        <v>1117.1</v>
      </c>
      <c r="F1648" s="3">
        <v>336.0</v>
      </c>
      <c r="G1648" s="3">
        <v>5.0</v>
      </c>
      <c r="H1648" s="3">
        <v>48.8</v>
      </c>
    </row>
    <row r="1649" ht="15.75" customHeight="1">
      <c r="A1649" s="3" t="s">
        <v>53</v>
      </c>
      <c r="B1649" s="3">
        <v>2024.0</v>
      </c>
      <c r="C1649" s="3" t="s">
        <v>11</v>
      </c>
      <c r="D1649" s="3">
        <v>374.0</v>
      </c>
      <c r="E1649" s="3">
        <v>1082.8</v>
      </c>
      <c r="F1649" s="3">
        <v>471.8</v>
      </c>
      <c r="G1649" s="3">
        <v>6.0</v>
      </c>
      <c r="H1649" s="3">
        <v>44.8</v>
      </c>
    </row>
    <row r="1650" ht="15.75" customHeight="1">
      <c r="A1650" s="3" t="s">
        <v>53</v>
      </c>
      <c r="B1650" s="3">
        <v>2024.0</v>
      </c>
      <c r="C1650" s="3" t="s">
        <v>13</v>
      </c>
      <c r="D1650" s="3">
        <v>380.7</v>
      </c>
      <c r="E1650" s="3">
        <v>1139.7</v>
      </c>
      <c r="F1650" s="3">
        <v>307.7</v>
      </c>
      <c r="G1650" s="3">
        <v>11.0</v>
      </c>
      <c r="H1650" s="3">
        <v>24.0</v>
      </c>
    </row>
    <row r="1651" ht="15.75" customHeight="1">
      <c r="A1651" s="3" t="s">
        <v>53</v>
      </c>
      <c r="B1651" s="3">
        <v>2024.0</v>
      </c>
      <c r="C1651" s="3" t="s">
        <v>14</v>
      </c>
      <c r="D1651" s="3">
        <v>379.0</v>
      </c>
      <c r="E1651" s="3">
        <v>956.0</v>
      </c>
      <c r="F1651" s="3">
        <v>342.9</v>
      </c>
      <c r="G1651" s="3">
        <v>7.0</v>
      </c>
      <c r="H1651" s="3">
        <v>49.3</v>
      </c>
    </row>
    <row r="1652" ht="15.75" customHeight="1">
      <c r="A1652" s="3" t="s">
        <v>54</v>
      </c>
      <c r="B1652" s="3">
        <v>2015.0</v>
      </c>
      <c r="C1652" s="3" t="s">
        <v>9</v>
      </c>
      <c r="D1652" s="3">
        <v>124.3</v>
      </c>
      <c r="E1652" s="3">
        <v>313.9</v>
      </c>
      <c r="F1652" s="3">
        <v>141.0</v>
      </c>
      <c r="G1652" s="3">
        <v>7.0</v>
      </c>
      <c r="H1652" s="3">
        <v>26.8</v>
      </c>
    </row>
    <row r="1653" ht="15.75" customHeight="1">
      <c r="A1653" s="3" t="s">
        <v>54</v>
      </c>
      <c r="B1653" s="3">
        <v>2015.0</v>
      </c>
      <c r="C1653" s="3" t="s">
        <v>10</v>
      </c>
      <c r="D1653" s="3">
        <v>121.5</v>
      </c>
      <c r="E1653" s="3">
        <v>308.2</v>
      </c>
      <c r="F1653" s="3">
        <v>159.1</v>
      </c>
      <c r="G1653" s="3">
        <v>8.0</v>
      </c>
      <c r="H1653" s="3">
        <v>29.6</v>
      </c>
    </row>
    <row r="1654" ht="15.75" customHeight="1">
      <c r="A1654" s="3" t="s">
        <v>54</v>
      </c>
      <c r="B1654" s="3">
        <v>2015.0</v>
      </c>
      <c r="C1654" s="3" t="s">
        <v>11</v>
      </c>
      <c r="D1654" s="3">
        <v>163.4</v>
      </c>
      <c r="E1654" s="3">
        <v>449.8</v>
      </c>
      <c r="F1654" s="3">
        <v>188.4</v>
      </c>
      <c r="G1654" s="3">
        <v>8.0</v>
      </c>
      <c r="H1654" s="3">
        <v>46.9</v>
      </c>
    </row>
    <row r="1655" ht="15.75" customHeight="1">
      <c r="A1655" s="3" t="s">
        <v>54</v>
      </c>
      <c r="B1655" s="3">
        <v>2015.0</v>
      </c>
      <c r="C1655" s="3" t="s">
        <v>13</v>
      </c>
      <c r="D1655" s="3">
        <v>149.5</v>
      </c>
      <c r="E1655" s="3">
        <v>327.7</v>
      </c>
      <c r="F1655" s="3">
        <v>128.7</v>
      </c>
      <c r="G1655" s="3">
        <v>5.0</v>
      </c>
      <c r="H1655" s="3">
        <v>49.2</v>
      </c>
    </row>
    <row r="1656" ht="15.75" customHeight="1">
      <c r="A1656" s="3" t="s">
        <v>54</v>
      </c>
      <c r="B1656" s="3">
        <v>2015.0</v>
      </c>
      <c r="C1656" s="3" t="s">
        <v>14</v>
      </c>
      <c r="D1656" s="3">
        <v>201.6</v>
      </c>
      <c r="E1656" s="3">
        <v>519.9</v>
      </c>
      <c r="F1656" s="3">
        <v>197.9</v>
      </c>
      <c r="G1656" s="3">
        <v>4.0</v>
      </c>
      <c r="H1656" s="3">
        <v>29.8</v>
      </c>
    </row>
    <row r="1657" ht="15.75" customHeight="1">
      <c r="A1657" s="3" t="s">
        <v>54</v>
      </c>
      <c r="B1657" s="3">
        <v>2016.0</v>
      </c>
      <c r="C1657" s="3" t="s">
        <v>9</v>
      </c>
      <c r="D1657" s="3">
        <v>145.8</v>
      </c>
      <c r="E1657" s="3">
        <v>342.2</v>
      </c>
      <c r="F1657" s="3">
        <v>190.0</v>
      </c>
      <c r="G1657" s="3">
        <v>7.0</v>
      </c>
      <c r="H1657" s="3">
        <v>31.0</v>
      </c>
    </row>
    <row r="1658" ht="15.75" customHeight="1">
      <c r="A1658" s="3" t="s">
        <v>54</v>
      </c>
      <c r="B1658" s="3">
        <v>2016.0</v>
      </c>
      <c r="C1658" s="3" t="s">
        <v>10</v>
      </c>
      <c r="D1658" s="3">
        <v>86.9</v>
      </c>
      <c r="E1658" s="3">
        <v>204.1</v>
      </c>
      <c r="F1658" s="3">
        <v>99.2</v>
      </c>
      <c r="G1658" s="3">
        <v>4.0</v>
      </c>
      <c r="H1658" s="3">
        <v>19.8</v>
      </c>
    </row>
    <row r="1659" ht="15.75" customHeight="1">
      <c r="A1659" s="3" t="s">
        <v>54</v>
      </c>
      <c r="B1659" s="3">
        <v>2016.0</v>
      </c>
      <c r="C1659" s="3" t="s">
        <v>11</v>
      </c>
      <c r="D1659" s="3">
        <v>204.1</v>
      </c>
      <c r="E1659" s="3">
        <v>555.4</v>
      </c>
      <c r="F1659" s="3">
        <v>197.8</v>
      </c>
      <c r="G1659" s="3">
        <v>3.0</v>
      </c>
      <c r="H1659" s="3">
        <v>27.1</v>
      </c>
    </row>
    <row r="1660" ht="15.75" customHeight="1">
      <c r="A1660" s="3" t="s">
        <v>54</v>
      </c>
      <c r="B1660" s="3">
        <v>2016.0</v>
      </c>
      <c r="C1660" s="3" t="s">
        <v>13</v>
      </c>
      <c r="D1660" s="3">
        <v>137.5</v>
      </c>
      <c r="E1660" s="3">
        <v>321.5</v>
      </c>
      <c r="F1660" s="3">
        <v>177.7</v>
      </c>
      <c r="G1660" s="3">
        <v>7.0</v>
      </c>
      <c r="H1660" s="3">
        <v>17.7</v>
      </c>
    </row>
    <row r="1661" ht="15.75" customHeight="1">
      <c r="A1661" s="3" t="s">
        <v>54</v>
      </c>
      <c r="B1661" s="3">
        <v>2016.0</v>
      </c>
      <c r="C1661" s="3" t="s">
        <v>14</v>
      </c>
      <c r="D1661" s="3">
        <v>133.3</v>
      </c>
      <c r="E1661" s="3">
        <v>334.9</v>
      </c>
      <c r="F1661" s="3">
        <v>136.5</v>
      </c>
      <c r="G1661" s="3">
        <v>2.0</v>
      </c>
      <c r="H1661" s="3">
        <v>23.7</v>
      </c>
    </row>
    <row r="1662" ht="15.75" customHeight="1">
      <c r="A1662" s="3" t="s">
        <v>54</v>
      </c>
      <c r="B1662" s="3">
        <v>2017.0</v>
      </c>
      <c r="C1662" s="3" t="s">
        <v>9</v>
      </c>
      <c r="D1662" s="3">
        <v>156.6</v>
      </c>
      <c r="E1662" s="3">
        <v>340.1</v>
      </c>
      <c r="F1662" s="3">
        <v>136.5</v>
      </c>
      <c r="G1662" s="3">
        <v>7.0</v>
      </c>
      <c r="H1662" s="3">
        <v>45.9</v>
      </c>
    </row>
    <row r="1663" ht="15.75" customHeight="1">
      <c r="A1663" s="3" t="s">
        <v>54</v>
      </c>
      <c r="B1663" s="3">
        <v>2017.0</v>
      </c>
      <c r="C1663" s="3" t="s">
        <v>10</v>
      </c>
      <c r="D1663" s="3">
        <v>159.5</v>
      </c>
      <c r="E1663" s="3">
        <v>439.2</v>
      </c>
      <c r="F1663" s="3">
        <v>129.9</v>
      </c>
      <c r="G1663" s="3">
        <v>2.0</v>
      </c>
      <c r="H1663" s="3">
        <v>34.5</v>
      </c>
    </row>
    <row r="1664" ht="15.75" customHeight="1">
      <c r="A1664" s="3" t="s">
        <v>54</v>
      </c>
      <c r="B1664" s="3">
        <v>2017.0</v>
      </c>
      <c r="C1664" s="3" t="s">
        <v>11</v>
      </c>
      <c r="D1664" s="3">
        <v>201.1</v>
      </c>
      <c r="E1664" s="3">
        <v>405.3</v>
      </c>
      <c r="F1664" s="3">
        <v>251.8</v>
      </c>
      <c r="G1664" s="3">
        <v>9.0</v>
      </c>
      <c r="H1664" s="3">
        <v>10.8</v>
      </c>
    </row>
    <row r="1665" ht="15.75" customHeight="1">
      <c r="A1665" s="3" t="s">
        <v>54</v>
      </c>
      <c r="B1665" s="3">
        <v>2017.0</v>
      </c>
      <c r="C1665" s="3" t="s">
        <v>13</v>
      </c>
      <c r="D1665" s="3">
        <v>188.6</v>
      </c>
      <c r="E1665" s="3">
        <v>494.9</v>
      </c>
      <c r="F1665" s="3">
        <v>211.7</v>
      </c>
      <c r="G1665" s="3">
        <v>5.0</v>
      </c>
      <c r="H1665" s="3">
        <v>24.8</v>
      </c>
    </row>
    <row r="1666" ht="15.75" customHeight="1">
      <c r="A1666" s="3" t="s">
        <v>54</v>
      </c>
      <c r="B1666" s="3">
        <v>2017.0</v>
      </c>
      <c r="C1666" s="3" t="s">
        <v>14</v>
      </c>
      <c r="D1666" s="3">
        <v>205.8</v>
      </c>
      <c r="E1666" s="3">
        <v>528.3</v>
      </c>
      <c r="F1666" s="3">
        <v>244.4</v>
      </c>
      <c r="G1666" s="3">
        <v>8.0</v>
      </c>
      <c r="H1666" s="3">
        <v>45.8</v>
      </c>
    </row>
    <row r="1667" ht="15.75" customHeight="1">
      <c r="A1667" s="3" t="s">
        <v>54</v>
      </c>
      <c r="B1667" s="3">
        <v>2018.0</v>
      </c>
      <c r="C1667" s="3" t="s">
        <v>9</v>
      </c>
      <c r="D1667" s="3">
        <v>212.9</v>
      </c>
      <c r="E1667" s="3">
        <v>510.6</v>
      </c>
      <c r="F1667" s="3">
        <v>263.5</v>
      </c>
      <c r="G1667" s="3">
        <v>4.0</v>
      </c>
      <c r="H1667" s="3">
        <v>26.4</v>
      </c>
    </row>
    <row r="1668" ht="15.75" customHeight="1">
      <c r="A1668" s="3" t="s">
        <v>54</v>
      </c>
      <c r="B1668" s="3">
        <v>2018.0</v>
      </c>
      <c r="C1668" s="3" t="s">
        <v>10</v>
      </c>
      <c r="D1668" s="3">
        <v>191.9</v>
      </c>
      <c r="E1668" s="3">
        <v>417.9</v>
      </c>
      <c r="F1668" s="3">
        <v>217.7</v>
      </c>
      <c r="G1668" s="3">
        <v>5.0</v>
      </c>
      <c r="H1668" s="3">
        <v>25.0</v>
      </c>
    </row>
    <row r="1669" ht="15.75" customHeight="1">
      <c r="A1669" s="3" t="s">
        <v>54</v>
      </c>
      <c r="B1669" s="3">
        <v>2018.0</v>
      </c>
      <c r="C1669" s="3" t="s">
        <v>11</v>
      </c>
      <c r="D1669" s="3">
        <v>233.4</v>
      </c>
      <c r="E1669" s="3">
        <v>564.1</v>
      </c>
      <c r="F1669" s="3">
        <v>224.2</v>
      </c>
      <c r="G1669" s="3">
        <v>5.0</v>
      </c>
      <c r="H1669" s="3">
        <v>45.2</v>
      </c>
    </row>
    <row r="1670" ht="15.75" customHeight="1">
      <c r="A1670" s="3" t="s">
        <v>54</v>
      </c>
      <c r="B1670" s="3">
        <v>2018.0</v>
      </c>
      <c r="C1670" s="3" t="s">
        <v>13</v>
      </c>
      <c r="D1670" s="3">
        <v>234.9</v>
      </c>
      <c r="E1670" s="3">
        <v>566.5</v>
      </c>
      <c r="F1670" s="3">
        <v>273.2</v>
      </c>
      <c r="G1670" s="3">
        <v>10.0</v>
      </c>
      <c r="H1670" s="3">
        <v>7.2</v>
      </c>
    </row>
    <row r="1671" ht="15.75" customHeight="1">
      <c r="A1671" s="3" t="s">
        <v>54</v>
      </c>
      <c r="B1671" s="3">
        <v>2018.0</v>
      </c>
      <c r="C1671" s="3" t="s">
        <v>14</v>
      </c>
      <c r="D1671" s="3">
        <v>234.1</v>
      </c>
      <c r="E1671" s="3">
        <v>563.0</v>
      </c>
      <c r="F1671" s="3">
        <v>260.3</v>
      </c>
      <c r="G1671" s="3">
        <v>10.0</v>
      </c>
      <c r="H1671" s="3">
        <v>23.4</v>
      </c>
    </row>
    <row r="1672" ht="15.75" customHeight="1">
      <c r="A1672" s="3" t="s">
        <v>54</v>
      </c>
      <c r="B1672" s="3">
        <v>2019.0</v>
      </c>
      <c r="C1672" s="3" t="s">
        <v>9</v>
      </c>
      <c r="D1672" s="3">
        <v>187.5</v>
      </c>
      <c r="E1672" s="3">
        <v>536.5</v>
      </c>
      <c r="F1672" s="3">
        <v>221.2</v>
      </c>
      <c r="G1672" s="3">
        <v>8.0</v>
      </c>
      <c r="H1672" s="3">
        <v>21.9</v>
      </c>
    </row>
    <row r="1673" ht="15.75" customHeight="1">
      <c r="A1673" s="3" t="s">
        <v>54</v>
      </c>
      <c r="B1673" s="3">
        <v>2019.0</v>
      </c>
      <c r="C1673" s="3" t="s">
        <v>10</v>
      </c>
      <c r="D1673" s="3">
        <v>212.0</v>
      </c>
      <c r="E1673" s="3">
        <v>578.3</v>
      </c>
      <c r="F1673" s="3">
        <v>270.4</v>
      </c>
      <c r="G1673" s="3">
        <v>9.0</v>
      </c>
      <c r="H1673" s="3">
        <v>27.4</v>
      </c>
    </row>
    <row r="1674" ht="15.75" customHeight="1">
      <c r="A1674" s="3" t="s">
        <v>54</v>
      </c>
      <c r="B1674" s="3">
        <v>2019.0</v>
      </c>
      <c r="C1674" s="3" t="s">
        <v>11</v>
      </c>
      <c r="D1674" s="3">
        <v>260.5</v>
      </c>
      <c r="E1674" s="3">
        <v>650.0</v>
      </c>
      <c r="F1674" s="3">
        <v>363.3</v>
      </c>
      <c r="G1674" s="3">
        <v>6.0</v>
      </c>
      <c r="H1674" s="3">
        <v>1.7</v>
      </c>
    </row>
    <row r="1675" ht="15.75" customHeight="1">
      <c r="A1675" s="3" t="s">
        <v>54</v>
      </c>
      <c r="B1675" s="3">
        <v>2019.0</v>
      </c>
      <c r="C1675" s="3" t="s">
        <v>13</v>
      </c>
      <c r="D1675" s="3">
        <v>172.6</v>
      </c>
      <c r="E1675" s="3">
        <v>453.9</v>
      </c>
      <c r="F1675" s="3">
        <v>174.4</v>
      </c>
      <c r="G1675" s="3">
        <v>5.0</v>
      </c>
      <c r="H1675" s="3">
        <v>34.3</v>
      </c>
    </row>
    <row r="1676" ht="15.75" customHeight="1">
      <c r="A1676" s="3" t="s">
        <v>54</v>
      </c>
      <c r="B1676" s="3">
        <v>2019.0</v>
      </c>
      <c r="C1676" s="3" t="s">
        <v>14</v>
      </c>
      <c r="D1676" s="3">
        <v>296.8</v>
      </c>
      <c r="E1676" s="3">
        <v>886.1</v>
      </c>
      <c r="F1676" s="3">
        <v>376.0</v>
      </c>
      <c r="G1676" s="3">
        <v>9.0</v>
      </c>
      <c r="H1676" s="3">
        <v>12.5</v>
      </c>
    </row>
    <row r="1677" ht="15.75" customHeight="1">
      <c r="A1677" s="3" t="s">
        <v>54</v>
      </c>
      <c r="B1677" s="3">
        <v>2020.0</v>
      </c>
      <c r="C1677" s="3" t="s">
        <v>9</v>
      </c>
      <c r="D1677" s="3">
        <v>272.0</v>
      </c>
      <c r="E1677" s="3">
        <v>706.7</v>
      </c>
      <c r="F1677" s="3">
        <v>257.9</v>
      </c>
      <c r="G1677" s="3">
        <v>5.0</v>
      </c>
      <c r="H1677" s="3">
        <v>16.8</v>
      </c>
    </row>
    <row r="1678" ht="15.75" customHeight="1">
      <c r="A1678" s="3" t="s">
        <v>54</v>
      </c>
      <c r="B1678" s="3">
        <v>2020.0</v>
      </c>
      <c r="C1678" s="3" t="s">
        <v>10</v>
      </c>
      <c r="D1678" s="3">
        <v>337.8</v>
      </c>
      <c r="E1678" s="3">
        <v>837.0</v>
      </c>
      <c r="F1678" s="3">
        <v>389.7</v>
      </c>
      <c r="G1678" s="3">
        <v>4.0</v>
      </c>
      <c r="H1678" s="3">
        <v>17.2</v>
      </c>
    </row>
    <row r="1679" ht="15.75" customHeight="1">
      <c r="A1679" s="3" t="s">
        <v>54</v>
      </c>
      <c r="B1679" s="3">
        <v>2020.0</v>
      </c>
      <c r="C1679" s="3" t="s">
        <v>11</v>
      </c>
      <c r="D1679" s="3">
        <v>261.2</v>
      </c>
      <c r="E1679" s="3">
        <v>671.3</v>
      </c>
      <c r="F1679" s="3">
        <v>374.6</v>
      </c>
      <c r="G1679" s="3">
        <v>9.0</v>
      </c>
      <c r="H1679" s="3">
        <v>35.3</v>
      </c>
    </row>
    <row r="1680" ht="15.75" customHeight="1">
      <c r="A1680" s="3" t="s">
        <v>54</v>
      </c>
      <c r="B1680" s="3">
        <v>2020.0</v>
      </c>
      <c r="C1680" s="3" t="s">
        <v>13</v>
      </c>
      <c r="D1680" s="3">
        <v>230.7</v>
      </c>
      <c r="E1680" s="3">
        <v>526.7</v>
      </c>
      <c r="F1680" s="3">
        <v>223.1</v>
      </c>
      <c r="G1680" s="3">
        <v>10.0</v>
      </c>
      <c r="H1680" s="3">
        <v>1.9</v>
      </c>
    </row>
    <row r="1681" ht="15.75" customHeight="1">
      <c r="A1681" s="3" t="s">
        <v>54</v>
      </c>
      <c r="B1681" s="3">
        <v>2020.0</v>
      </c>
      <c r="C1681" s="3" t="s">
        <v>14</v>
      </c>
      <c r="D1681" s="3">
        <v>288.8</v>
      </c>
      <c r="E1681" s="3">
        <v>714.3</v>
      </c>
      <c r="F1681" s="3">
        <v>366.9</v>
      </c>
      <c r="G1681" s="3">
        <v>4.0</v>
      </c>
      <c r="H1681" s="3">
        <v>10.5</v>
      </c>
    </row>
    <row r="1682" ht="15.75" customHeight="1">
      <c r="A1682" s="3" t="s">
        <v>54</v>
      </c>
      <c r="B1682" s="3">
        <v>2021.0</v>
      </c>
      <c r="C1682" s="3" t="s">
        <v>9</v>
      </c>
      <c r="D1682" s="3">
        <v>216.8</v>
      </c>
      <c r="E1682" s="3">
        <v>620.2</v>
      </c>
      <c r="F1682" s="3">
        <v>245.4</v>
      </c>
      <c r="G1682" s="3">
        <v>8.0</v>
      </c>
      <c r="H1682" s="3">
        <v>48.5</v>
      </c>
    </row>
    <row r="1683" ht="15.75" customHeight="1">
      <c r="A1683" s="3" t="s">
        <v>54</v>
      </c>
      <c r="B1683" s="3">
        <v>2021.0</v>
      </c>
      <c r="C1683" s="3" t="s">
        <v>10</v>
      </c>
      <c r="D1683" s="3">
        <v>307.6</v>
      </c>
      <c r="E1683" s="3">
        <v>853.1</v>
      </c>
      <c r="F1683" s="3">
        <v>317.7</v>
      </c>
      <c r="G1683" s="3">
        <v>4.0</v>
      </c>
      <c r="H1683" s="3">
        <v>1.8</v>
      </c>
    </row>
    <row r="1684" ht="15.75" customHeight="1">
      <c r="A1684" s="3" t="s">
        <v>54</v>
      </c>
      <c r="B1684" s="3">
        <v>2021.0</v>
      </c>
      <c r="C1684" s="3" t="s">
        <v>11</v>
      </c>
      <c r="D1684" s="3">
        <v>222.2</v>
      </c>
      <c r="E1684" s="3">
        <v>550.2</v>
      </c>
      <c r="F1684" s="3">
        <v>227.3</v>
      </c>
      <c r="G1684" s="3">
        <v>8.0</v>
      </c>
      <c r="H1684" s="3">
        <v>26.0</v>
      </c>
    </row>
    <row r="1685" ht="15.75" customHeight="1">
      <c r="A1685" s="3" t="s">
        <v>54</v>
      </c>
      <c r="B1685" s="3">
        <v>2021.0</v>
      </c>
      <c r="C1685" s="3" t="s">
        <v>13</v>
      </c>
      <c r="D1685" s="3">
        <v>275.1</v>
      </c>
      <c r="E1685" s="3">
        <v>594.1</v>
      </c>
      <c r="F1685" s="3">
        <v>371.6</v>
      </c>
      <c r="G1685" s="3">
        <v>11.0</v>
      </c>
      <c r="H1685" s="3">
        <v>2.0</v>
      </c>
    </row>
    <row r="1686" ht="15.75" customHeight="1">
      <c r="A1686" s="3" t="s">
        <v>54</v>
      </c>
      <c r="B1686" s="3">
        <v>2021.0</v>
      </c>
      <c r="C1686" s="3" t="s">
        <v>14</v>
      </c>
      <c r="D1686" s="3">
        <v>279.9</v>
      </c>
      <c r="E1686" s="3">
        <v>821.6</v>
      </c>
      <c r="F1686" s="3">
        <v>226.2</v>
      </c>
      <c r="G1686" s="3">
        <v>10.0</v>
      </c>
      <c r="H1686" s="3">
        <v>44.8</v>
      </c>
    </row>
    <row r="1687" ht="15.75" customHeight="1">
      <c r="A1687" s="3" t="s">
        <v>54</v>
      </c>
      <c r="B1687" s="3">
        <v>2022.0</v>
      </c>
      <c r="C1687" s="3" t="s">
        <v>9</v>
      </c>
      <c r="D1687" s="3">
        <v>287.3</v>
      </c>
      <c r="E1687" s="3">
        <v>770.0</v>
      </c>
      <c r="F1687" s="3">
        <v>364.4</v>
      </c>
      <c r="G1687" s="3">
        <v>3.0</v>
      </c>
      <c r="H1687" s="3">
        <v>46.4</v>
      </c>
    </row>
    <row r="1688" ht="15.75" customHeight="1">
      <c r="A1688" s="3" t="s">
        <v>54</v>
      </c>
      <c r="B1688" s="3">
        <v>2022.0</v>
      </c>
      <c r="C1688" s="3" t="s">
        <v>10</v>
      </c>
      <c r="D1688" s="3">
        <v>307.9</v>
      </c>
      <c r="E1688" s="3">
        <v>738.3</v>
      </c>
      <c r="F1688" s="3">
        <v>313.2</v>
      </c>
      <c r="G1688" s="3">
        <v>6.0</v>
      </c>
      <c r="H1688" s="3">
        <v>49.0</v>
      </c>
    </row>
    <row r="1689" ht="15.75" customHeight="1">
      <c r="A1689" s="3" t="s">
        <v>54</v>
      </c>
      <c r="B1689" s="3">
        <v>2022.0</v>
      </c>
      <c r="C1689" s="3" t="s">
        <v>11</v>
      </c>
      <c r="D1689" s="3">
        <v>276.5</v>
      </c>
      <c r="E1689" s="3">
        <v>690.3</v>
      </c>
      <c r="F1689" s="3">
        <v>229.2</v>
      </c>
      <c r="G1689" s="3">
        <v>6.0</v>
      </c>
      <c r="H1689" s="3">
        <v>3.4</v>
      </c>
    </row>
    <row r="1690" ht="15.75" customHeight="1">
      <c r="A1690" s="3" t="s">
        <v>54</v>
      </c>
      <c r="B1690" s="3">
        <v>2022.0</v>
      </c>
      <c r="C1690" s="3" t="s">
        <v>13</v>
      </c>
      <c r="D1690" s="3">
        <v>281.1</v>
      </c>
      <c r="E1690" s="3">
        <v>677.3</v>
      </c>
      <c r="F1690" s="3">
        <v>298.6</v>
      </c>
      <c r="G1690" s="3">
        <v>3.0</v>
      </c>
      <c r="H1690" s="3">
        <v>37.7</v>
      </c>
    </row>
    <row r="1691" ht="15.75" customHeight="1">
      <c r="A1691" s="3" t="s">
        <v>54</v>
      </c>
      <c r="B1691" s="3">
        <v>2022.0</v>
      </c>
      <c r="C1691" s="3" t="s">
        <v>14</v>
      </c>
      <c r="D1691" s="3">
        <v>256.0</v>
      </c>
      <c r="E1691" s="3">
        <v>540.0</v>
      </c>
      <c r="F1691" s="3">
        <v>224.2</v>
      </c>
      <c r="G1691" s="3">
        <v>7.0</v>
      </c>
      <c r="H1691" s="3">
        <v>9.0</v>
      </c>
    </row>
    <row r="1692" ht="15.75" customHeight="1">
      <c r="A1692" s="3" t="s">
        <v>54</v>
      </c>
      <c r="B1692" s="3">
        <v>2023.0</v>
      </c>
      <c r="C1692" s="3" t="s">
        <v>9</v>
      </c>
      <c r="D1692" s="3">
        <v>335.4</v>
      </c>
      <c r="E1692" s="3">
        <v>891.4</v>
      </c>
      <c r="F1692" s="3">
        <v>475.7</v>
      </c>
      <c r="G1692" s="3">
        <v>9.0</v>
      </c>
      <c r="H1692" s="3">
        <v>24.7</v>
      </c>
    </row>
    <row r="1693" ht="15.75" customHeight="1">
      <c r="A1693" s="3" t="s">
        <v>54</v>
      </c>
      <c r="B1693" s="3">
        <v>2023.0</v>
      </c>
      <c r="C1693" s="3" t="s">
        <v>10</v>
      </c>
      <c r="D1693" s="3">
        <v>360.2</v>
      </c>
      <c r="E1693" s="3">
        <v>916.3</v>
      </c>
      <c r="F1693" s="3">
        <v>327.1</v>
      </c>
      <c r="G1693" s="3">
        <v>9.0</v>
      </c>
      <c r="H1693" s="3">
        <v>42.4</v>
      </c>
    </row>
    <row r="1694" ht="15.75" customHeight="1">
      <c r="A1694" s="3" t="s">
        <v>54</v>
      </c>
      <c r="B1694" s="3">
        <v>2023.0</v>
      </c>
      <c r="C1694" s="3" t="s">
        <v>11</v>
      </c>
      <c r="D1694" s="3">
        <v>323.9</v>
      </c>
      <c r="E1694" s="3">
        <v>971.1</v>
      </c>
      <c r="F1694" s="3">
        <v>317.8</v>
      </c>
      <c r="G1694" s="3">
        <v>12.0</v>
      </c>
      <c r="H1694" s="3">
        <v>45.5</v>
      </c>
    </row>
    <row r="1695" ht="15.75" customHeight="1">
      <c r="A1695" s="3" t="s">
        <v>54</v>
      </c>
      <c r="B1695" s="3">
        <v>2023.0</v>
      </c>
      <c r="C1695" s="3" t="s">
        <v>13</v>
      </c>
      <c r="D1695" s="3">
        <v>368.2</v>
      </c>
      <c r="E1695" s="3">
        <v>738.1</v>
      </c>
      <c r="F1695" s="3">
        <v>460.9</v>
      </c>
      <c r="G1695" s="3">
        <v>5.0</v>
      </c>
      <c r="H1695" s="3">
        <v>14.8</v>
      </c>
    </row>
    <row r="1696" ht="15.75" customHeight="1">
      <c r="A1696" s="3" t="s">
        <v>54</v>
      </c>
      <c r="B1696" s="3">
        <v>2023.0</v>
      </c>
      <c r="C1696" s="3" t="s">
        <v>14</v>
      </c>
      <c r="D1696" s="3">
        <v>370.0</v>
      </c>
      <c r="E1696" s="3">
        <v>936.9</v>
      </c>
      <c r="F1696" s="3">
        <v>419.8</v>
      </c>
      <c r="G1696" s="3">
        <v>8.0</v>
      </c>
      <c r="H1696" s="3">
        <v>35.6</v>
      </c>
    </row>
    <row r="1697" ht="15.75" customHeight="1">
      <c r="A1697" s="3" t="s">
        <v>54</v>
      </c>
      <c r="B1697" s="3">
        <v>2024.0</v>
      </c>
      <c r="C1697" s="3" t="s">
        <v>9</v>
      </c>
      <c r="D1697" s="3">
        <v>365.6</v>
      </c>
      <c r="E1697" s="3">
        <v>885.7</v>
      </c>
      <c r="F1697" s="3">
        <v>497.3</v>
      </c>
      <c r="G1697" s="3">
        <v>4.0</v>
      </c>
      <c r="H1697" s="3">
        <v>39.5</v>
      </c>
    </row>
    <row r="1698" ht="15.75" customHeight="1">
      <c r="A1698" s="3" t="s">
        <v>54</v>
      </c>
      <c r="B1698" s="3">
        <v>2024.0</v>
      </c>
      <c r="C1698" s="3" t="s">
        <v>10</v>
      </c>
      <c r="D1698" s="3">
        <v>394.2</v>
      </c>
      <c r="E1698" s="3">
        <v>880.1</v>
      </c>
      <c r="F1698" s="3">
        <v>450.9</v>
      </c>
      <c r="G1698" s="3">
        <v>8.0</v>
      </c>
      <c r="H1698" s="3">
        <v>15.2</v>
      </c>
    </row>
    <row r="1699" ht="15.75" customHeight="1">
      <c r="A1699" s="3" t="s">
        <v>54</v>
      </c>
      <c r="B1699" s="3">
        <v>2024.0</v>
      </c>
      <c r="C1699" s="3" t="s">
        <v>11</v>
      </c>
      <c r="D1699" s="3">
        <v>364.5</v>
      </c>
      <c r="E1699" s="3">
        <v>940.5</v>
      </c>
      <c r="F1699" s="3">
        <v>314.3</v>
      </c>
      <c r="G1699" s="3">
        <v>5.0</v>
      </c>
      <c r="H1699" s="3">
        <v>2.9</v>
      </c>
    </row>
    <row r="1700" ht="15.75" customHeight="1">
      <c r="A1700" s="3" t="s">
        <v>54</v>
      </c>
      <c r="B1700" s="3">
        <v>2024.0</v>
      </c>
      <c r="C1700" s="3" t="s">
        <v>13</v>
      </c>
      <c r="D1700" s="3">
        <v>358.9</v>
      </c>
      <c r="E1700" s="3">
        <v>843.5</v>
      </c>
      <c r="F1700" s="3">
        <v>502.8</v>
      </c>
      <c r="G1700" s="3">
        <v>9.0</v>
      </c>
      <c r="H1700" s="3">
        <v>37.2</v>
      </c>
    </row>
    <row r="1701" ht="15.75" customHeight="1">
      <c r="A1701" s="3" t="s">
        <v>54</v>
      </c>
      <c r="B1701" s="3">
        <v>2024.0</v>
      </c>
      <c r="C1701" s="3" t="s">
        <v>14</v>
      </c>
      <c r="D1701" s="3">
        <v>379.0</v>
      </c>
      <c r="E1701" s="3">
        <v>737.7</v>
      </c>
      <c r="F1701" s="3">
        <v>445.4</v>
      </c>
      <c r="G1701" s="3">
        <v>4.0</v>
      </c>
      <c r="H1701" s="3">
        <v>22.3</v>
      </c>
    </row>
    <row r="1702" ht="15.75" customHeight="1">
      <c r="A1702" s="3" t="s">
        <v>55</v>
      </c>
      <c r="B1702" s="3">
        <v>2015.0</v>
      </c>
      <c r="C1702" s="3" t="s">
        <v>9</v>
      </c>
      <c r="D1702" s="3">
        <v>189.3</v>
      </c>
      <c r="E1702" s="3">
        <v>416.6</v>
      </c>
      <c r="F1702" s="3">
        <v>189.1</v>
      </c>
      <c r="G1702" s="3">
        <v>9.0</v>
      </c>
      <c r="H1702" s="3">
        <v>24.0</v>
      </c>
    </row>
    <row r="1703" ht="15.75" customHeight="1">
      <c r="A1703" s="3" t="s">
        <v>55</v>
      </c>
      <c r="B1703" s="3">
        <v>2015.0</v>
      </c>
      <c r="C1703" s="3" t="s">
        <v>10</v>
      </c>
      <c r="D1703" s="3">
        <v>79.7</v>
      </c>
      <c r="E1703" s="3">
        <v>165.2</v>
      </c>
      <c r="F1703" s="3">
        <v>107.6</v>
      </c>
      <c r="G1703" s="3">
        <v>8.0</v>
      </c>
      <c r="H1703" s="3">
        <v>5.9</v>
      </c>
    </row>
    <row r="1704" ht="15.75" customHeight="1">
      <c r="A1704" s="3" t="s">
        <v>55</v>
      </c>
      <c r="B1704" s="3">
        <v>2015.0</v>
      </c>
      <c r="C1704" s="3" t="s">
        <v>11</v>
      </c>
      <c r="D1704" s="3">
        <v>165.4</v>
      </c>
      <c r="E1704" s="3">
        <v>340.3</v>
      </c>
      <c r="F1704" s="3">
        <v>222.3</v>
      </c>
      <c r="G1704" s="3">
        <v>2.0</v>
      </c>
      <c r="H1704" s="3">
        <v>1.1</v>
      </c>
    </row>
    <row r="1705" ht="15.75" customHeight="1">
      <c r="A1705" s="3" t="s">
        <v>55</v>
      </c>
      <c r="B1705" s="3">
        <v>2015.0</v>
      </c>
      <c r="C1705" s="3" t="s">
        <v>13</v>
      </c>
      <c r="D1705" s="3">
        <v>161.7</v>
      </c>
      <c r="E1705" s="3">
        <v>395.9</v>
      </c>
      <c r="F1705" s="3">
        <v>168.6</v>
      </c>
      <c r="G1705" s="3">
        <v>5.0</v>
      </c>
      <c r="H1705" s="3">
        <v>30.5</v>
      </c>
    </row>
    <row r="1706" ht="15.75" customHeight="1">
      <c r="A1706" s="3" t="s">
        <v>55</v>
      </c>
      <c r="B1706" s="3">
        <v>2015.0</v>
      </c>
      <c r="C1706" s="3" t="s">
        <v>14</v>
      </c>
      <c r="D1706" s="3">
        <v>122.7</v>
      </c>
      <c r="E1706" s="3">
        <v>307.2</v>
      </c>
      <c r="F1706" s="3">
        <v>138.1</v>
      </c>
      <c r="G1706" s="3">
        <v>4.0</v>
      </c>
      <c r="H1706" s="3">
        <v>30.0</v>
      </c>
    </row>
    <row r="1707" ht="15.75" customHeight="1">
      <c r="A1707" s="3" t="s">
        <v>55</v>
      </c>
      <c r="B1707" s="3">
        <v>2016.0</v>
      </c>
      <c r="C1707" s="3" t="s">
        <v>9</v>
      </c>
      <c r="D1707" s="3">
        <v>115.4</v>
      </c>
      <c r="E1707" s="3">
        <v>237.0</v>
      </c>
      <c r="F1707" s="3">
        <v>112.0</v>
      </c>
      <c r="G1707" s="3">
        <v>4.0</v>
      </c>
      <c r="H1707" s="3">
        <v>39.1</v>
      </c>
    </row>
    <row r="1708" ht="15.75" customHeight="1">
      <c r="A1708" s="3" t="s">
        <v>55</v>
      </c>
      <c r="B1708" s="3">
        <v>2016.0</v>
      </c>
      <c r="C1708" s="3" t="s">
        <v>10</v>
      </c>
      <c r="D1708" s="3">
        <v>138.2</v>
      </c>
      <c r="E1708" s="3">
        <v>336.6</v>
      </c>
      <c r="F1708" s="3">
        <v>144.1</v>
      </c>
      <c r="G1708" s="3">
        <v>4.0</v>
      </c>
      <c r="H1708" s="3">
        <v>41.4</v>
      </c>
    </row>
    <row r="1709" ht="15.75" customHeight="1">
      <c r="A1709" s="3" t="s">
        <v>55</v>
      </c>
      <c r="B1709" s="3">
        <v>2016.0</v>
      </c>
      <c r="C1709" s="3" t="s">
        <v>11</v>
      </c>
      <c r="D1709" s="3">
        <v>196.5</v>
      </c>
      <c r="E1709" s="3">
        <v>504.8</v>
      </c>
      <c r="F1709" s="3">
        <v>191.0</v>
      </c>
      <c r="G1709" s="3">
        <v>8.0</v>
      </c>
      <c r="H1709" s="3">
        <v>27.5</v>
      </c>
    </row>
    <row r="1710" ht="15.75" customHeight="1">
      <c r="A1710" s="3" t="s">
        <v>55</v>
      </c>
      <c r="B1710" s="3">
        <v>2016.0</v>
      </c>
      <c r="C1710" s="3" t="s">
        <v>13</v>
      </c>
      <c r="D1710" s="3">
        <v>146.4</v>
      </c>
      <c r="E1710" s="3">
        <v>417.0</v>
      </c>
      <c r="F1710" s="3">
        <v>151.3</v>
      </c>
      <c r="G1710" s="3">
        <v>10.0</v>
      </c>
      <c r="H1710" s="3">
        <v>32.7</v>
      </c>
    </row>
    <row r="1711" ht="15.75" customHeight="1">
      <c r="A1711" s="3" t="s">
        <v>55</v>
      </c>
      <c r="B1711" s="3">
        <v>2016.0</v>
      </c>
      <c r="C1711" s="3" t="s">
        <v>14</v>
      </c>
      <c r="D1711" s="3">
        <v>131.7</v>
      </c>
      <c r="E1711" s="3">
        <v>345.9</v>
      </c>
      <c r="F1711" s="3">
        <v>131.8</v>
      </c>
      <c r="G1711" s="3">
        <v>7.0</v>
      </c>
      <c r="H1711" s="3">
        <v>14.7</v>
      </c>
    </row>
    <row r="1712" ht="15.75" customHeight="1">
      <c r="A1712" s="3" t="s">
        <v>55</v>
      </c>
      <c r="B1712" s="3">
        <v>2017.0</v>
      </c>
      <c r="C1712" s="3" t="s">
        <v>9</v>
      </c>
      <c r="D1712" s="3">
        <v>162.4</v>
      </c>
      <c r="E1712" s="3">
        <v>457.6</v>
      </c>
      <c r="F1712" s="3">
        <v>194.5</v>
      </c>
      <c r="G1712" s="3">
        <v>3.0</v>
      </c>
      <c r="H1712" s="3">
        <v>9.7</v>
      </c>
    </row>
    <row r="1713" ht="15.75" customHeight="1">
      <c r="A1713" s="3" t="s">
        <v>55</v>
      </c>
      <c r="B1713" s="3">
        <v>2017.0</v>
      </c>
      <c r="C1713" s="3" t="s">
        <v>10</v>
      </c>
      <c r="D1713" s="3">
        <v>229.3</v>
      </c>
      <c r="E1713" s="3">
        <v>640.7</v>
      </c>
      <c r="F1713" s="3">
        <v>309.5</v>
      </c>
      <c r="G1713" s="3">
        <v>3.0</v>
      </c>
      <c r="H1713" s="3">
        <v>15.1</v>
      </c>
    </row>
    <row r="1714" ht="15.75" customHeight="1">
      <c r="A1714" s="3" t="s">
        <v>55</v>
      </c>
      <c r="B1714" s="3">
        <v>2017.0</v>
      </c>
      <c r="C1714" s="3" t="s">
        <v>11</v>
      </c>
      <c r="D1714" s="3">
        <v>170.2</v>
      </c>
      <c r="E1714" s="3">
        <v>405.4</v>
      </c>
      <c r="F1714" s="3">
        <v>154.9</v>
      </c>
      <c r="G1714" s="3">
        <v>5.0</v>
      </c>
      <c r="H1714" s="3">
        <v>28.4</v>
      </c>
    </row>
    <row r="1715" ht="15.75" customHeight="1">
      <c r="A1715" s="3" t="s">
        <v>55</v>
      </c>
      <c r="B1715" s="3">
        <v>2017.0</v>
      </c>
      <c r="C1715" s="3" t="s">
        <v>13</v>
      </c>
      <c r="D1715" s="3">
        <v>133.3</v>
      </c>
      <c r="E1715" s="3">
        <v>303.2</v>
      </c>
      <c r="F1715" s="3">
        <v>151.4</v>
      </c>
      <c r="G1715" s="3">
        <v>6.0</v>
      </c>
      <c r="H1715" s="3">
        <v>39.3</v>
      </c>
    </row>
    <row r="1716" ht="15.75" customHeight="1">
      <c r="A1716" s="3" t="s">
        <v>55</v>
      </c>
      <c r="B1716" s="3">
        <v>2017.0</v>
      </c>
      <c r="C1716" s="3" t="s">
        <v>14</v>
      </c>
      <c r="D1716" s="3">
        <v>214.5</v>
      </c>
      <c r="E1716" s="3">
        <v>610.6</v>
      </c>
      <c r="F1716" s="3">
        <v>228.1</v>
      </c>
      <c r="G1716" s="3">
        <v>6.0</v>
      </c>
      <c r="H1716" s="3">
        <v>8.5</v>
      </c>
    </row>
    <row r="1717" ht="15.75" customHeight="1">
      <c r="A1717" s="3" t="s">
        <v>55</v>
      </c>
      <c r="B1717" s="3">
        <v>2018.0</v>
      </c>
      <c r="C1717" s="3" t="s">
        <v>9</v>
      </c>
      <c r="D1717" s="3">
        <v>190.6</v>
      </c>
      <c r="E1717" s="3">
        <v>571.7</v>
      </c>
      <c r="F1717" s="3">
        <v>241.9</v>
      </c>
      <c r="G1717" s="3">
        <v>3.0</v>
      </c>
      <c r="H1717" s="3">
        <v>33.3</v>
      </c>
    </row>
    <row r="1718" ht="15.75" customHeight="1">
      <c r="A1718" s="3" t="s">
        <v>55</v>
      </c>
      <c r="B1718" s="3">
        <v>2018.0</v>
      </c>
      <c r="C1718" s="3" t="s">
        <v>10</v>
      </c>
      <c r="D1718" s="3">
        <v>157.1</v>
      </c>
      <c r="E1718" s="3">
        <v>336.8</v>
      </c>
      <c r="F1718" s="3">
        <v>216.1</v>
      </c>
      <c r="G1718" s="3">
        <v>7.0</v>
      </c>
      <c r="H1718" s="3">
        <v>31.5</v>
      </c>
    </row>
    <row r="1719" ht="15.75" customHeight="1">
      <c r="A1719" s="3" t="s">
        <v>55</v>
      </c>
      <c r="B1719" s="3">
        <v>2018.0</v>
      </c>
      <c r="C1719" s="3" t="s">
        <v>11</v>
      </c>
      <c r="D1719" s="3">
        <v>115.3</v>
      </c>
      <c r="E1719" s="3">
        <v>342.9</v>
      </c>
      <c r="F1719" s="3">
        <v>113.8</v>
      </c>
      <c r="G1719" s="3">
        <v>8.0</v>
      </c>
      <c r="H1719" s="3">
        <v>20.3</v>
      </c>
    </row>
    <row r="1720" ht="15.75" customHeight="1">
      <c r="A1720" s="3" t="s">
        <v>55</v>
      </c>
      <c r="B1720" s="3">
        <v>2018.0</v>
      </c>
      <c r="C1720" s="3" t="s">
        <v>13</v>
      </c>
      <c r="D1720" s="3">
        <v>221.4</v>
      </c>
      <c r="E1720" s="3">
        <v>604.1</v>
      </c>
      <c r="F1720" s="3">
        <v>324.7</v>
      </c>
      <c r="G1720" s="3">
        <v>9.0</v>
      </c>
      <c r="H1720" s="3">
        <v>45.2</v>
      </c>
    </row>
    <row r="1721" ht="15.75" customHeight="1">
      <c r="A1721" s="3" t="s">
        <v>55</v>
      </c>
      <c r="B1721" s="3">
        <v>2018.0</v>
      </c>
      <c r="C1721" s="3" t="s">
        <v>14</v>
      </c>
      <c r="D1721" s="3">
        <v>222.7</v>
      </c>
      <c r="E1721" s="3">
        <v>527.8</v>
      </c>
      <c r="F1721" s="3">
        <v>181.3</v>
      </c>
      <c r="G1721" s="3">
        <v>11.0</v>
      </c>
      <c r="H1721" s="3">
        <v>21.8</v>
      </c>
    </row>
    <row r="1722" ht="15.75" customHeight="1">
      <c r="A1722" s="3" t="s">
        <v>55</v>
      </c>
      <c r="B1722" s="3">
        <v>2019.0</v>
      </c>
      <c r="C1722" s="3" t="s">
        <v>9</v>
      </c>
      <c r="D1722" s="3">
        <v>249.7</v>
      </c>
      <c r="E1722" s="3">
        <v>726.9</v>
      </c>
      <c r="F1722" s="3">
        <v>228.0</v>
      </c>
      <c r="G1722" s="3">
        <v>9.0</v>
      </c>
      <c r="H1722" s="3">
        <v>47.2</v>
      </c>
    </row>
    <row r="1723" ht="15.75" customHeight="1">
      <c r="A1723" s="3" t="s">
        <v>55</v>
      </c>
      <c r="B1723" s="3">
        <v>2019.0</v>
      </c>
      <c r="C1723" s="3" t="s">
        <v>10</v>
      </c>
      <c r="D1723" s="3">
        <v>232.7</v>
      </c>
      <c r="E1723" s="3">
        <v>489.5</v>
      </c>
      <c r="F1723" s="3">
        <v>194.7</v>
      </c>
      <c r="G1723" s="3">
        <v>4.0</v>
      </c>
      <c r="H1723" s="3">
        <v>31.5</v>
      </c>
    </row>
    <row r="1724" ht="15.75" customHeight="1">
      <c r="A1724" s="3" t="s">
        <v>55</v>
      </c>
      <c r="B1724" s="3">
        <v>2019.0</v>
      </c>
      <c r="C1724" s="3" t="s">
        <v>11</v>
      </c>
      <c r="D1724" s="3">
        <v>235.3</v>
      </c>
      <c r="E1724" s="3">
        <v>638.6</v>
      </c>
      <c r="F1724" s="3">
        <v>260.0</v>
      </c>
      <c r="G1724" s="3">
        <v>3.0</v>
      </c>
      <c r="H1724" s="3">
        <v>17.0</v>
      </c>
    </row>
    <row r="1725" ht="15.75" customHeight="1">
      <c r="A1725" s="3" t="s">
        <v>55</v>
      </c>
      <c r="B1725" s="3">
        <v>2019.0</v>
      </c>
      <c r="C1725" s="3" t="s">
        <v>13</v>
      </c>
      <c r="D1725" s="3">
        <v>226.1</v>
      </c>
      <c r="E1725" s="3">
        <v>562.3</v>
      </c>
      <c r="F1725" s="3">
        <v>237.1</v>
      </c>
      <c r="G1725" s="3">
        <v>5.0</v>
      </c>
      <c r="H1725" s="3">
        <v>37.6</v>
      </c>
    </row>
    <row r="1726" ht="15.75" customHeight="1">
      <c r="A1726" s="3" t="s">
        <v>55</v>
      </c>
      <c r="B1726" s="3">
        <v>2019.0</v>
      </c>
      <c r="C1726" s="3" t="s">
        <v>14</v>
      </c>
      <c r="D1726" s="3">
        <v>183.5</v>
      </c>
      <c r="E1726" s="3">
        <v>376.0</v>
      </c>
      <c r="F1726" s="3">
        <v>255.8</v>
      </c>
      <c r="G1726" s="3">
        <v>9.0</v>
      </c>
      <c r="H1726" s="3">
        <v>46.9</v>
      </c>
    </row>
    <row r="1727" ht="15.75" customHeight="1">
      <c r="A1727" s="3" t="s">
        <v>55</v>
      </c>
      <c r="B1727" s="3">
        <v>2020.0</v>
      </c>
      <c r="C1727" s="3" t="s">
        <v>9</v>
      </c>
      <c r="D1727" s="3">
        <v>294.8</v>
      </c>
      <c r="E1727" s="3">
        <v>746.9</v>
      </c>
      <c r="F1727" s="3">
        <v>265.0</v>
      </c>
      <c r="G1727" s="3">
        <v>5.0</v>
      </c>
      <c r="H1727" s="3">
        <v>1.4</v>
      </c>
    </row>
    <row r="1728" ht="15.75" customHeight="1">
      <c r="A1728" s="3" t="s">
        <v>55</v>
      </c>
      <c r="B1728" s="3">
        <v>2020.0</v>
      </c>
      <c r="C1728" s="3" t="s">
        <v>10</v>
      </c>
      <c r="D1728" s="3">
        <v>254.3</v>
      </c>
      <c r="E1728" s="3">
        <v>551.0</v>
      </c>
      <c r="F1728" s="3">
        <v>297.6</v>
      </c>
      <c r="G1728" s="3">
        <v>8.0</v>
      </c>
      <c r="H1728" s="3">
        <v>15.6</v>
      </c>
    </row>
    <row r="1729" ht="15.75" customHeight="1">
      <c r="A1729" s="3" t="s">
        <v>55</v>
      </c>
      <c r="B1729" s="3">
        <v>2020.0</v>
      </c>
      <c r="C1729" s="3" t="s">
        <v>11</v>
      </c>
      <c r="D1729" s="3">
        <v>257.9</v>
      </c>
      <c r="E1729" s="3">
        <v>719.4</v>
      </c>
      <c r="F1729" s="3">
        <v>245.1</v>
      </c>
      <c r="G1729" s="3">
        <v>8.0</v>
      </c>
      <c r="H1729" s="3">
        <v>37.2</v>
      </c>
    </row>
    <row r="1730" ht="15.75" customHeight="1">
      <c r="A1730" s="3" t="s">
        <v>55</v>
      </c>
      <c r="B1730" s="3">
        <v>2020.0</v>
      </c>
      <c r="C1730" s="3" t="s">
        <v>13</v>
      </c>
      <c r="D1730" s="3">
        <v>270.6</v>
      </c>
      <c r="E1730" s="3">
        <v>714.2</v>
      </c>
      <c r="F1730" s="3">
        <v>229.2</v>
      </c>
      <c r="G1730" s="3">
        <v>9.0</v>
      </c>
      <c r="H1730" s="3">
        <v>40.6</v>
      </c>
    </row>
    <row r="1731" ht="15.75" customHeight="1">
      <c r="A1731" s="3" t="s">
        <v>55</v>
      </c>
      <c r="B1731" s="3">
        <v>2020.0</v>
      </c>
      <c r="C1731" s="3" t="s">
        <v>14</v>
      </c>
      <c r="D1731" s="3">
        <v>288.7</v>
      </c>
      <c r="E1731" s="3">
        <v>671.7</v>
      </c>
      <c r="F1731" s="3">
        <v>320.3</v>
      </c>
      <c r="G1731" s="3">
        <v>9.0</v>
      </c>
      <c r="H1731" s="3">
        <v>17.2</v>
      </c>
    </row>
    <row r="1732" ht="15.75" customHeight="1">
      <c r="A1732" s="3" t="s">
        <v>55</v>
      </c>
      <c r="B1732" s="3">
        <v>2021.0</v>
      </c>
      <c r="C1732" s="3" t="s">
        <v>9</v>
      </c>
      <c r="D1732" s="3">
        <v>352.1</v>
      </c>
      <c r="E1732" s="3">
        <v>964.8</v>
      </c>
      <c r="F1732" s="3">
        <v>455.7</v>
      </c>
      <c r="G1732" s="3">
        <v>11.0</v>
      </c>
      <c r="H1732" s="3">
        <v>30.4</v>
      </c>
    </row>
    <row r="1733" ht="15.75" customHeight="1">
      <c r="A1733" s="3" t="s">
        <v>55</v>
      </c>
      <c r="B1733" s="3">
        <v>2021.0</v>
      </c>
      <c r="C1733" s="3" t="s">
        <v>10</v>
      </c>
      <c r="D1733" s="3">
        <v>351.7</v>
      </c>
      <c r="E1733" s="3">
        <v>1010.7</v>
      </c>
      <c r="F1733" s="3">
        <v>387.8</v>
      </c>
      <c r="G1733" s="3">
        <v>5.0</v>
      </c>
      <c r="H1733" s="3">
        <v>43.4</v>
      </c>
    </row>
    <row r="1734" ht="15.75" customHeight="1">
      <c r="A1734" s="3" t="s">
        <v>55</v>
      </c>
      <c r="B1734" s="3">
        <v>2021.0</v>
      </c>
      <c r="C1734" s="3" t="s">
        <v>11</v>
      </c>
      <c r="D1734" s="3">
        <v>324.9</v>
      </c>
      <c r="E1734" s="3">
        <v>788.7</v>
      </c>
      <c r="F1734" s="3">
        <v>335.1</v>
      </c>
      <c r="G1734" s="3">
        <v>6.0</v>
      </c>
      <c r="H1734" s="3">
        <v>48.0</v>
      </c>
    </row>
    <row r="1735" ht="15.75" customHeight="1">
      <c r="A1735" s="3" t="s">
        <v>55</v>
      </c>
      <c r="B1735" s="3">
        <v>2021.0</v>
      </c>
      <c r="C1735" s="3" t="s">
        <v>13</v>
      </c>
      <c r="D1735" s="3">
        <v>278.3</v>
      </c>
      <c r="E1735" s="3">
        <v>784.6</v>
      </c>
      <c r="F1735" s="3">
        <v>383.4</v>
      </c>
      <c r="G1735" s="3">
        <v>6.0</v>
      </c>
      <c r="H1735" s="3">
        <v>9.4</v>
      </c>
    </row>
    <row r="1736" ht="15.75" customHeight="1">
      <c r="A1736" s="3" t="s">
        <v>55</v>
      </c>
      <c r="B1736" s="3">
        <v>2021.0</v>
      </c>
      <c r="C1736" s="3" t="s">
        <v>14</v>
      </c>
      <c r="D1736" s="3">
        <v>294.1</v>
      </c>
      <c r="E1736" s="3">
        <v>771.5</v>
      </c>
      <c r="F1736" s="3">
        <v>337.1</v>
      </c>
      <c r="G1736" s="3">
        <v>5.0</v>
      </c>
      <c r="H1736" s="3">
        <v>8.8</v>
      </c>
    </row>
    <row r="1737" ht="15.75" customHeight="1">
      <c r="A1737" s="3" t="s">
        <v>55</v>
      </c>
      <c r="B1737" s="3">
        <v>2022.0</v>
      </c>
      <c r="C1737" s="3" t="s">
        <v>9</v>
      </c>
      <c r="D1737" s="3">
        <v>269.5</v>
      </c>
      <c r="E1737" s="3">
        <v>694.1</v>
      </c>
      <c r="F1737" s="3">
        <v>325.6</v>
      </c>
      <c r="G1737" s="3">
        <v>9.0</v>
      </c>
      <c r="H1737" s="3">
        <v>4.6</v>
      </c>
    </row>
    <row r="1738" ht="15.75" customHeight="1">
      <c r="A1738" s="3" t="s">
        <v>55</v>
      </c>
      <c r="B1738" s="3">
        <v>2022.0</v>
      </c>
      <c r="C1738" s="3" t="s">
        <v>10</v>
      </c>
      <c r="D1738" s="3">
        <v>260.1</v>
      </c>
      <c r="E1738" s="3">
        <v>522.5</v>
      </c>
      <c r="F1738" s="3">
        <v>242.7</v>
      </c>
      <c r="G1738" s="3">
        <v>8.0</v>
      </c>
      <c r="H1738" s="3">
        <v>26.5</v>
      </c>
    </row>
    <row r="1739" ht="15.75" customHeight="1">
      <c r="A1739" s="3" t="s">
        <v>55</v>
      </c>
      <c r="B1739" s="3">
        <v>2022.0</v>
      </c>
      <c r="C1739" s="3" t="s">
        <v>11</v>
      </c>
      <c r="D1739" s="3">
        <v>353.6</v>
      </c>
      <c r="E1739" s="3">
        <v>956.6</v>
      </c>
      <c r="F1739" s="3">
        <v>493.4</v>
      </c>
      <c r="G1739" s="3">
        <v>9.0</v>
      </c>
      <c r="H1739" s="3">
        <v>29.9</v>
      </c>
    </row>
    <row r="1740" ht="15.75" customHeight="1">
      <c r="A1740" s="3" t="s">
        <v>55</v>
      </c>
      <c r="B1740" s="3">
        <v>2022.0</v>
      </c>
      <c r="C1740" s="3" t="s">
        <v>13</v>
      </c>
      <c r="D1740" s="3">
        <v>339.2</v>
      </c>
      <c r="E1740" s="3">
        <v>743.4</v>
      </c>
      <c r="F1740" s="3">
        <v>324.7</v>
      </c>
      <c r="G1740" s="3">
        <v>11.0</v>
      </c>
      <c r="H1740" s="3">
        <v>45.1</v>
      </c>
    </row>
    <row r="1741" ht="15.75" customHeight="1">
      <c r="A1741" s="3" t="s">
        <v>55</v>
      </c>
      <c r="B1741" s="3">
        <v>2022.0</v>
      </c>
      <c r="C1741" s="3" t="s">
        <v>14</v>
      </c>
      <c r="D1741" s="3">
        <v>273.2</v>
      </c>
      <c r="E1741" s="3">
        <v>780.4</v>
      </c>
      <c r="F1741" s="3">
        <v>273.5</v>
      </c>
      <c r="G1741" s="3">
        <v>3.0</v>
      </c>
      <c r="H1741" s="3">
        <v>19.6</v>
      </c>
    </row>
    <row r="1742" ht="15.75" customHeight="1">
      <c r="A1742" s="3" t="s">
        <v>55</v>
      </c>
      <c r="B1742" s="3">
        <v>2023.0</v>
      </c>
      <c r="C1742" s="3" t="s">
        <v>9</v>
      </c>
      <c r="D1742" s="3">
        <v>404.5</v>
      </c>
      <c r="E1742" s="3">
        <v>1023.3</v>
      </c>
      <c r="F1742" s="3">
        <v>414.7</v>
      </c>
      <c r="G1742" s="3">
        <v>5.0</v>
      </c>
      <c r="H1742" s="3">
        <v>16.7</v>
      </c>
    </row>
    <row r="1743" ht="15.75" customHeight="1">
      <c r="A1743" s="3" t="s">
        <v>55</v>
      </c>
      <c r="B1743" s="3">
        <v>2023.0</v>
      </c>
      <c r="C1743" s="3" t="s">
        <v>10</v>
      </c>
      <c r="D1743" s="3">
        <v>285.1</v>
      </c>
      <c r="E1743" s="3">
        <v>730.7</v>
      </c>
      <c r="F1743" s="3">
        <v>346.6</v>
      </c>
      <c r="G1743" s="3">
        <v>11.0</v>
      </c>
      <c r="H1743" s="3">
        <v>25.3</v>
      </c>
    </row>
    <row r="1744" ht="15.75" customHeight="1">
      <c r="A1744" s="3" t="s">
        <v>55</v>
      </c>
      <c r="B1744" s="3">
        <v>2023.0</v>
      </c>
      <c r="C1744" s="3" t="s">
        <v>11</v>
      </c>
      <c r="D1744" s="3">
        <v>345.1</v>
      </c>
      <c r="E1744" s="3">
        <v>900.6</v>
      </c>
      <c r="F1744" s="3">
        <v>298.1</v>
      </c>
      <c r="G1744" s="3">
        <v>7.0</v>
      </c>
      <c r="H1744" s="3">
        <v>28.6</v>
      </c>
    </row>
    <row r="1745" ht="15.75" customHeight="1">
      <c r="A1745" s="3" t="s">
        <v>55</v>
      </c>
      <c r="B1745" s="3">
        <v>2023.0</v>
      </c>
      <c r="C1745" s="3" t="s">
        <v>13</v>
      </c>
      <c r="D1745" s="3">
        <v>383.0</v>
      </c>
      <c r="E1745" s="3">
        <v>1019.2</v>
      </c>
      <c r="F1745" s="3">
        <v>550.7</v>
      </c>
      <c r="G1745" s="3">
        <v>5.0</v>
      </c>
      <c r="H1745" s="3">
        <v>21.5</v>
      </c>
    </row>
    <row r="1746" ht="15.75" customHeight="1">
      <c r="A1746" s="3" t="s">
        <v>55</v>
      </c>
      <c r="B1746" s="3">
        <v>2023.0</v>
      </c>
      <c r="C1746" s="3" t="s">
        <v>14</v>
      </c>
      <c r="D1746" s="3">
        <v>390.1</v>
      </c>
      <c r="E1746" s="3">
        <v>989.4</v>
      </c>
      <c r="F1746" s="3">
        <v>517.3</v>
      </c>
      <c r="G1746" s="3">
        <v>12.0</v>
      </c>
      <c r="H1746" s="3">
        <v>18.1</v>
      </c>
    </row>
    <row r="1747" ht="15.75" customHeight="1">
      <c r="A1747" s="3" t="s">
        <v>55</v>
      </c>
      <c r="B1747" s="3">
        <v>2024.0</v>
      </c>
      <c r="C1747" s="3" t="s">
        <v>9</v>
      </c>
      <c r="D1747" s="3">
        <v>412.5</v>
      </c>
      <c r="E1747" s="3">
        <v>988.8</v>
      </c>
      <c r="F1747" s="3">
        <v>391.3</v>
      </c>
      <c r="G1747" s="3">
        <v>8.0</v>
      </c>
      <c r="H1747" s="3">
        <v>7.6</v>
      </c>
    </row>
    <row r="1748" ht="15.75" customHeight="1">
      <c r="A1748" s="3" t="s">
        <v>55</v>
      </c>
      <c r="B1748" s="3">
        <v>2024.0</v>
      </c>
      <c r="C1748" s="3" t="s">
        <v>10</v>
      </c>
      <c r="D1748" s="3">
        <v>343.1</v>
      </c>
      <c r="E1748" s="3">
        <v>897.0</v>
      </c>
      <c r="F1748" s="3">
        <v>491.3</v>
      </c>
      <c r="G1748" s="3">
        <v>10.0</v>
      </c>
      <c r="H1748" s="3">
        <v>33.0</v>
      </c>
    </row>
    <row r="1749" ht="15.75" customHeight="1">
      <c r="A1749" s="3" t="s">
        <v>55</v>
      </c>
      <c r="B1749" s="3">
        <v>2024.0</v>
      </c>
      <c r="C1749" s="3" t="s">
        <v>11</v>
      </c>
      <c r="D1749" s="3">
        <v>385.2</v>
      </c>
      <c r="E1749" s="3">
        <v>958.5</v>
      </c>
      <c r="F1749" s="3">
        <v>464.3</v>
      </c>
      <c r="G1749" s="3">
        <v>8.0</v>
      </c>
      <c r="H1749" s="3">
        <v>15.9</v>
      </c>
    </row>
    <row r="1750" ht="15.75" customHeight="1">
      <c r="A1750" s="3" t="s">
        <v>55</v>
      </c>
      <c r="B1750" s="3">
        <v>2024.0</v>
      </c>
      <c r="C1750" s="3" t="s">
        <v>13</v>
      </c>
      <c r="D1750" s="3">
        <v>362.9</v>
      </c>
      <c r="E1750" s="3">
        <v>886.9</v>
      </c>
      <c r="F1750" s="3">
        <v>482.1</v>
      </c>
      <c r="G1750" s="3">
        <v>12.0</v>
      </c>
      <c r="H1750" s="3">
        <v>38.5</v>
      </c>
    </row>
    <row r="1751" ht="15.75" customHeight="1">
      <c r="A1751" s="3" t="s">
        <v>55</v>
      </c>
      <c r="B1751" s="3">
        <v>2024.0</v>
      </c>
      <c r="C1751" s="3" t="s">
        <v>14</v>
      </c>
      <c r="D1751" s="3">
        <v>378.6</v>
      </c>
      <c r="E1751" s="3">
        <v>999.1</v>
      </c>
      <c r="F1751" s="3">
        <v>554.0</v>
      </c>
      <c r="G1751" s="3">
        <v>11.0</v>
      </c>
      <c r="H1751" s="3">
        <v>13.6</v>
      </c>
    </row>
    <row r="1752" ht="15.75" customHeight="1">
      <c r="A1752" s="3" t="s">
        <v>56</v>
      </c>
      <c r="B1752" s="3">
        <v>2015.0</v>
      </c>
      <c r="C1752" s="3" t="s">
        <v>9</v>
      </c>
      <c r="D1752" s="3">
        <v>137.4</v>
      </c>
      <c r="E1752" s="3">
        <v>339.4</v>
      </c>
      <c r="F1752" s="3">
        <v>154.1</v>
      </c>
      <c r="G1752" s="3">
        <v>6.0</v>
      </c>
      <c r="H1752" s="3">
        <v>20.2</v>
      </c>
    </row>
    <row r="1753" ht="15.75" customHeight="1">
      <c r="A1753" s="3" t="s">
        <v>56</v>
      </c>
      <c r="B1753" s="3">
        <v>2015.0</v>
      </c>
      <c r="C1753" s="3" t="s">
        <v>10</v>
      </c>
      <c r="D1753" s="3">
        <v>84.1</v>
      </c>
      <c r="E1753" s="3">
        <v>237.7</v>
      </c>
      <c r="F1753" s="3">
        <v>117.0</v>
      </c>
      <c r="G1753" s="3">
        <v>7.0</v>
      </c>
      <c r="H1753" s="3">
        <v>25.3</v>
      </c>
    </row>
    <row r="1754" ht="15.75" customHeight="1">
      <c r="A1754" s="3" t="s">
        <v>56</v>
      </c>
      <c r="B1754" s="3">
        <v>2015.0</v>
      </c>
      <c r="C1754" s="3" t="s">
        <v>11</v>
      </c>
      <c r="D1754" s="3">
        <v>136.1</v>
      </c>
      <c r="E1754" s="3">
        <v>309.5</v>
      </c>
      <c r="F1754" s="3">
        <v>178.4</v>
      </c>
      <c r="G1754" s="3">
        <v>2.0</v>
      </c>
      <c r="H1754" s="3">
        <v>44.2</v>
      </c>
    </row>
    <row r="1755" ht="15.75" customHeight="1">
      <c r="A1755" s="3" t="s">
        <v>56</v>
      </c>
      <c r="B1755" s="3">
        <v>2015.0</v>
      </c>
      <c r="C1755" s="3" t="s">
        <v>13</v>
      </c>
      <c r="D1755" s="3">
        <v>41.5</v>
      </c>
      <c r="E1755" s="3">
        <v>112.5</v>
      </c>
      <c r="F1755" s="3">
        <v>45.5</v>
      </c>
      <c r="G1755" s="3">
        <v>7.0</v>
      </c>
      <c r="H1755" s="3">
        <v>1.2</v>
      </c>
    </row>
    <row r="1756" ht="15.75" customHeight="1">
      <c r="A1756" s="3" t="s">
        <v>56</v>
      </c>
      <c r="B1756" s="3">
        <v>2015.0</v>
      </c>
      <c r="C1756" s="3" t="s">
        <v>14</v>
      </c>
      <c r="D1756" s="3">
        <v>56.7</v>
      </c>
      <c r="E1756" s="3">
        <v>128.0</v>
      </c>
      <c r="F1756" s="3">
        <v>74.3</v>
      </c>
      <c r="G1756" s="3">
        <v>1.0</v>
      </c>
      <c r="H1756" s="3">
        <v>9.9</v>
      </c>
    </row>
    <row r="1757" ht="15.75" customHeight="1">
      <c r="A1757" s="3" t="s">
        <v>56</v>
      </c>
      <c r="B1757" s="3">
        <v>2016.0</v>
      </c>
      <c r="C1757" s="3" t="s">
        <v>9</v>
      </c>
      <c r="D1757" s="3">
        <v>81.2</v>
      </c>
      <c r="E1757" s="3">
        <v>223.1</v>
      </c>
      <c r="F1757" s="3">
        <v>89.8</v>
      </c>
      <c r="G1757" s="3">
        <v>4.0</v>
      </c>
      <c r="H1757" s="3">
        <v>28.8</v>
      </c>
    </row>
    <row r="1758" ht="15.75" customHeight="1">
      <c r="A1758" s="3" t="s">
        <v>56</v>
      </c>
      <c r="B1758" s="3">
        <v>2016.0</v>
      </c>
      <c r="C1758" s="3" t="s">
        <v>10</v>
      </c>
      <c r="D1758" s="3">
        <v>142.9</v>
      </c>
      <c r="E1758" s="3">
        <v>422.1</v>
      </c>
      <c r="F1758" s="3">
        <v>139.0</v>
      </c>
      <c r="G1758" s="3">
        <v>7.0</v>
      </c>
      <c r="H1758" s="3">
        <v>46.3</v>
      </c>
    </row>
    <row r="1759" ht="15.75" customHeight="1">
      <c r="A1759" s="3" t="s">
        <v>56</v>
      </c>
      <c r="B1759" s="3">
        <v>2016.0</v>
      </c>
      <c r="C1759" s="3" t="s">
        <v>11</v>
      </c>
      <c r="D1759" s="3">
        <v>116.4</v>
      </c>
      <c r="E1759" s="3">
        <v>259.1</v>
      </c>
      <c r="F1759" s="3">
        <v>162.1</v>
      </c>
      <c r="G1759" s="3">
        <v>9.0</v>
      </c>
      <c r="H1759" s="3">
        <v>12.9</v>
      </c>
    </row>
    <row r="1760" ht="15.75" customHeight="1">
      <c r="A1760" s="3" t="s">
        <v>56</v>
      </c>
      <c r="B1760" s="3">
        <v>2016.0</v>
      </c>
      <c r="C1760" s="3" t="s">
        <v>13</v>
      </c>
      <c r="D1760" s="3">
        <v>175.4</v>
      </c>
      <c r="E1760" s="3">
        <v>492.9</v>
      </c>
      <c r="F1760" s="3">
        <v>259.2</v>
      </c>
      <c r="G1760" s="3">
        <v>8.0</v>
      </c>
      <c r="H1760" s="3">
        <v>36.6</v>
      </c>
    </row>
    <row r="1761" ht="15.75" customHeight="1">
      <c r="A1761" s="3" t="s">
        <v>56</v>
      </c>
      <c r="B1761" s="3">
        <v>2016.0</v>
      </c>
      <c r="C1761" s="3" t="s">
        <v>14</v>
      </c>
      <c r="D1761" s="3">
        <v>107.8</v>
      </c>
      <c r="E1761" s="3">
        <v>235.6</v>
      </c>
      <c r="F1761" s="3">
        <v>119.7</v>
      </c>
      <c r="G1761" s="3">
        <v>2.0</v>
      </c>
      <c r="H1761" s="3">
        <v>13.9</v>
      </c>
    </row>
    <row r="1762" ht="15.75" customHeight="1">
      <c r="A1762" s="3" t="s">
        <v>56</v>
      </c>
      <c r="B1762" s="3">
        <v>2017.0</v>
      </c>
      <c r="C1762" s="3" t="s">
        <v>9</v>
      </c>
      <c r="D1762" s="3">
        <v>206.6</v>
      </c>
      <c r="E1762" s="3">
        <v>542.7</v>
      </c>
      <c r="F1762" s="3">
        <v>243.1</v>
      </c>
      <c r="G1762" s="3">
        <v>3.0</v>
      </c>
      <c r="H1762" s="3">
        <v>5.6</v>
      </c>
    </row>
    <row r="1763" ht="15.75" customHeight="1">
      <c r="A1763" s="3" t="s">
        <v>56</v>
      </c>
      <c r="B1763" s="3">
        <v>2017.0</v>
      </c>
      <c r="C1763" s="3" t="s">
        <v>10</v>
      </c>
      <c r="D1763" s="3">
        <v>160.5</v>
      </c>
      <c r="E1763" s="3">
        <v>371.8</v>
      </c>
      <c r="F1763" s="3">
        <v>212.6</v>
      </c>
      <c r="G1763" s="3">
        <v>3.0</v>
      </c>
      <c r="H1763" s="3">
        <v>38.3</v>
      </c>
    </row>
    <row r="1764" ht="15.75" customHeight="1">
      <c r="A1764" s="3" t="s">
        <v>56</v>
      </c>
      <c r="B1764" s="3">
        <v>2017.0</v>
      </c>
      <c r="C1764" s="3" t="s">
        <v>11</v>
      </c>
      <c r="D1764" s="3">
        <v>143.5</v>
      </c>
      <c r="E1764" s="3">
        <v>423.3</v>
      </c>
      <c r="F1764" s="3">
        <v>172.9</v>
      </c>
      <c r="G1764" s="3">
        <v>3.0</v>
      </c>
      <c r="H1764" s="3">
        <v>34.3</v>
      </c>
    </row>
    <row r="1765" ht="15.75" customHeight="1">
      <c r="A1765" s="3" t="s">
        <v>56</v>
      </c>
      <c r="B1765" s="3">
        <v>2017.0</v>
      </c>
      <c r="C1765" s="3" t="s">
        <v>13</v>
      </c>
      <c r="D1765" s="3">
        <v>166.3</v>
      </c>
      <c r="E1765" s="3">
        <v>348.4</v>
      </c>
      <c r="F1765" s="3">
        <v>249.1</v>
      </c>
      <c r="G1765" s="3">
        <v>9.0</v>
      </c>
      <c r="H1765" s="3">
        <v>20.3</v>
      </c>
    </row>
    <row r="1766" ht="15.75" customHeight="1">
      <c r="A1766" s="3" t="s">
        <v>56</v>
      </c>
      <c r="B1766" s="3">
        <v>2017.0</v>
      </c>
      <c r="C1766" s="3" t="s">
        <v>14</v>
      </c>
      <c r="D1766" s="3">
        <v>127.1</v>
      </c>
      <c r="E1766" s="3">
        <v>334.8</v>
      </c>
      <c r="F1766" s="3">
        <v>134.1</v>
      </c>
      <c r="G1766" s="3">
        <v>6.0</v>
      </c>
      <c r="H1766" s="3">
        <v>30.6</v>
      </c>
    </row>
    <row r="1767" ht="15.75" customHeight="1">
      <c r="A1767" s="3" t="s">
        <v>56</v>
      </c>
      <c r="B1767" s="3">
        <v>2018.0</v>
      </c>
      <c r="C1767" s="3" t="s">
        <v>9</v>
      </c>
      <c r="D1767" s="3">
        <v>186.7</v>
      </c>
      <c r="E1767" s="3">
        <v>487.3</v>
      </c>
      <c r="F1767" s="3">
        <v>196.9</v>
      </c>
      <c r="G1767" s="3">
        <v>4.0</v>
      </c>
      <c r="H1767" s="3">
        <v>24.6</v>
      </c>
    </row>
    <row r="1768" ht="15.75" customHeight="1">
      <c r="A1768" s="3" t="s">
        <v>56</v>
      </c>
      <c r="B1768" s="3">
        <v>2018.0</v>
      </c>
      <c r="C1768" s="3" t="s">
        <v>10</v>
      </c>
      <c r="D1768" s="3">
        <v>146.7</v>
      </c>
      <c r="E1768" s="3">
        <v>322.1</v>
      </c>
      <c r="F1768" s="3">
        <v>134.4</v>
      </c>
      <c r="G1768" s="3">
        <v>5.0</v>
      </c>
      <c r="H1768" s="3">
        <v>3.2</v>
      </c>
    </row>
    <row r="1769" ht="15.75" customHeight="1">
      <c r="A1769" s="3" t="s">
        <v>56</v>
      </c>
      <c r="B1769" s="3">
        <v>2018.0</v>
      </c>
      <c r="C1769" s="3" t="s">
        <v>11</v>
      </c>
      <c r="D1769" s="3">
        <v>174.7</v>
      </c>
      <c r="E1769" s="3">
        <v>363.3</v>
      </c>
      <c r="F1769" s="3">
        <v>220.1</v>
      </c>
      <c r="G1769" s="3">
        <v>7.0</v>
      </c>
      <c r="H1769" s="3">
        <v>44.0</v>
      </c>
    </row>
    <row r="1770" ht="15.75" customHeight="1">
      <c r="A1770" s="3" t="s">
        <v>56</v>
      </c>
      <c r="B1770" s="3">
        <v>2018.0</v>
      </c>
      <c r="C1770" s="3" t="s">
        <v>13</v>
      </c>
      <c r="D1770" s="3">
        <v>158.6</v>
      </c>
      <c r="E1770" s="3">
        <v>431.7</v>
      </c>
      <c r="F1770" s="3">
        <v>162.5</v>
      </c>
      <c r="G1770" s="3">
        <v>5.0</v>
      </c>
      <c r="H1770" s="3">
        <v>32.9</v>
      </c>
    </row>
    <row r="1771" ht="15.75" customHeight="1">
      <c r="A1771" s="3" t="s">
        <v>56</v>
      </c>
      <c r="B1771" s="3">
        <v>2018.0</v>
      </c>
      <c r="C1771" s="3" t="s">
        <v>14</v>
      </c>
      <c r="D1771" s="3">
        <v>237.3</v>
      </c>
      <c r="E1771" s="3">
        <v>653.3</v>
      </c>
      <c r="F1771" s="3">
        <v>195.0</v>
      </c>
      <c r="G1771" s="3">
        <v>5.0</v>
      </c>
      <c r="H1771" s="3">
        <v>17.6</v>
      </c>
    </row>
    <row r="1772" ht="15.75" customHeight="1">
      <c r="A1772" s="3" t="s">
        <v>56</v>
      </c>
      <c r="B1772" s="3">
        <v>2019.0</v>
      </c>
      <c r="C1772" s="3" t="s">
        <v>9</v>
      </c>
      <c r="D1772" s="3">
        <v>190.6</v>
      </c>
      <c r="E1772" s="3">
        <v>504.2</v>
      </c>
      <c r="F1772" s="3">
        <v>168.1</v>
      </c>
      <c r="G1772" s="3">
        <v>7.0</v>
      </c>
      <c r="H1772" s="3">
        <v>24.6</v>
      </c>
    </row>
    <row r="1773" ht="15.75" customHeight="1">
      <c r="A1773" s="3" t="s">
        <v>56</v>
      </c>
      <c r="B1773" s="3">
        <v>2019.0</v>
      </c>
      <c r="C1773" s="3" t="s">
        <v>10</v>
      </c>
      <c r="D1773" s="3">
        <v>231.7</v>
      </c>
      <c r="E1773" s="3">
        <v>695.0</v>
      </c>
      <c r="F1773" s="3">
        <v>265.7</v>
      </c>
      <c r="G1773" s="3">
        <v>7.0</v>
      </c>
      <c r="H1773" s="3">
        <v>22.3</v>
      </c>
    </row>
    <row r="1774" ht="15.75" customHeight="1">
      <c r="A1774" s="3" t="s">
        <v>56</v>
      </c>
      <c r="B1774" s="3">
        <v>2019.0</v>
      </c>
      <c r="C1774" s="3" t="s">
        <v>11</v>
      </c>
      <c r="D1774" s="3">
        <v>270.4</v>
      </c>
      <c r="E1774" s="3">
        <v>595.5</v>
      </c>
      <c r="F1774" s="3">
        <v>397.8</v>
      </c>
      <c r="G1774" s="3">
        <v>5.0</v>
      </c>
      <c r="H1774" s="3">
        <v>16.6</v>
      </c>
    </row>
    <row r="1775" ht="15.75" customHeight="1">
      <c r="A1775" s="3" t="s">
        <v>56</v>
      </c>
      <c r="B1775" s="3">
        <v>2019.0</v>
      </c>
      <c r="C1775" s="3" t="s">
        <v>13</v>
      </c>
      <c r="D1775" s="3">
        <v>243.8</v>
      </c>
      <c r="E1775" s="3">
        <v>650.7</v>
      </c>
      <c r="F1775" s="3">
        <v>303.0</v>
      </c>
      <c r="G1775" s="3">
        <v>11.0</v>
      </c>
      <c r="H1775" s="3">
        <v>1.4</v>
      </c>
    </row>
    <row r="1776" ht="15.75" customHeight="1">
      <c r="A1776" s="3" t="s">
        <v>56</v>
      </c>
      <c r="B1776" s="3">
        <v>2019.0</v>
      </c>
      <c r="C1776" s="3" t="s">
        <v>14</v>
      </c>
      <c r="D1776" s="3">
        <v>220.9</v>
      </c>
      <c r="E1776" s="3">
        <v>537.4</v>
      </c>
      <c r="F1776" s="3">
        <v>234.9</v>
      </c>
      <c r="G1776" s="3">
        <v>10.0</v>
      </c>
      <c r="H1776" s="3">
        <v>7.4</v>
      </c>
    </row>
    <row r="1777" ht="15.75" customHeight="1">
      <c r="A1777" s="3" t="s">
        <v>56</v>
      </c>
      <c r="B1777" s="3">
        <v>2020.0</v>
      </c>
      <c r="C1777" s="3" t="s">
        <v>9</v>
      </c>
      <c r="D1777" s="3">
        <v>328.0</v>
      </c>
      <c r="E1777" s="3">
        <v>876.1</v>
      </c>
      <c r="F1777" s="3">
        <v>320.3</v>
      </c>
      <c r="G1777" s="3">
        <v>8.0</v>
      </c>
      <c r="H1777" s="3">
        <v>5.8</v>
      </c>
    </row>
    <row r="1778" ht="15.75" customHeight="1">
      <c r="A1778" s="3" t="s">
        <v>56</v>
      </c>
      <c r="B1778" s="3">
        <v>2020.0</v>
      </c>
      <c r="C1778" s="3" t="s">
        <v>10</v>
      </c>
      <c r="D1778" s="3">
        <v>274.3</v>
      </c>
      <c r="E1778" s="3">
        <v>650.8</v>
      </c>
      <c r="F1778" s="3">
        <v>368.5</v>
      </c>
      <c r="G1778" s="3">
        <v>4.0</v>
      </c>
      <c r="H1778" s="3">
        <v>39.1</v>
      </c>
    </row>
    <row r="1779" ht="15.75" customHeight="1">
      <c r="A1779" s="3" t="s">
        <v>56</v>
      </c>
      <c r="B1779" s="3">
        <v>2020.0</v>
      </c>
      <c r="C1779" s="3" t="s">
        <v>11</v>
      </c>
      <c r="D1779" s="3">
        <v>224.8</v>
      </c>
      <c r="E1779" s="3">
        <v>620.0</v>
      </c>
      <c r="F1779" s="3">
        <v>198.4</v>
      </c>
      <c r="G1779" s="3">
        <v>8.0</v>
      </c>
      <c r="H1779" s="3">
        <v>13.5</v>
      </c>
    </row>
    <row r="1780" ht="15.75" customHeight="1">
      <c r="A1780" s="3" t="s">
        <v>56</v>
      </c>
      <c r="B1780" s="3">
        <v>2020.0</v>
      </c>
      <c r="C1780" s="3" t="s">
        <v>13</v>
      </c>
      <c r="D1780" s="3">
        <v>312.2</v>
      </c>
      <c r="E1780" s="3">
        <v>843.1</v>
      </c>
      <c r="F1780" s="3">
        <v>293.9</v>
      </c>
      <c r="G1780" s="3">
        <v>7.0</v>
      </c>
      <c r="H1780" s="3">
        <v>33.7</v>
      </c>
    </row>
    <row r="1781" ht="15.75" customHeight="1">
      <c r="A1781" s="3" t="s">
        <v>56</v>
      </c>
      <c r="B1781" s="3">
        <v>2020.0</v>
      </c>
      <c r="C1781" s="3" t="s">
        <v>14</v>
      </c>
      <c r="D1781" s="3">
        <v>238.6</v>
      </c>
      <c r="E1781" s="3">
        <v>490.4</v>
      </c>
      <c r="F1781" s="3">
        <v>350.3</v>
      </c>
      <c r="G1781" s="3">
        <v>11.0</v>
      </c>
      <c r="H1781" s="3">
        <v>35.2</v>
      </c>
    </row>
    <row r="1782" ht="15.75" customHeight="1">
      <c r="A1782" s="3" t="s">
        <v>56</v>
      </c>
      <c r="B1782" s="3">
        <v>2021.0</v>
      </c>
      <c r="C1782" s="3" t="s">
        <v>9</v>
      </c>
      <c r="D1782" s="3">
        <v>286.4</v>
      </c>
      <c r="E1782" s="3">
        <v>638.5</v>
      </c>
      <c r="F1782" s="3">
        <v>253.5</v>
      </c>
      <c r="G1782" s="3">
        <v>5.0</v>
      </c>
      <c r="H1782" s="3">
        <v>48.1</v>
      </c>
    </row>
    <row r="1783" ht="15.75" customHeight="1">
      <c r="A1783" s="3" t="s">
        <v>56</v>
      </c>
      <c r="B1783" s="3">
        <v>2021.0</v>
      </c>
      <c r="C1783" s="3" t="s">
        <v>10</v>
      </c>
      <c r="D1783" s="3">
        <v>340.4</v>
      </c>
      <c r="E1783" s="3">
        <v>951.9</v>
      </c>
      <c r="F1783" s="3">
        <v>282.7</v>
      </c>
      <c r="G1783" s="3">
        <v>10.0</v>
      </c>
      <c r="H1783" s="3">
        <v>44.6</v>
      </c>
    </row>
    <row r="1784" ht="15.75" customHeight="1">
      <c r="A1784" s="3" t="s">
        <v>56</v>
      </c>
      <c r="B1784" s="3">
        <v>2021.0</v>
      </c>
      <c r="C1784" s="3" t="s">
        <v>11</v>
      </c>
      <c r="D1784" s="3">
        <v>309.0</v>
      </c>
      <c r="E1784" s="3">
        <v>763.6</v>
      </c>
      <c r="F1784" s="3">
        <v>435.0</v>
      </c>
      <c r="G1784" s="3">
        <v>6.0</v>
      </c>
      <c r="H1784" s="3">
        <v>28.0</v>
      </c>
    </row>
    <row r="1785" ht="15.75" customHeight="1">
      <c r="A1785" s="3" t="s">
        <v>56</v>
      </c>
      <c r="B1785" s="3">
        <v>2021.0</v>
      </c>
      <c r="C1785" s="3" t="s">
        <v>13</v>
      </c>
      <c r="D1785" s="3">
        <v>276.6</v>
      </c>
      <c r="E1785" s="3">
        <v>589.7</v>
      </c>
      <c r="F1785" s="3">
        <v>352.3</v>
      </c>
      <c r="G1785" s="3">
        <v>4.0</v>
      </c>
      <c r="H1785" s="3">
        <v>47.0</v>
      </c>
    </row>
    <row r="1786" ht="15.75" customHeight="1">
      <c r="A1786" s="3" t="s">
        <v>56</v>
      </c>
      <c r="B1786" s="3">
        <v>2021.0</v>
      </c>
      <c r="C1786" s="3" t="s">
        <v>14</v>
      </c>
      <c r="D1786" s="3">
        <v>271.2</v>
      </c>
      <c r="E1786" s="3">
        <v>775.0</v>
      </c>
      <c r="F1786" s="3">
        <v>236.8</v>
      </c>
      <c r="G1786" s="3">
        <v>7.0</v>
      </c>
      <c r="H1786" s="3">
        <v>14.7</v>
      </c>
    </row>
    <row r="1787" ht="15.75" customHeight="1">
      <c r="A1787" s="3" t="s">
        <v>56</v>
      </c>
      <c r="B1787" s="3">
        <v>2022.0</v>
      </c>
      <c r="C1787" s="3" t="s">
        <v>9</v>
      </c>
      <c r="D1787" s="3">
        <v>349.5</v>
      </c>
      <c r="E1787" s="3">
        <v>946.8</v>
      </c>
      <c r="F1787" s="3">
        <v>312.5</v>
      </c>
      <c r="G1787" s="3">
        <v>6.0</v>
      </c>
      <c r="H1787" s="3">
        <v>30.7</v>
      </c>
    </row>
    <row r="1788" ht="15.75" customHeight="1">
      <c r="A1788" s="3" t="s">
        <v>56</v>
      </c>
      <c r="B1788" s="3">
        <v>2022.0</v>
      </c>
      <c r="C1788" s="3" t="s">
        <v>10</v>
      </c>
      <c r="D1788" s="3">
        <v>292.6</v>
      </c>
      <c r="E1788" s="3">
        <v>782.2</v>
      </c>
      <c r="F1788" s="3">
        <v>322.7</v>
      </c>
      <c r="G1788" s="3">
        <v>11.0</v>
      </c>
      <c r="H1788" s="3">
        <v>10.6</v>
      </c>
    </row>
    <row r="1789" ht="15.75" customHeight="1">
      <c r="A1789" s="3" t="s">
        <v>56</v>
      </c>
      <c r="B1789" s="3">
        <v>2022.0</v>
      </c>
      <c r="C1789" s="3" t="s">
        <v>11</v>
      </c>
      <c r="D1789" s="3">
        <v>303.9</v>
      </c>
      <c r="E1789" s="3">
        <v>836.7</v>
      </c>
      <c r="F1789" s="3">
        <v>354.8</v>
      </c>
      <c r="G1789" s="3">
        <v>5.0</v>
      </c>
      <c r="H1789" s="3">
        <v>4.2</v>
      </c>
    </row>
    <row r="1790" ht="15.75" customHeight="1">
      <c r="A1790" s="3" t="s">
        <v>56</v>
      </c>
      <c r="B1790" s="3">
        <v>2022.0</v>
      </c>
      <c r="C1790" s="3" t="s">
        <v>13</v>
      </c>
      <c r="D1790" s="3">
        <v>310.2</v>
      </c>
      <c r="E1790" s="3">
        <v>714.8</v>
      </c>
      <c r="F1790" s="3">
        <v>345.9</v>
      </c>
      <c r="G1790" s="3">
        <v>6.0</v>
      </c>
      <c r="H1790" s="3">
        <v>5.9</v>
      </c>
    </row>
    <row r="1791" ht="15.75" customHeight="1">
      <c r="A1791" s="3" t="s">
        <v>56</v>
      </c>
      <c r="B1791" s="3">
        <v>2022.0</v>
      </c>
      <c r="C1791" s="3" t="s">
        <v>14</v>
      </c>
      <c r="D1791" s="3">
        <v>285.4</v>
      </c>
      <c r="E1791" s="3">
        <v>594.0</v>
      </c>
      <c r="F1791" s="3">
        <v>315.4</v>
      </c>
      <c r="G1791" s="3">
        <v>5.0</v>
      </c>
      <c r="H1791" s="3">
        <v>20.0</v>
      </c>
    </row>
    <row r="1792" ht="15.75" customHeight="1">
      <c r="A1792" s="3" t="s">
        <v>56</v>
      </c>
      <c r="B1792" s="3">
        <v>2023.0</v>
      </c>
      <c r="C1792" s="3" t="s">
        <v>9</v>
      </c>
      <c r="D1792" s="3">
        <v>397.1</v>
      </c>
      <c r="E1792" s="3">
        <v>816.2</v>
      </c>
      <c r="F1792" s="3">
        <v>396.7</v>
      </c>
      <c r="G1792" s="3">
        <v>5.0</v>
      </c>
      <c r="H1792" s="3">
        <v>36.8</v>
      </c>
    </row>
    <row r="1793" ht="15.75" customHeight="1">
      <c r="A1793" s="3" t="s">
        <v>56</v>
      </c>
      <c r="B1793" s="3">
        <v>2023.0</v>
      </c>
      <c r="C1793" s="3" t="s">
        <v>10</v>
      </c>
      <c r="D1793" s="3">
        <v>384.1</v>
      </c>
      <c r="E1793" s="3">
        <v>835.4</v>
      </c>
      <c r="F1793" s="3">
        <v>492.9</v>
      </c>
      <c r="G1793" s="3">
        <v>6.0</v>
      </c>
      <c r="H1793" s="3">
        <v>18.7</v>
      </c>
    </row>
    <row r="1794" ht="15.75" customHeight="1">
      <c r="A1794" s="3" t="s">
        <v>56</v>
      </c>
      <c r="B1794" s="3">
        <v>2023.0</v>
      </c>
      <c r="C1794" s="3" t="s">
        <v>11</v>
      </c>
      <c r="D1794" s="3">
        <v>310.2</v>
      </c>
      <c r="E1794" s="3">
        <v>773.9</v>
      </c>
      <c r="F1794" s="3">
        <v>276.9</v>
      </c>
      <c r="G1794" s="3">
        <v>10.0</v>
      </c>
      <c r="H1794" s="3">
        <v>16.3</v>
      </c>
    </row>
    <row r="1795" ht="15.75" customHeight="1">
      <c r="A1795" s="3" t="s">
        <v>56</v>
      </c>
      <c r="B1795" s="3">
        <v>2023.0</v>
      </c>
      <c r="C1795" s="3" t="s">
        <v>13</v>
      </c>
      <c r="D1795" s="3">
        <v>369.0</v>
      </c>
      <c r="E1795" s="3">
        <v>936.7</v>
      </c>
      <c r="F1795" s="3">
        <v>499.9</v>
      </c>
      <c r="G1795" s="3">
        <v>7.0</v>
      </c>
      <c r="H1795" s="3">
        <v>30.8</v>
      </c>
    </row>
    <row r="1796" ht="15.75" customHeight="1">
      <c r="A1796" s="3" t="s">
        <v>56</v>
      </c>
      <c r="B1796" s="3">
        <v>2023.0</v>
      </c>
      <c r="C1796" s="3" t="s">
        <v>14</v>
      </c>
      <c r="D1796" s="3">
        <v>337.1</v>
      </c>
      <c r="E1796" s="3">
        <v>987.5</v>
      </c>
      <c r="F1796" s="3">
        <v>305.9</v>
      </c>
      <c r="G1796" s="3">
        <v>10.0</v>
      </c>
      <c r="H1796" s="3">
        <v>1.3</v>
      </c>
    </row>
    <row r="1797" ht="15.75" customHeight="1">
      <c r="A1797" s="3" t="s">
        <v>56</v>
      </c>
      <c r="B1797" s="3">
        <v>2024.0</v>
      </c>
      <c r="C1797" s="3" t="s">
        <v>9</v>
      </c>
      <c r="D1797" s="3">
        <v>332.8</v>
      </c>
      <c r="E1797" s="3">
        <v>934.3</v>
      </c>
      <c r="F1797" s="3">
        <v>334.8</v>
      </c>
      <c r="G1797" s="3">
        <v>5.0</v>
      </c>
      <c r="H1797" s="3">
        <v>31.4</v>
      </c>
    </row>
    <row r="1798" ht="15.75" customHeight="1">
      <c r="A1798" s="3" t="s">
        <v>56</v>
      </c>
      <c r="B1798" s="3">
        <v>2024.0</v>
      </c>
      <c r="C1798" s="3" t="s">
        <v>10</v>
      </c>
      <c r="D1798" s="3">
        <v>432.9</v>
      </c>
      <c r="E1798" s="3">
        <v>984.8</v>
      </c>
      <c r="F1798" s="3">
        <v>563.5</v>
      </c>
      <c r="G1798" s="3">
        <v>6.0</v>
      </c>
      <c r="H1798" s="3">
        <v>1.5</v>
      </c>
    </row>
    <row r="1799" ht="15.75" customHeight="1">
      <c r="A1799" s="3" t="s">
        <v>56</v>
      </c>
      <c r="B1799" s="3">
        <v>2024.0</v>
      </c>
      <c r="C1799" s="3" t="s">
        <v>11</v>
      </c>
      <c r="D1799" s="3">
        <v>365.7</v>
      </c>
      <c r="E1799" s="3">
        <v>810.0</v>
      </c>
      <c r="F1799" s="3">
        <v>506.2</v>
      </c>
      <c r="G1799" s="3">
        <v>4.0</v>
      </c>
      <c r="H1799" s="3">
        <v>29.3</v>
      </c>
    </row>
    <row r="1800" ht="15.75" customHeight="1">
      <c r="A1800" s="3" t="s">
        <v>56</v>
      </c>
      <c r="B1800" s="3">
        <v>2024.0</v>
      </c>
      <c r="C1800" s="3" t="s">
        <v>13</v>
      </c>
      <c r="D1800" s="3">
        <v>360.4</v>
      </c>
      <c r="E1800" s="3">
        <v>1070.2</v>
      </c>
      <c r="F1800" s="3">
        <v>302.5</v>
      </c>
      <c r="G1800" s="3">
        <v>9.0</v>
      </c>
      <c r="H1800" s="3">
        <v>10.7</v>
      </c>
    </row>
    <row r="1801" ht="15.75" customHeight="1">
      <c r="A1801" s="3" t="s">
        <v>56</v>
      </c>
      <c r="B1801" s="3">
        <v>2024.0</v>
      </c>
      <c r="C1801" s="3" t="s">
        <v>14</v>
      </c>
      <c r="D1801" s="3">
        <v>377.8</v>
      </c>
      <c r="E1801" s="3">
        <v>884.8</v>
      </c>
      <c r="F1801" s="3">
        <v>541.2</v>
      </c>
      <c r="G1801" s="3">
        <v>13.0</v>
      </c>
      <c r="H1801" s="3">
        <v>16.2</v>
      </c>
    </row>
    <row r="1802" ht="15.75" customHeight="1">
      <c r="A1802" s="3" t="s">
        <v>57</v>
      </c>
      <c r="B1802" s="3">
        <v>2015.0</v>
      </c>
      <c r="C1802" s="3" t="s">
        <v>9</v>
      </c>
      <c r="D1802" s="3">
        <v>149.5</v>
      </c>
      <c r="E1802" s="3">
        <v>445.8</v>
      </c>
      <c r="F1802" s="3">
        <v>156.3</v>
      </c>
      <c r="G1802" s="3">
        <v>10.0</v>
      </c>
      <c r="H1802" s="3">
        <v>10.2</v>
      </c>
    </row>
    <row r="1803" ht="15.75" customHeight="1">
      <c r="A1803" s="3" t="s">
        <v>57</v>
      </c>
      <c r="B1803" s="3">
        <v>2015.0</v>
      </c>
      <c r="C1803" s="3" t="s">
        <v>10</v>
      </c>
      <c r="D1803" s="3">
        <v>96.1</v>
      </c>
      <c r="E1803" s="3">
        <v>276.4</v>
      </c>
      <c r="F1803" s="3">
        <v>134.7</v>
      </c>
      <c r="G1803" s="3">
        <v>5.0</v>
      </c>
      <c r="H1803" s="3">
        <v>35.4</v>
      </c>
    </row>
    <row r="1804" ht="15.75" customHeight="1">
      <c r="A1804" s="3" t="s">
        <v>57</v>
      </c>
      <c r="B1804" s="3">
        <v>2015.0</v>
      </c>
      <c r="C1804" s="3" t="s">
        <v>11</v>
      </c>
      <c r="D1804" s="3">
        <v>99.7</v>
      </c>
      <c r="E1804" s="3">
        <v>251.7</v>
      </c>
      <c r="F1804" s="3">
        <v>113.7</v>
      </c>
      <c r="G1804" s="3">
        <v>2.0</v>
      </c>
      <c r="H1804" s="3">
        <v>29.3</v>
      </c>
    </row>
    <row r="1805" ht="15.75" customHeight="1">
      <c r="A1805" s="3" t="s">
        <v>57</v>
      </c>
      <c r="B1805" s="3">
        <v>2015.0</v>
      </c>
      <c r="C1805" s="3" t="s">
        <v>13</v>
      </c>
      <c r="D1805" s="3">
        <v>159.3</v>
      </c>
      <c r="E1805" s="3">
        <v>433.6</v>
      </c>
      <c r="F1805" s="3">
        <v>143.1</v>
      </c>
      <c r="G1805" s="3">
        <v>2.0</v>
      </c>
      <c r="H1805" s="3">
        <v>47.4</v>
      </c>
    </row>
    <row r="1806" ht="15.75" customHeight="1">
      <c r="A1806" s="3" t="s">
        <v>57</v>
      </c>
      <c r="B1806" s="3">
        <v>2015.0</v>
      </c>
      <c r="C1806" s="3" t="s">
        <v>14</v>
      </c>
      <c r="D1806" s="3">
        <v>104.3</v>
      </c>
      <c r="E1806" s="3">
        <v>306.4</v>
      </c>
      <c r="F1806" s="3">
        <v>137.3</v>
      </c>
      <c r="G1806" s="3">
        <v>5.0</v>
      </c>
      <c r="H1806" s="3">
        <v>34.9</v>
      </c>
    </row>
    <row r="1807" ht="15.75" customHeight="1">
      <c r="A1807" s="3" t="s">
        <v>57</v>
      </c>
      <c r="B1807" s="3">
        <v>2016.0</v>
      </c>
      <c r="C1807" s="3" t="s">
        <v>9</v>
      </c>
      <c r="D1807" s="3">
        <v>167.4</v>
      </c>
      <c r="E1807" s="3">
        <v>428.8</v>
      </c>
      <c r="F1807" s="3">
        <v>169.1</v>
      </c>
      <c r="G1807" s="3">
        <v>9.0</v>
      </c>
      <c r="H1807" s="3">
        <v>45.4</v>
      </c>
    </row>
    <row r="1808" ht="15.75" customHeight="1">
      <c r="A1808" s="3" t="s">
        <v>57</v>
      </c>
      <c r="B1808" s="3">
        <v>2016.0</v>
      </c>
      <c r="C1808" s="3" t="s">
        <v>10</v>
      </c>
      <c r="D1808" s="3">
        <v>174.4</v>
      </c>
      <c r="E1808" s="3">
        <v>456.0</v>
      </c>
      <c r="F1808" s="3">
        <v>243.2</v>
      </c>
      <c r="G1808" s="3">
        <v>5.0</v>
      </c>
      <c r="H1808" s="3">
        <v>30.2</v>
      </c>
    </row>
    <row r="1809" ht="15.75" customHeight="1">
      <c r="A1809" s="3" t="s">
        <v>57</v>
      </c>
      <c r="B1809" s="3">
        <v>2016.0</v>
      </c>
      <c r="C1809" s="3" t="s">
        <v>11</v>
      </c>
      <c r="D1809" s="3">
        <v>154.2</v>
      </c>
      <c r="E1809" s="3">
        <v>363.9</v>
      </c>
      <c r="F1809" s="3">
        <v>223.4</v>
      </c>
      <c r="G1809" s="3">
        <v>6.0</v>
      </c>
      <c r="H1809" s="3">
        <v>13.6</v>
      </c>
    </row>
    <row r="1810" ht="15.75" customHeight="1">
      <c r="A1810" s="3" t="s">
        <v>57</v>
      </c>
      <c r="B1810" s="3">
        <v>2016.0</v>
      </c>
      <c r="C1810" s="3" t="s">
        <v>13</v>
      </c>
      <c r="D1810" s="3">
        <v>138.4</v>
      </c>
      <c r="E1810" s="3">
        <v>352.4</v>
      </c>
      <c r="F1810" s="3">
        <v>159.7</v>
      </c>
      <c r="G1810" s="3">
        <v>8.0</v>
      </c>
      <c r="H1810" s="3">
        <v>44.0</v>
      </c>
    </row>
    <row r="1811" ht="15.75" customHeight="1">
      <c r="A1811" s="3" t="s">
        <v>57</v>
      </c>
      <c r="B1811" s="3">
        <v>2016.0</v>
      </c>
      <c r="C1811" s="3" t="s">
        <v>14</v>
      </c>
      <c r="D1811" s="3">
        <v>116.9</v>
      </c>
      <c r="E1811" s="3">
        <v>350.1</v>
      </c>
      <c r="F1811" s="3">
        <v>101.1</v>
      </c>
      <c r="G1811" s="3">
        <v>7.0</v>
      </c>
      <c r="H1811" s="3">
        <v>48.1</v>
      </c>
    </row>
    <row r="1812" ht="15.75" customHeight="1">
      <c r="A1812" s="3" t="s">
        <v>57</v>
      </c>
      <c r="B1812" s="3">
        <v>2017.0</v>
      </c>
      <c r="C1812" s="3" t="s">
        <v>9</v>
      </c>
      <c r="D1812" s="3">
        <v>151.1</v>
      </c>
      <c r="E1812" s="3">
        <v>331.4</v>
      </c>
      <c r="F1812" s="3">
        <v>215.2</v>
      </c>
      <c r="G1812" s="3">
        <v>8.0</v>
      </c>
      <c r="H1812" s="3">
        <v>35.4</v>
      </c>
    </row>
    <row r="1813" ht="15.75" customHeight="1">
      <c r="A1813" s="3" t="s">
        <v>57</v>
      </c>
      <c r="B1813" s="3">
        <v>2017.0</v>
      </c>
      <c r="C1813" s="3" t="s">
        <v>10</v>
      </c>
      <c r="D1813" s="3">
        <v>177.1</v>
      </c>
      <c r="E1813" s="3">
        <v>514.9</v>
      </c>
      <c r="F1813" s="3">
        <v>201.8</v>
      </c>
      <c r="G1813" s="3">
        <v>6.0</v>
      </c>
      <c r="H1813" s="3">
        <v>2.7</v>
      </c>
    </row>
    <row r="1814" ht="15.75" customHeight="1">
      <c r="A1814" s="3" t="s">
        <v>57</v>
      </c>
      <c r="B1814" s="3">
        <v>2017.0</v>
      </c>
      <c r="C1814" s="3" t="s">
        <v>11</v>
      </c>
      <c r="D1814" s="3">
        <v>203.9</v>
      </c>
      <c r="E1814" s="3">
        <v>577.2</v>
      </c>
      <c r="F1814" s="3">
        <v>165.3</v>
      </c>
      <c r="G1814" s="3">
        <v>3.0</v>
      </c>
      <c r="H1814" s="3">
        <v>1.1</v>
      </c>
    </row>
    <row r="1815" ht="15.75" customHeight="1">
      <c r="A1815" s="3" t="s">
        <v>57</v>
      </c>
      <c r="B1815" s="3">
        <v>2017.0</v>
      </c>
      <c r="C1815" s="3" t="s">
        <v>13</v>
      </c>
      <c r="D1815" s="3">
        <v>129.6</v>
      </c>
      <c r="E1815" s="3">
        <v>353.6</v>
      </c>
      <c r="F1815" s="3">
        <v>176.1</v>
      </c>
      <c r="G1815" s="3">
        <v>7.0</v>
      </c>
      <c r="H1815" s="3">
        <v>31.9</v>
      </c>
    </row>
    <row r="1816" ht="15.75" customHeight="1">
      <c r="A1816" s="3" t="s">
        <v>57</v>
      </c>
      <c r="B1816" s="3">
        <v>2017.0</v>
      </c>
      <c r="C1816" s="3" t="s">
        <v>14</v>
      </c>
      <c r="D1816" s="3">
        <v>235.3</v>
      </c>
      <c r="E1816" s="3">
        <v>688.2</v>
      </c>
      <c r="F1816" s="3">
        <v>305.6</v>
      </c>
      <c r="G1816" s="3">
        <v>4.0</v>
      </c>
      <c r="H1816" s="3">
        <v>23.6</v>
      </c>
    </row>
    <row r="1817" ht="15.75" customHeight="1">
      <c r="A1817" s="3" t="s">
        <v>57</v>
      </c>
      <c r="B1817" s="3">
        <v>2018.0</v>
      </c>
      <c r="C1817" s="3" t="s">
        <v>9</v>
      </c>
      <c r="D1817" s="3">
        <v>225.9</v>
      </c>
      <c r="E1817" s="3">
        <v>539.1</v>
      </c>
      <c r="F1817" s="3">
        <v>245.0</v>
      </c>
      <c r="G1817" s="3">
        <v>10.0</v>
      </c>
      <c r="H1817" s="3">
        <v>38.6</v>
      </c>
    </row>
    <row r="1818" ht="15.75" customHeight="1">
      <c r="A1818" s="3" t="s">
        <v>57</v>
      </c>
      <c r="B1818" s="3">
        <v>2018.0</v>
      </c>
      <c r="C1818" s="3" t="s">
        <v>10</v>
      </c>
      <c r="D1818" s="3">
        <v>225.1</v>
      </c>
      <c r="E1818" s="3">
        <v>630.9</v>
      </c>
      <c r="F1818" s="3">
        <v>335.9</v>
      </c>
      <c r="G1818" s="3">
        <v>6.0</v>
      </c>
      <c r="H1818" s="3">
        <v>21.7</v>
      </c>
    </row>
    <row r="1819" ht="15.75" customHeight="1">
      <c r="A1819" s="3" t="s">
        <v>57</v>
      </c>
      <c r="B1819" s="3">
        <v>2018.0</v>
      </c>
      <c r="C1819" s="3" t="s">
        <v>11</v>
      </c>
      <c r="D1819" s="3">
        <v>182.6</v>
      </c>
      <c r="E1819" s="3">
        <v>395.7</v>
      </c>
      <c r="F1819" s="3">
        <v>237.8</v>
      </c>
      <c r="G1819" s="3">
        <v>8.0</v>
      </c>
      <c r="H1819" s="3">
        <v>5.4</v>
      </c>
    </row>
    <row r="1820" ht="15.75" customHeight="1">
      <c r="A1820" s="3" t="s">
        <v>57</v>
      </c>
      <c r="B1820" s="3">
        <v>2018.0</v>
      </c>
      <c r="C1820" s="3" t="s">
        <v>13</v>
      </c>
      <c r="D1820" s="3">
        <v>195.2</v>
      </c>
      <c r="E1820" s="3">
        <v>433.7</v>
      </c>
      <c r="F1820" s="3">
        <v>167.4</v>
      </c>
      <c r="G1820" s="3">
        <v>8.0</v>
      </c>
      <c r="H1820" s="3">
        <v>26.0</v>
      </c>
    </row>
    <row r="1821" ht="15.75" customHeight="1">
      <c r="A1821" s="3" t="s">
        <v>57</v>
      </c>
      <c r="B1821" s="3">
        <v>2018.0</v>
      </c>
      <c r="C1821" s="3" t="s">
        <v>14</v>
      </c>
      <c r="D1821" s="3">
        <v>188.4</v>
      </c>
      <c r="E1821" s="3">
        <v>444.1</v>
      </c>
      <c r="F1821" s="3">
        <v>278.1</v>
      </c>
      <c r="G1821" s="3">
        <v>3.0</v>
      </c>
      <c r="H1821" s="3">
        <v>3.2</v>
      </c>
    </row>
    <row r="1822" ht="15.75" customHeight="1">
      <c r="A1822" s="3" t="s">
        <v>57</v>
      </c>
      <c r="B1822" s="3">
        <v>2019.0</v>
      </c>
      <c r="C1822" s="3" t="s">
        <v>9</v>
      </c>
      <c r="D1822" s="3">
        <v>262.3</v>
      </c>
      <c r="E1822" s="3">
        <v>581.5</v>
      </c>
      <c r="F1822" s="3">
        <v>221.1</v>
      </c>
      <c r="G1822" s="3">
        <v>5.0</v>
      </c>
      <c r="H1822" s="3">
        <v>17.1</v>
      </c>
    </row>
    <row r="1823" ht="15.75" customHeight="1">
      <c r="A1823" s="3" t="s">
        <v>57</v>
      </c>
      <c r="B1823" s="3">
        <v>2019.0</v>
      </c>
      <c r="C1823" s="3" t="s">
        <v>10</v>
      </c>
      <c r="D1823" s="3">
        <v>254.7</v>
      </c>
      <c r="E1823" s="3">
        <v>638.3</v>
      </c>
      <c r="F1823" s="3">
        <v>271.7</v>
      </c>
      <c r="G1823" s="3">
        <v>8.0</v>
      </c>
      <c r="H1823" s="3">
        <v>20.2</v>
      </c>
    </row>
    <row r="1824" ht="15.75" customHeight="1">
      <c r="A1824" s="3" t="s">
        <v>57</v>
      </c>
      <c r="B1824" s="3">
        <v>2019.0</v>
      </c>
      <c r="C1824" s="3" t="s">
        <v>11</v>
      </c>
      <c r="D1824" s="3">
        <v>149.9</v>
      </c>
      <c r="E1824" s="3">
        <v>396.6</v>
      </c>
      <c r="F1824" s="3">
        <v>219.8</v>
      </c>
      <c r="G1824" s="3">
        <v>10.0</v>
      </c>
      <c r="H1824" s="3">
        <v>37.0</v>
      </c>
    </row>
    <row r="1825" ht="15.75" customHeight="1">
      <c r="A1825" s="3" t="s">
        <v>57</v>
      </c>
      <c r="B1825" s="3">
        <v>2019.0</v>
      </c>
      <c r="C1825" s="3" t="s">
        <v>13</v>
      </c>
      <c r="D1825" s="3">
        <v>276.1</v>
      </c>
      <c r="E1825" s="3">
        <v>643.9</v>
      </c>
      <c r="F1825" s="3">
        <v>311.8</v>
      </c>
      <c r="G1825" s="3">
        <v>5.0</v>
      </c>
      <c r="H1825" s="3">
        <v>47.9</v>
      </c>
    </row>
    <row r="1826" ht="15.75" customHeight="1">
      <c r="A1826" s="3" t="s">
        <v>57</v>
      </c>
      <c r="B1826" s="3">
        <v>2019.0</v>
      </c>
      <c r="C1826" s="3" t="s">
        <v>14</v>
      </c>
      <c r="D1826" s="3">
        <v>203.0</v>
      </c>
      <c r="E1826" s="3">
        <v>602.8</v>
      </c>
      <c r="F1826" s="3">
        <v>207.7</v>
      </c>
      <c r="G1826" s="3">
        <v>5.0</v>
      </c>
      <c r="H1826" s="3">
        <v>32.1</v>
      </c>
    </row>
    <row r="1827" ht="15.75" customHeight="1">
      <c r="A1827" s="3" t="s">
        <v>57</v>
      </c>
      <c r="B1827" s="3">
        <v>2020.0</v>
      </c>
      <c r="C1827" s="3" t="s">
        <v>9</v>
      </c>
      <c r="D1827" s="3">
        <v>244.7</v>
      </c>
      <c r="E1827" s="3">
        <v>560.8</v>
      </c>
      <c r="F1827" s="3">
        <v>308.0</v>
      </c>
      <c r="G1827" s="3">
        <v>3.0</v>
      </c>
      <c r="H1827" s="3">
        <v>2.5</v>
      </c>
    </row>
    <row r="1828" ht="15.75" customHeight="1">
      <c r="A1828" s="3" t="s">
        <v>57</v>
      </c>
      <c r="B1828" s="3">
        <v>2020.0</v>
      </c>
      <c r="C1828" s="3" t="s">
        <v>10</v>
      </c>
      <c r="D1828" s="3">
        <v>261.2</v>
      </c>
      <c r="E1828" s="3">
        <v>735.5</v>
      </c>
      <c r="F1828" s="3">
        <v>282.7</v>
      </c>
      <c r="G1828" s="3">
        <v>7.0</v>
      </c>
      <c r="H1828" s="3">
        <v>6.6</v>
      </c>
    </row>
    <row r="1829" ht="15.75" customHeight="1">
      <c r="A1829" s="3" t="s">
        <v>57</v>
      </c>
      <c r="B1829" s="3">
        <v>2020.0</v>
      </c>
      <c r="C1829" s="3" t="s">
        <v>11</v>
      </c>
      <c r="D1829" s="3">
        <v>241.4</v>
      </c>
      <c r="E1829" s="3">
        <v>532.2</v>
      </c>
      <c r="F1829" s="3">
        <v>255.8</v>
      </c>
      <c r="G1829" s="3">
        <v>5.0</v>
      </c>
      <c r="H1829" s="3">
        <v>1.9</v>
      </c>
    </row>
    <row r="1830" ht="15.75" customHeight="1">
      <c r="A1830" s="3" t="s">
        <v>57</v>
      </c>
      <c r="B1830" s="3">
        <v>2020.0</v>
      </c>
      <c r="C1830" s="3" t="s">
        <v>13</v>
      </c>
      <c r="D1830" s="3">
        <v>257.4</v>
      </c>
      <c r="E1830" s="3">
        <v>645.8</v>
      </c>
      <c r="F1830" s="3">
        <v>279.9</v>
      </c>
      <c r="G1830" s="3">
        <v>4.0</v>
      </c>
      <c r="H1830" s="3">
        <v>15.1</v>
      </c>
    </row>
    <row r="1831" ht="15.75" customHeight="1">
      <c r="A1831" s="3" t="s">
        <v>57</v>
      </c>
      <c r="B1831" s="3">
        <v>2020.0</v>
      </c>
      <c r="C1831" s="3" t="s">
        <v>14</v>
      </c>
      <c r="D1831" s="3">
        <v>240.0</v>
      </c>
      <c r="E1831" s="3">
        <v>707.8</v>
      </c>
      <c r="F1831" s="3">
        <v>350.0</v>
      </c>
      <c r="G1831" s="3">
        <v>6.0</v>
      </c>
      <c r="H1831" s="3">
        <v>22.9</v>
      </c>
    </row>
    <row r="1832" ht="15.75" customHeight="1">
      <c r="A1832" s="3" t="s">
        <v>57</v>
      </c>
      <c r="B1832" s="3">
        <v>2021.0</v>
      </c>
      <c r="C1832" s="3" t="s">
        <v>9</v>
      </c>
      <c r="D1832" s="3">
        <v>351.7</v>
      </c>
      <c r="E1832" s="3">
        <v>746.1</v>
      </c>
      <c r="F1832" s="3">
        <v>310.0</v>
      </c>
      <c r="G1832" s="3">
        <v>8.0</v>
      </c>
      <c r="H1832" s="3">
        <v>31.4</v>
      </c>
    </row>
    <row r="1833" ht="15.75" customHeight="1">
      <c r="A1833" s="3" t="s">
        <v>57</v>
      </c>
      <c r="B1833" s="3">
        <v>2021.0</v>
      </c>
      <c r="C1833" s="3" t="s">
        <v>10</v>
      </c>
      <c r="D1833" s="3">
        <v>290.6</v>
      </c>
      <c r="E1833" s="3">
        <v>717.7</v>
      </c>
      <c r="F1833" s="3">
        <v>303.1</v>
      </c>
      <c r="G1833" s="3">
        <v>8.0</v>
      </c>
      <c r="H1833" s="3">
        <v>39.3</v>
      </c>
    </row>
    <row r="1834" ht="15.75" customHeight="1">
      <c r="A1834" s="3" t="s">
        <v>57</v>
      </c>
      <c r="B1834" s="3">
        <v>2021.0</v>
      </c>
      <c r="C1834" s="3" t="s">
        <v>11</v>
      </c>
      <c r="D1834" s="3">
        <v>295.0</v>
      </c>
      <c r="E1834" s="3">
        <v>718.0</v>
      </c>
      <c r="F1834" s="3">
        <v>285.5</v>
      </c>
      <c r="G1834" s="3">
        <v>7.0</v>
      </c>
      <c r="H1834" s="3">
        <v>47.2</v>
      </c>
    </row>
    <row r="1835" ht="15.75" customHeight="1">
      <c r="A1835" s="3" t="s">
        <v>57</v>
      </c>
      <c r="B1835" s="3">
        <v>2021.0</v>
      </c>
      <c r="C1835" s="3" t="s">
        <v>13</v>
      </c>
      <c r="D1835" s="3">
        <v>266.8</v>
      </c>
      <c r="E1835" s="3">
        <v>546.2</v>
      </c>
      <c r="F1835" s="3">
        <v>392.5</v>
      </c>
      <c r="G1835" s="3">
        <v>6.0</v>
      </c>
      <c r="H1835" s="3">
        <v>13.4</v>
      </c>
    </row>
    <row r="1836" ht="15.75" customHeight="1">
      <c r="A1836" s="3" t="s">
        <v>57</v>
      </c>
      <c r="B1836" s="3">
        <v>2021.0</v>
      </c>
      <c r="C1836" s="3" t="s">
        <v>14</v>
      </c>
      <c r="D1836" s="3">
        <v>208.2</v>
      </c>
      <c r="E1836" s="3">
        <v>537.1</v>
      </c>
      <c r="F1836" s="3">
        <v>199.4</v>
      </c>
      <c r="G1836" s="3">
        <v>5.0</v>
      </c>
      <c r="H1836" s="3">
        <v>24.8</v>
      </c>
    </row>
    <row r="1837" ht="15.75" customHeight="1">
      <c r="A1837" s="3" t="s">
        <v>57</v>
      </c>
      <c r="B1837" s="3">
        <v>2022.0</v>
      </c>
      <c r="C1837" s="3" t="s">
        <v>9</v>
      </c>
      <c r="D1837" s="3">
        <v>346.3</v>
      </c>
      <c r="E1837" s="3">
        <v>984.8</v>
      </c>
      <c r="F1837" s="3">
        <v>451.2</v>
      </c>
      <c r="G1837" s="3">
        <v>10.0</v>
      </c>
      <c r="H1837" s="3">
        <v>17.6</v>
      </c>
    </row>
    <row r="1838" ht="15.75" customHeight="1">
      <c r="A1838" s="3" t="s">
        <v>57</v>
      </c>
      <c r="B1838" s="3">
        <v>2022.0</v>
      </c>
      <c r="C1838" s="3" t="s">
        <v>10</v>
      </c>
      <c r="D1838" s="3">
        <v>395.1</v>
      </c>
      <c r="E1838" s="3">
        <v>1176.1</v>
      </c>
      <c r="F1838" s="3">
        <v>493.6</v>
      </c>
      <c r="G1838" s="3">
        <v>6.0</v>
      </c>
      <c r="H1838" s="3">
        <v>10.8</v>
      </c>
    </row>
    <row r="1839" ht="15.75" customHeight="1">
      <c r="A1839" s="3" t="s">
        <v>57</v>
      </c>
      <c r="B1839" s="3">
        <v>2022.0</v>
      </c>
      <c r="C1839" s="3" t="s">
        <v>11</v>
      </c>
      <c r="D1839" s="3">
        <v>376.9</v>
      </c>
      <c r="E1839" s="3">
        <v>968.2</v>
      </c>
      <c r="F1839" s="3">
        <v>402.4</v>
      </c>
      <c r="G1839" s="3">
        <v>11.0</v>
      </c>
      <c r="H1839" s="3">
        <v>49.5</v>
      </c>
    </row>
    <row r="1840" ht="15.75" customHeight="1">
      <c r="A1840" s="3" t="s">
        <v>57</v>
      </c>
      <c r="B1840" s="3">
        <v>2022.0</v>
      </c>
      <c r="C1840" s="3" t="s">
        <v>13</v>
      </c>
      <c r="D1840" s="3">
        <v>300.1</v>
      </c>
      <c r="E1840" s="3">
        <v>792.4</v>
      </c>
      <c r="F1840" s="3">
        <v>367.8</v>
      </c>
      <c r="G1840" s="3">
        <v>7.0</v>
      </c>
      <c r="H1840" s="3">
        <v>31.5</v>
      </c>
    </row>
    <row r="1841" ht="15.75" customHeight="1">
      <c r="A1841" s="3" t="s">
        <v>57</v>
      </c>
      <c r="B1841" s="3">
        <v>2022.0</v>
      </c>
      <c r="C1841" s="3" t="s">
        <v>14</v>
      </c>
      <c r="D1841" s="3">
        <v>318.5</v>
      </c>
      <c r="E1841" s="3">
        <v>697.0</v>
      </c>
      <c r="F1841" s="3">
        <v>381.6</v>
      </c>
      <c r="G1841" s="3">
        <v>8.0</v>
      </c>
      <c r="H1841" s="3">
        <v>17.0</v>
      </c>
    </row>
    <row r="1842" ht="15.75" customHeight="1">
      <c r="A1842" s="3" t="s">
        <v>57</v>
      </c>
      <c r="B1842" s="3">
        <v>2023.0</v>
      </c>
      <c r="C1842" s="3" t="s">
        <v>9</v>
      </c>
      <c r="D1842" s="3">
        <v>372.6</v>
      </c>
      <c r="E1842" s="3">
        <v>976.6</v>
      </c>
      <c r="F1842" s="3">
        <v>511.8</v>
      </c>
      <c r="G1842" s="3">
        <v>4.0</v>
      </c>
      <c r="H1842" s="3">
        <v>38.0</v>
      </c>
    </row>
    <row r="1843" ht="15.75" customHeight="1">
      <c r="A1843" s="3" t="s">
        <v>57</v>
      </c>
      <c r="B1843" s="3">
        <v>2023.0</v>
      </c>
      <c r="C1843" s="3" t="s">
        <v>10</v>
      </c>
      <c r="D1843" s="3">
        <v>307.5</v>
      </c>
      <c r="E1843" s="3">
        <v>617.4</v>
      </c>
      <c r="F1843" s="3">
        <v>340.1</v>
      </c>
      <c r="G1843" s="3">
        <v>11.0</v>
      </c>
      <c r="H1843" s="3">
        <v>12.2</v>
      </c>
    </row>
    <row r="1844" ht="15.75" customHeight="1">
      <c r="A1844" s="3" t="s">
        <v>57</v>
      </c>
      <c r="B1844" s="3">
        <v>2023.0</v>
      </c>
      <c r="C1844" s="3" t="s">
        <v>11</v>
      </c>
      <c r="D1844" s="3">
        <v>316.6</v>
      </c>
      <c r="E1844" s="3">
        <v>858.2</v>
      </c>
      <c r="F1844" s="3">
        <v>399.9</v>
      </c>
      <c r="G1844" s="3">
        <v>8.0</v>
      </c>
      <c r="H1844" s="3">
        <v>41.9</v>
      </c>
    </row>
    <row r="1845" ht="15.75" customHeight="1">
      <c r="A1845" s="3" t="s">
        <v>57</v>
      </c>
      <c r="B1845" s="3">
        <v>2023.0</v>
      </c>
      <c r="C1845" s="3" t="s">
        <v>13</v>
      </c>
      <c r="D1845" s="3">
        <v>336.2</v>
      </c>
      <c r="E1845" s="3">
        <v>691.4</v>
      </c>
      <c r="F1845" s="3">
        <v>281.3</v>
      </c>
      <c r="G1845" s="3">
        <v>5.0</v>
      </c>
      <c r="H1845" s="3">
        <v>22.0</v>
      </c>
    </row>
    <row r="1846" ht="15.75" customHeight="1">
      <c r="A1846" s="3" t="s">
        <v>57</v>
      </c>
      <c r="B1846" s="3">
        <v>2023.0</v>
      </c>
      <c r="C1846" s="3" t="s">
        <v>14</v>
      </c>
      <c r="D1846" s="3">
        <v>317.5</v>
      </c>
      <c r="E1846" s="3">
        <v>877.8</v>
      </c>
      <c r="F1846" s="3">
        <v>457.4</v>
      </c>
      <c r="G1846" s="3">
        <v>11.0</v>
      </c>
      <c r="H1846" s="3">
        <v>14.3</v>
      </c>
    </row>
    <row r="1847" ht="15.75" customHeight="1">
      <c r="A1847" s="3" t="s">
        <v>57</v>
      </c>
      <c r="B1847" s="3">
        <v>2024.0</v>
      </c>
      <c r="C1847" s="3" t="s">
        <v>9</v>
      </c>
      <c r="D1847" s="3">
        <v>387.1</v>
      </c>
      <c r="E1847" s="3">
        <v>1046.2</v>
      </c>
      <c r="F1847" s="3">
        <v>565.2</v>
      </c>
      <c r="G1847" s="3">
        <v>10.0</v>
      </c>
      <c r="H1847" s="3">
        <v>22.6</v>
      </c>
    </row>
    <row r="1848" ht="15.75" customHeight="1">
      <c r="A1848" s="3" t="s">
        <v>57</v>
      </c>
      <c r="B1848" s="3">
        <v>2024.0</v>
      </c>
      <c r="C1848" s="3" t="s">
        <v>10</v>
      </c>
      <c r="D1848" s="3">
        <v>389.2</v>
      </c>
      <c r="E1848" s="3">
        <v>1103.4</v>
      </c>
      <c r="F1848" s="3">
        <v>463.5</v>
      </c>
      <c r="G1848" s="3">
        <v>6.0</v>
      </c>
      <c r="H1848" s="3">
        <v>26.0</v>
      </c>
    </row>
    <row r="1849" ht="15.75" customHeight="1">
      <c r="A1849" s="3" t="s">
        <v>57</v>
      </c>
      <c r="B1849" s="3">
        <v>2024.0</v>
      </c>
      <c r="C1849" s="3" t="s">
        <v>11</v>
      </c>
      <c r="D1849" s="3">
        <v>321.3</v>
      </c>
      <c r="E1849" s="3">
        <v>817.4</v>
      </c>
      <c r="F1849" s="3">
        <v>408.0</v>
      </c>
      <c r="G1849" s="3">
        <v>9.0</v>
      </c>
      <c r="H1849" s="3">
        <v>12.3</v>
      </c>
    </row>
    <row r="1850" ht="15.75" customHeight="1">
      <c r="A1850" s="3" t="s">
        <v>57</v>
      </c>
      <c r="B1850" s="3">
        <v>2024.0</v>
      </c>
      <c r="C1850" s="3" t="s">
        <v>13</v>
      </c>
      <c r="D1850" s="3">
        <v>301.1</v>
      </c>
      <c r="E1850" s="3">
        <v>803.6</v>
      </c>
      <c r="F1850" s="3">
        <v>289.0</v>
      </c>
      <c r="G1850" s="3">
        <v>9.0</v>
      </c>
      <c r="H1850" s="3">
        <v>24.2</v>
      </c>
    </row>
    <row r="1851" ht="15.75" customHeight="1">
      <c r="A1851" s="3" t="s">
        <v>57</v>
      </c>
      <c r="B1851" s="3">
        <v>2024.0</v>
      </c>
      <c r="C1851" s="3" t="s">
        <v>14</v>
      </c>
      <c r="D1851" s="3">
        <v>376.3</v>
      </c>
      <c r="E1851" s="3">
        <v>938.8</v>
      </c>
      <c r="F1851" s="3">
        <v>416.8</v>
      </c>
      <c r="G1851" s="3">
        <v>9.0</v>
      </c>
      <c r="H1851" s="3">
        <v>28.1</v>
      </c>
    </row>
    <row r="1852" ht="15.75" customHeight="1">
      <c r="A1852" s="3" t="s">
        <v>58</v>
      </c>
      <c r="B1852" s="3">
        <v>2015.0</v>
      </c>
      <c r="C1852" s="3" t="s">
        <v>9</v>
      </c>
      <c r="D1852" s="3">
        <v>128.2</v>
      </c>
      <c r="E1852" s="3">
        <v>259.5</v>
      </c>
      <c r="F1852" s="3">
        <v>136.3</v>
      </c>
      <c r="G1852" s="3">
        <v>10.0</v>
      </c>
      <c r="H1852" s="3">
        <v>20.6</v>
      </c>
    </row>
    <row r="1853" ht="15.75" customHeight="1">
      <c r="A1853" s="3" t="s">
        <v>58</v>
      </c>
      <c r="B1853" s="3">
        <v>2015.0</v>
      </c>
      <c r="C1853" s="3" t="s">
        <v>10</v>
      </c>
      <c r="D1853" s="3">
        <v>105.1</v>
      </c>
      <c r="E1853" s="3">
        <v>239.0</v>
      </c>
      <c r="F1853" s="3">
        <v>106.4</v>
      </c>
      <c r="G1853" s="3">
        <v>8.0</v>
      </c>
      <c r="H1853" s="3">
        <v>13.3</v>
      </c>
    </row>
    <row r="1854" ht="15.75" customHeight="1">
      <c r="A1854" s="3" t="s">
        <v>58</v>
      </c>
      <c r="B1854" s="3">
        <v>2015.0</v>
      </c>
      <c r="C1854" s="3" t="s">
        <v>11</v>
      </c>
      <c r="D1854" s="3">
        <v>124.3</v>
      </c>
      <c r="E1854" s="3">
        <v>274.0</v>
      </c>
      <c r="F1854" s="3">
        <v>180.6</v>
      </c>
      <c r="G1854" s="3">
        <v>8.0</v>
      </c>
      <c r="H1854" s="3">
        <v>8.3</v>
      </c>
    </row>
    <row r="1855" ht="15.75" customHeight="1">
      <c r="A1855" s="3" t="s">
        <v>58</v>
      </c>
      <c r="B1855" s="3">
        <v>2015.0</v>
      </c>
      <c r="C1855" s="3" t="s">
        <v>13</v>
      </c>
      <c r="D1855" s="3">
        <v>116.1</v>
      </c>
      <c r="E1855" s="3">
        <v>297.5</v>
      </c>
      <c r="F1855" s="3">
        <v>102.1</v>
      </c>
      <c r="G1855" s="3">
        <v>8.0</v>
      </c>
      <c r="H1855" s="3">
        <v>43.5</v>
      </c>
    </row>
    <row r="1856" ht="15.75" customHeight="1">
      <c r="A1856" s="3" t="s">
        <v>58</v>
      </c>
      <c r="B1856" s="3">
        <v>2015.0</v>
      </c>
      <c r="C1856" s="3" t="s">
        <v>14</v>
      </c>
      <c r="D1856" s="3">
        <v>150.3</v>
      </c>
      <c r="E1856" s="3">
        <v>415.0</v>
      </c>
      <c r="F1856" s="3">
        <v>147.8</v>
      </c>
      <c r="G1856" s="3">
        <v>4.0</v>
      </c>
      <c r="H1856" s="3">
        <v>35.0</v>
      </c>
    </row>
    <row r="1857" ht="15.75" customHeight="1">
      <c r="A1857" s="3" t="s">
        <v>58</v>
      </c>
      <c r="B1857" s="3">
        <v>2016.0</v>
      </c>
      <c r="C1857" s="3" t="s">
        <v>9</v>
      </c>
      <c r="D1857" s="3">
        <v>158.9</v>
      </c>
      <c r="E1857" s="3">
        <v>418.6</v>
      </c>
      <c r="F1857" s="3">
        <v>151.9</v>
      </c>
      <c r="G1857" s="3">
        <v>8.0</v>
      </c>
      <c r="H1857" s="3">
        <v>31.1</v>
      </c>
    </row>
    <row r="1858" ht="15.75" customHeight="1">
      <c r="A1858" s="3" t="s">
        <v>58</v>
      </c>
      <c r="B1858" s="3">
        <v>2016.0</v>
      </c>
      <c r="C1858" s="3" t="s">
        <v>10</v>
      </c>
      <c r="D1858" s="3">
        <v>211.9</v>
      </c>
      <c r="E1858" s="3">
        <v>548.3</v>
      </c>
      <c r="F1858" s="3">
        <v>216.7</v>
      </c>
      <c r="G1858" s="3">
        <v>10.0</v>
      </c>
      <c r="H1858" s="3">
        <v>12.0</v>
      </c>
    </row>
    <row r="1859" ht="15.75" customHeight="1">
      <c r="A1859" s="3" t="s">
        <v>58</v>
      </c>
      <c r="B1859" s="3">
        <v>2016.0</v>
      </c>
      <c r="C1859" s="3" t="s">
        <v>11</v>
      </c>
      <c r="D1859" s="3">
        <v>116.8</v>
      </c>
      <c r="E1859" s="3">
        <v>263.2</v>
      </c>
      <c r="F1859" s="3">
        <v>118.5</v>
      </c>
      <c r="G1859" s="3">
        <v>10.0</v>
      </c>
      <c r="H1859" s="3">
        <v>7.5</v>
      </c>
    </row>
    <row r="1860" ht="15.75" customHeight="1">
      <c r="A1860" s="3" t="s">
        <v>58</v>
      </c>
      <c r="B1860" s="3">
        <v>2016.0</v>
      </c>
      <c r="C1860" s="3" t="s">
        <v>13</v>
      </c>
      <c r="D1860" s="3">
        <v>97.3</v>
      </c>
      <c r="E1860" s="3">
        <v>206.0</v>
      </c>
      <c r="F1860" s="3">
        <v>80.5</v>
      </c>
      <c r="G1860" s="3">
        <v>8.0</v>
      </c>
      <c r="H1860" s="3">
        <v>6.7</v>
      </c>
    </row>
    <row r="1861" ht="15.75" customHeight="1">
      <c r="A1861" s="3" t="s">
        <v>58</v>
      </c>
      <c r="B1861" s="3">
        <v>2016.0</v>
      </c>
      <c r="C1861" s="3" t="s">
        <v>14</v>
      </c>
      <c r="D1861" s="3">
        <v>141.9</v>
      </c>
      <c r="E1861" s="3">
        <v>323.9</v>
      </c>
      <c r="F1861" s="3">
        <v>142.9</v>
      </c>
      <c r="G1861" s="3">
        <v>2.0</v>
      </c>
      <c r="H1861" s="3">
        <v>8.0</v>
      </c>
    </row>
    <row r="1862" ht="15.75" customHeight="1">
      <c r="A1862" s="3" t="s">
        <v>58</v>
      </c>
      <c r="B1862" s="3">
        <v>2017.0</v>
      </c>
      <c r="C1862" s="3" t="s">
        <v>9</v>
      </c>
      <c r="D1862" s="3">
        <v>244.2</v>
      </c>
      <c r="E1862" s="3">
        <v>668.3</v>
      </c>
      <c r="F1862" s="3">
        <v>246.2</v>
      </c>
      <c r="G1862" s="3">
        <v>10.0</v>
      </c>
      <c r="H1862" s="3">
        <v>47.6</v>
      </c>
    </row>
    <row r="1863" ht="15.75" customHeight="1">
      <c r="A1863" s="3" t="s">
        <v>58</v>
      </c>
      <c r="B1863" s="3">
        <v>2017.0</v>
      </c>
      <c r="C1863" s="3" t="s">
        <v>10</v>
      </c>
      <c r="D1863" s="3">
        <v>153.3</v>
      </c>
      <c r="E1863" s="3">
        <v>418.7</v>
      </c>
      <c r="F1863" s="3">
        <v>193.9</v>
      </c>
      <c r="G1863" s="3">
        <v>6.0</v>
      </c>
      <c r="H1863" s="3">
        <v>32.4</v>
      </c>
    </row>
    <row r="1864" ht="15.75" customHeight="1">
      <c r="A1864" s="3" t="s">
        <v>58</v>
      </c>
      <c r="B1864" s="3">
        <v>2017.0</v>
      </c>
      <c r="C1864" s="3" t="s">
        <v>11</v>
      </c>
      <c r="D1864" s="3">
        <v>232.6</v>
      </c>
      <c r="E1864" s="3">
        <v>499.7</v>
      </c>
      <c r="F1864" s="3">
        <v>310.8</v>
      </c>
      <c r="G1864" s="3">
        <v>8.0</v>
      </c>
      <c r="H1864" s="3">
        <v>41.9</v>
      </c>
    </row>
    <row r="1865" ht="15.75" customHeight="1">
      <c r="A1865" s="3" t="s">
        <v>58</v>
      </c>
      <c r="B1865" s="3">
        <v>2017.0</v>
      </c>
      <c r="C1865" s="3" t="s">
        <v>13</v>
      </c>
      <c r="D1865" s="3">
        <v>210.1</v>
      </c>
      <c r="E1865" s="3">
        <v>614.3</v>
      </c>
      <c r="F1865" s="3">
        <v>218.1</v>
      </c>
      <c r="G1865" s="3">
        <v>4.0</v>
      </c>
      <c r="H1865" s="3">
        <v>23.7</v>
      </c>
    </row>
    <row r="1866" ht="15.75" customHeight="1">
      <c r="A1866" s="3" t="s">
        <v>58</v>
      </c>
      <c r="B1866" s="3">
        <v>2017.0</v>
      </c>
      <c r="C1866" s="3" t="s">
        <v>14</v>
      </c>
      <c r="D1866" s="3">
        <v>181.5</v>
      </c>
      <c r="E1866" s="3">
        <v>436.2</v>
      </c>
      <c r="F1866" s="3">
        <v>195.8</v>
      </c>
      <c r="G1866" s="3">
        <v>9.0</v>
      </c>
      <c r="H1866" s="3">
        <v>26.0</v>
      </c>
    </row>
    <row r="1867" ht="15.75" customHeight="1">
      <c r="A1867" s="3" t="s">
        <v>58</v>
      </c>
      <c r="B1867" s="3">
        <v>2018.0</v>
      </c>
      <c r="C1867" s="3" t="s">
        <v>9</v>
      </c>
      <c r="D1867" s="3">
        <v>177.4</v>
      </c>
      <c r="E1867" s="3">
        <v>509.4</v>
      </c>
      <c r="F1867" s="3">
        <v>187.0</v>
      </c>
      <c r="G1867" s="3">
        <v>2.0</v>
      </c>
      <c r="H1867" s="3">
        <v>6.7</v>
      </c>
    </row>
    <row r="1868" ht="15.75" customHeight="1">
      <c r="A1868" s="3" t="s">
        <v>58</v>
      </c>
      <c r="B1868" s="3">
        <v>2018.0</v>
      </c>
      <c r="C1868" s="3" t="s">
        <v>10</v>
      </c>
      <c r="D1868" s="3">
        <v>172.8</v>
      </c>
      <c r="E1868" s="3">
        <v>494.7</v>
      </c>
      <c r="F1868" s="3">
        <v>185.8</v>
      </c>
      <c r="G1868" s="3">
        <v>2.0</v>
      </c>
      <c r="H1868" s="3">
        <v>48.3</v>
      </c>
    </row>
    <row r="1869" ht="15.75" customHeight="1">
      <c r="A1869" s="3" t="s">
        <v>58</v>
      </c>
      <c r="B1869" s="3">
        <v>2018.0</v>
      </c>
      <c r="C1869" s="3" t="s">
        <v>11</v>
      </c>
      <c r="D1869" s="3">
        <v>211.0</v>
      </c>
      <c r="E1869" s="3">
        <v>559.9</v>
      </c>
      <c r="F1869" s="3">
        <v>171.6</v>
      </c>
      <c r="G1869" s="3">
        <v>9.0</v>
      </c>
      <c r="H1869" s="3">
        <v>6.4</v>
      </c>
    </row>
    <row r="1870" ht="15.75" customHeight="1">
      <c r="A1870" s="3" t="s">
        <v>58</v>
      </c>
      <c r="B1870" s="3">
        <v>2018.0</v>
      </c>
      <c r="C1870" s="3" t="s">
        <v>13</v>
      </c>
      <c r="D1870" s="3">
        <v>196.8</v>
      </c>
      <c r="E1870" s="3">
        <v>397.1</v>
      </c>
      <c r="F1870" s="3">
        <v>184.0</v>
      </c>
      <c r="G1870" s="3">
        <v>4.0</v>
      </c>
      <c r="H1870" s="3">
        <v>13.0</v>
      </c>
    </row>
    <row r="1871" ht="15.75" customHeight="1">
      <c r="A1871" s="3" t="s">
        <v>58</v>
      </c>
      <c r="B1871" s="3">
        <v>2018.0</v>
      </c>
      <c r="C1871" s="3" t="s">
        <v>14</v>
      </c>
      <c r="D1871" s="3">
        <v>205.4</v>
      </c>
      <c r="E1871" s="3">
        <v>428.8</v>
      </c>
      <c r="F1871" s="3">
        <v>244.5</v>
      </c>
      <c r="G1871" s="3">
        <v>3.0</v>
      </c>
      <c r="H1871" s="3">
        <v>18.1</v>
      </c>
    </row>
    <row r="1872" ht="15.75" customHeight="1">
      <c r="A1872" s="3" t="s">
        <v>58</v>
      </c>
      <c r="B1872" s="3">
        <v>2019.0</v>
      </c>
      <c r="C1872" s="3" t="s">
        <v>9</v>
      </c>
      <c r="D1872" s="3">
        <v>236.8</v>
      </c>
      <c r="E1872" s="3">
        <v>488.9</v>
      </c>
      <c r="F1872" s="3">
        <v>261.4</v>
      </c>
      <c r="G1872" s="3">
        <v>6.0</v>
      </c>
      <c r="H1872" s="3">
        <v>23.1</v>
      </c>
    </row>
    <row r="1873" ht="15.75" customHeight="1">
      <c r="A1873" s="3" t="s">
        <v>58</v>
      </c>
      <c r="B1873" s="3">
        <v>2019.0</v>
      </c>
      <c r="C1873" s="3" t="s">
        <v>10</v>
      </c>
      <c r="D1873" s="3">
        <v>202.5</v>
      </c>
      <c r="E1873" s="3">
        <v>583.9</v>
      </c>
      <c r="F1873" s="3">
        <v>262.4</v>
      </c>
      <c r="G1873" s="3">
        <v>4.0</v>
      </c>
      <c r="H1873" s="3">
        <v>10.8</v>
      </c>
    </row>
    <row r="1874" ht="15.75" customHeight="1">
      <c r="A1874" s="3" t="s">
        <v>58</v>
      </c>
      <c r="B1874" s="3">
        <v>2019.0</v>
      </c>
      <c r="C1874" s="3" t="s">
        <v>11</v>
      </c>
      <c r="D1874" s="3">
        <v>171.8</v>
      </c>
      <c r="E1874" s="3">
        <v>346.8</v>
      </c>
      <c r="F1874" s="3">
        <v>224.6</v>
      </c>
      <c r="G1874" s="3">
        <v>2.0</v>
      </c>
      <c r="H1874" s="3">
        <v>24.6</v>
      </c>
    </row>
    <row r="1875" ht="15.75" customHeight="1">
      <c r="A1875" s="3" t="s">
        <v>58</v>
      </c>
      <c r="B1875" s="3">
        <v>2019.0</v>
      </c>
      <c r="C1875" s="3" t="s">
        <v>13</v>
      </c>
      <c r="D1875" s="3">
        <v>184.4</v>
      </c>
      <c r="E1875" s="3">
        <v>549.7</v>
      </c>
      <c r="F1875" s="3">
        <v>193.5</v>
      </c>
      <c r="G1875" s="3">
        <v>6.0</v>
      </c>
      <c r="H1875" s="3">
        <v>9.3</v>
      </c>
    </row>
    <row r="1876" ht="15.75" customHeight="1">
      <c r="A1876" s="3" t="s">
        <v>58</v>
      </c>
      <c r="B1876" s="3">
        <v>2019.0</v>
      </c>
      <c r="C1876" s="3" t="s">
        <v>14</v>
      </c>
      <c r="D1876" s="3">
        <v>193.8</v>
      </c>
      <c r="E1876" s="3">
        <v>529.7</v>
      </c>
      <c r="F1876" s="3">
        <v>191.6</v>
      </c>
      <c r="G1876" s="3">
        <v>9.0</v>
      </c>
      <c r="H1876" s="3">
        <v>8.2</v>
      </c>
    </row>
    <row r="1877" ht="15.75" customHeight="1">
      <c r="A1877" s="3" t="s">
        <v>58</v>
      </c>
      <c r="B1877" s="3">
        <v>2020.0</v>
      </c>
      <c r="C1877" s="3" t="s">
        <v>9</v>
      </c>
      <c r="D1877" s="3">
        <v>256.8</v>
      </c>
      <c r="E1877" s="3">
        <v>727.9</v>
      </c>
      <c r="F1877" s="3">
        <v>215.0</v>
      </c>
      <c r="G1877" s="3">
        <v>7.0</v>
      </c>
      <c r="H1877" s="3">
        <v>31.8</v>
      </c>
    </row>
    <row r="1878" ht="15.75" customHeight="1">
      <c r="A1878" s="3" t="s">
        <v>58</v>
      </c>
      <c r="B1878" s="3">
        <v>2020.0</v>
      </c>
      <c r="C1878" s="3" t="s">
        <v>10</v>
      </c>
      <c r="D1878" s="3">
        <v>221.7</v>
      </c>
      <c r="E1878" s="3">
        <v>618.8</v>
      </c>
      <c r="F1878" s="3">
        <v>192.8</v>
      </c>
      <c r="G1878" s="3">
        <v>11.0</v>
      </c>
      <c r="H1878" s="3">
        <v>34.1</v>
      </c>
    </row>
    <row r="1879" ht="15.75" customHeight="1">
      <c r="A1879" s="3" t="s">
        <v>58</v>
      </c>
      <c r="B1879" s="3">
        <v>2020.0</v>
      </c>
      <c r="C1879" s="3" t="s">
        <v>11</v>
      </c>
      <c r="D1879" s="3">
        <v>277.3</v>
      </c>
      <c r="E1879" s="3">
        <v>744.1</v>
      </c>
      <c r="F1879" s="3">
        <v>334.6</v>
      </c>
      <c r="G1879" s="3">
        <v>5.0</v>
      </c>
      <c r="H1879" s="3">
        <v>38.1</v>
      </c>
    </row>
    <row r="1880" ht="15.75" customHeight="1">
      <c r="A1880" s="3" t="s">
        <v>58</v>
      </c>
      <c r="B1880" s="3">
        <v>2020.0</v>
      </c>
      <c r="C1880" s="3" t="s">
        <v>13</v>
      </c>
      <c r="D1880" s="3">
        <v>200.9</v>
      </c>
      <c r="E1880" s="3">
        <v>591.1</v>
      </c>
      <c r="F1880" s="3">
        <v>235.3</v>
      </c>
      <c r="G1880" s="3">
        <v>4.0</v>
      </c>
      <c r="H1880" s="3">
        <v>4.9</v>
      </c>
    </row>
    <row r="1881" ht="15.75" customHeight="1">
      <c r="A1881" s="3" t="s">
        <v>58</v>
      </c>
      <c r="B1881" s="3">
        <v>2020.0</v>
      </c>
      <c r="C1881" s="3" t="s">
        <v>14</v>
      </c>
      <c r="D1881" s="3">
        <v>295.4</v>
      </c>
      <c r="E1881" s="3">
        <v>620.5</v>
      </c>
      <c r="F1881" s="3">
        <v>375.7</v>
      </c>
      <c r="G1881" s="3">
        <v>6.0</v>
      </c>
      <c r="H1881" s="3">
        <v>19.1</v>
      </c>
    </row>
    <row r="1882" ht="15.75" customHeight="1">
      <c r="A1882" s="3" t="s">
        <v>58</v>
      </c>
      <c r="B1882" s="3">
        <v>2021.0</v>
      </c>
      <c r="C1882" s="3" t="s">
        <v>9</v>
      </c>
      <c r="D1882" s="3">
        <v>335.7</v>
      </c>
      <c r="E1882" s="3">
        <v>1000.1</v>
      </c>
      <c r="F1882" s="3">
        <v>377.7</v>
      </c>
      <c r="G1882" s="3">
        <v>12.0</v>
      </c>
      <c r="H1882" s="3">
        <v>32.1</v>
      </c>
    </row>
    <row r="1883" ht="15.75" customHeight="1">
      <c r="A1883" s="3" t="s">
        <v>58</v>
      </c>
      <c r="B1883" s="3">
        <v>2021.0</v>
      </c>
      <c r="C1883" s="3" t="s">
        <v>10</v>
      </c>
      <c r="D1883" s="3">
        <v>287.6</v>
      </c>
      <c r="E1883" s="3">
        <v>717.8</v>
      </c>
      <c r="F1883" s="3">
        <v>417.4</v>
      </c>
      <c r="G1883" s="3">
        <v>6.0</v>
      </c>
      <c r="H1883" s="3">
        <v>45.1</v>
      </c>
    </row>
    <row r="1884" ht="15.75" customHeight="1">
      <c r="A1884" s="3" t="s">
        <v>58</v>
      </c>
      <c r="B1884" s="3">
        <v>2021.0</v>
      </c>
      <c r="C1884" s="3" t="s">
        <v>11</v>
      </c>
      <c r="D1884" s="3">
        <v>335.1</v>
      </c>
      <c r="E1884" s="3">
        <v>745.2</v>
      </c>
      <c r="F1884" s="3">
        <v>372.2</v>
      </c>
      <c r="G1884" s="3">
        <v>11.0</v>
      </c>
      <c r="H1884" s="3">
        <v>41.8</v>
      </c>
    </row>
    <row r="1885" ht="15.75" customHeight="1">
      <c r="A1885" s="3" t="s">
        <v>58</v>
      </c>
      <c r="B1885" s="3">
        <v>2021.0</v>
      </c>
      <c r="C1885" s="3" t="s">
        <v>13</v>
      </c>
      <c r="D1885" s="3">
        <v>271.2</v>
      </c>
      <c r="E1885" s="3">
        <v>649.1</v>
      </c>
      <c r="F1885" s="3">
        <v>373.9</v>
      </c>
      <c r="G1885" s="3">
        <v>9.0</v>
      </c>
      <c r="H1885" s="3">
        <v>2.2</v>
      </c>
    </row>
    <row r="1886" ht="15.75" customHeight="1">
      <c r="A1886" s="3" t="s">
        <v>58</v>
      </c>
      <c r="B1886" s="3">
        <v>2021.0</v>
      </c>
      <c r="C1886" s="3" t="s">
        <v>14</v>
      </c>
      <c r="D1886" s="3">
        <v>267.9</v>
      </c>
      <c r="E1886" s="3">
        <v>618.0</v>
      </c>
      <c r="F1886" s="3">
        <v>384.0</v>
      </c>
      <c r="G1886" s="3">
        <v>3.0</v>
      </c>
      <c r="H1886" s="3">
        <v>12.6</v>
      </c>
    </row>
    <row r="1887" ht="15.75" customHeight="1">
      <c r="A1887" s="3" t="s">
        <v>58</v>
      </c>
      <c r="B1887" s="3">
        <v>2022.0</v>
      </c>
      <c r="C1887" s="3" t="s">
        <v>9</v>
      </c>
      <c r="D1887" s="3">
        <v>290.2</v>
      </c>
      <c r="E1887" s="3">
        <v>673.0</v>
      </c>
      <c r="F1887" s="3">
        <v>311.9</v>
      </c>
      <c r="G1887" s="3">
        <v>3.0</v>
      </c>
      <c r="H1887" s="3">
        <v>34.5</v>
      </c>
    </row>
    <row r="1888" ht="15.75" customHeight="1">
      <c r="A1888" s="3" t="s">
        <v>58</v>
      </c>
      <c r="B1888" s="3">
        <v>2022.0</v>
      </c>
      <c r="C1888" s="3" t="s">
        <v>10</v>
      </c>
      <c r="D1888" s="3">
        <v>373.4</v>
      </c>
      <c r="E1888" s="3">
        <v>896.7</v>
      </c>
      <c r="F1888" s="3">
        <v>515.6</v>
      </c>
      <c r="G1888" s="3">
        <v>12.0</v>
      </c>
      <c r="H1888" s="3">
        <v>22.2</v>
      </c>
    </row>
    <row r="1889" ht="15.75" customHeight="1">
      <c r="A1889" s="3" t="s">
        <v>58</v>
      </c>
      <c r="B1889" s="3">
        <v>2022.0</v>
      </c>
      <c r="C1889" s="3" t="s">
        <v>11</v>
      </c>
      <c r="D1889" s="3">
        <v>343.2</v>
      </c>
      <c r="E1889" s="3">
        <v>749.1</v>
      </c>
      <c r="F1889" s="3">
        <v>421.1</v>
      </c>
      <c r="G1889" s="3">
        <v>10.0</v>
      </c>
      <c r="H1889" s="3">
        <v>39.4</v>
      </c>
    </row>
    <row r="1890" ht="15.75" customHeight="1">
      <c r="A1890" s="3" t="s">
        <v>58</v>
      </c>
      <c r="B1890" s="3">
        <v>2022.0</v>
      </c>
      <c r="C1890" s="3" t="s">
        <v>13</v>
      </c>
      <c r="D1890" s="3">
        <v>313.0</v>
      </c>
      <c r="E1890" s="3">
        <v>747.7</v>
      </c>
      <c r="F1890" s="3">
        <v>372.5</v>
      </c>
      <c r="G1890" s="3">
        <v>11.0</v>
      </c>
      <c r="H1890" s="3">
        <v>9.1</v>
      </c>
    </row>
    <row r="1891" ht="15.75" customHeight="1">
      <c r="A1891" s="3" t="s">
        <v>58</v>
      </c>
      <c r="B1891" s="3">
        <v>2022.0</v>
      </c>
      <c r="C1891" s="3" t="s">
        <v>14</v>
      </c>
      <c r="D1891" s="3">
        <v>375.9</v>
      </c>
      <c r="E1891" s="3">
        <v>845.6</v>
      </c>
      <c r="F1891" s="3">
        <v>451.6</v>
      </c>
      <c r="G1891" s="3">
        <v>7.0</v>
      </c>
      <c r="H1891" s="3">
        <v>24.6</v>
      </c>
    </row>
    <row r="1892" ht="15.75" customHeight="1">
      <c r="A1892" s="3" t="s">
        <v>58</v>
      </c>
      <c r="B1892" s="3">
        <v>2023.0</v>
      </c>
      <c r="C1892" s="3" t="s">
        <v>9</v>
      </c>
      <c r="D1892" s="3">
        <v>360.6</v>
      </c>
      <c r="E1892" s="3">
        <v>846.5</v>
      </c>
      <c r="F1892" s="3">
        <v>532.1</v>
      </c>
      <c r="G1892" s="3">
        <v>6.0</v>
      </c>
      <c r="H1892" s="3">
        <v>20.5</v>
      </c>
    </row>
    <row r="1893" ht="15.75" customHeight="1">
      <c r="A1893" s="3" t="s">
        <v>58</v>
      </c>
      <c r="B1893" s="3">
        <v>2023.0</v>
      </c>
      <c r="C1893" s="3" t="s">
        <v>10</v>
      </c>
      <c r="D1893" s="3">
        <v>350.4</v>
      </c>
      <c r="E1893" s="3">
        <v>1051.0</v>
      </c>
      <c r="F1893" s="3">
        <v>356.0</v>
      </c>
      <c r="G1893" s="3">
        <v>7.0</v>
      </c>
      <c r="H1893" s="3">
        <v>34.1</v>
      </c>
    </row>
    <row r="1894" ht="15.75" customHeight="1">
      <c r="A1894" s="3" t="s">
        <v>58</v>
      </c>
      <c r="B1894" s="3">
        <v>2023.0</v>
      </c>
      <c r="C1894" s="3" t="s">
        <v>11</v>
      </c>
      <c r="D1894" s="3">
        <v>345.3</v>
      </c>
      <c r="E1894" s="3">
        <v>728.3</v>
      </c>
      <c r="F1894" s="3">
        <v>505.6</v>
      </c>
      <c r="G1894" s="3">
        <v>12.0</v>
      </c>
      <c r="H1894" s="3">
        <v>25.6</v>
      </c>
    </row>
    <row r="1895" ht="15.75" customHeight="1">
      <c r="A1895" s="3" t="s">
        <v>58</v>
      </c>
      <c r="B1895" s="3">
        <v>2023.0</v>
      </c>
      <c r="C1895" s="3" t="s">
        <v>13</v>
      </c>
      <c r="D1895" s="3">
        <v>367.5</v>
      </c>
      <c r="E1895" s="3">
        <v>750.5</v>
      </c>
      <c r="F1895" s="3">
        <v>447.9</v>
      </c>
      <c r="G1895" s="3">
        <v>9.0</v>
      </c>
      <c r="H1895" s="3">
        <v>18.7</v>
      </c>
    </row>
    <row r="1896" ht="15.75" customHeight="1">
      <c r="A1896" s="3" t="s">
        <v>58</v>
      </c>
      <c r="B1896" s="3">
        <v>2023.0</v>
      </c>
      <c r="C1896" s="3" t="s">
        <v>14</v>
      </c>
      <c r="D1896" s="3">
        <v>370.0</v>
      </c>
      <c r="E1896" s="3">
        <v>879.0</v>
      </c>
      <c r="F1896" s="3">
        <v>332.5</v>
      </c>
      <c r="G1896" s="3">
        <v>10.0</v>
      </c>
      <c r="H1896" s="3">
        <v>46.9</v>
      </c>
    </row>
    <row r="1897" ht="15.75" customHeight="1">
      <c r="A1897" s="3" t="s">
        <v>58</v>
      </c>
      <c r="B1897" s="3">
        <v>2024.0</v>
      </c>
      <c r="C1897" s="3" t="s">
        <v>9</v>
      </c>
      <c r="D1897" s="3">
        <v>435.3</v>
      </c>
      <c r="E1897" s="3">
        <v>1091.5</v>
      </c>
      <c r="F1897" s="3">
        <v>593.3</v>
      </c>
      <c r="G1897" s="3">
        <v>6.0</v>
      </c>
      <c r="H1897" s="3">
        <v>28.9</v>
      </c>
    </row>
    <row r="1898" ht="15.75" customHeight="1">
      <c r="A1898" s="3" t="s">
        <v>58</v>
      </c>
      <c r="B1898" s="3">
        <v>2024.0</v>
      </c>
      <c r="C1898" s="3" t="s">
        <v>10</v>
      </c>
      <c r="D1898" s="3">
        <v>466.4</v>
      </c>
      <c r="E1898" s="3">
        <v>1386.0</v>
      </c>
      <c r="F1898" s="3">
        <v>400.5</v>
      </c>
      <c r="G1898" s="3">
        <v>12.0</v>
      </c>
      <c r="H1898" s="3">
        <v>39.4</v>
      </c>
    </row>
    <row r="1899" ht="15.75" customHeight="1">
      <c r="A1899" s="3" t="s">
        <v>58</v>
      </c>
      <c r="B1899" s="3">
        <v>2024.0</v>
      </c>
      <c r="C1899" s="3" t="s">
        <v>11</v>
      </c>
      <c r="D1899" s="3">
        <v>416.2</v>
      </c>
      <c r="E1899" s="3">
        <v>1186.8</v>
      </c>
      <c r="F1899" s="3">
        <v>597.0</v>
      </c>
      <c r="G1899" s="3">
        <v>6.0</v>
      </c>
      <c r="H1899" s="3">
        <v>27.8</v>
      </c>
    </row>
    <row r="1900" ht="15.75" customHeight="1">
      <c r="A1900" s="3" t="s">
        <v>58</v>
      </c>
      <c r="B1900" s="3">
        <v>2024.0</v>
      </c>
      <c r="C1900" s="3" t="s">
        <v>13</v>
      </c>
      <c r="D1900" s="3">
        <v>398.0</v>
      </c>
      <c r="E1900" s="3">
        <v>844.4</v>
      </c>
      <c r="F1900" s="3">
        <v>544.1</v>
      </c>
      <c r="G1900" s="3">
        <v>4.0</v>
      </c>
      <c r="H1900" s="3">
        <v>15.8</v>
      </c>
    </row>
    <row r="1901" ht="15.75" customHeight="1">
      <c r="A1901" s="3" t="s">
        <v>58</v>
      </c>
      <c r="B1901" s="3">
        <v>2024.0</v>
      </c>
      <c r="C1901" s="3" t="s">
        <v>14</v>
      </c>
      <c r="D1901" s="3">
        <v>374.7</v>
      </c>
      <c r="E1901" s="3">
        <v>977.7</v>
      </c>
      <c r="F1901" s="3">
        <v>569.5</v>
      </c>
      <c r="G1901" s="3">
        <v>9.0</v>
      </c>
      <c r="H1901" s="3">
        <v>43.4</v>
      </c>
    </row>
    <row r="1902" ht="15.75" customHeight="1">
      <c r="A1902" s="3" t="s">
        <v>59</v>
      </c>
      <c r="B1902" s="3">
        <v>2015.0</v>
      </c>
      <c r="C1902" s="3" t="s">
        <v>9</v>
      </c>
      <c r="D1902" s="3">
        <v>159.0</v>
      </c>
      <c r="E1902" s="3">
        <v>426.0</v>
      </c>
      <c r="F1902" s="3">
        <v>194.7</v>
      </c>
      <c r="G1902" s="3">
        <v>6.0</v>
      </c>
      <c r="H1902" s="3">
        <v>43.2</v>
      </c>
    </row>
    <row r="1903" ht="15.75" customHeight="1">
      <c r="A1903" s="3" t="s">
        <v>59</v>
      </c>
      <c r="B1903" s="3">
        <v>2015.0</v>
      </c>
      <c r="C1903" s="3" t="s">
        <v>10</v>
      </c>
      <c r="D1903" s="3">
        <v>117.9</v>
      </c>
      <c r="E1903" s="3">
        <v>284.7</v>
      </c>
      <c r="F1903" s="3">
        <v>115.3</v>
      </c>
      <c r="G1903" s="3">
        <v>7.0</v>
      </c>
      <c r="H1903" s="3">
        <v>3.3</v>
      </c>
    </row>
    <row r="1904" ht="15.75" customHeight="1">
      <c r="A1904" s="3" t="s">
        <v>59</v>
      </c>
      <c r="B1904" s="3">
        <v>2015.0</v>
      </c>
      <c r="C1904" s="3" t="s">
        <v>11</v>
      </c>
      <c r="D1904" s="3">
        <v>93.6</v>
      </c>
      <c r="E1904" s="3">
        <v>257.9</v>
      </c>
      <c r="F1904" s="3">
        <v>93.0</v>
      </c>
      <c r="G1904" s="3">
        <v>7.0</v>
      </c>
      <c r="H1904" s="3">
        <v>36.5</v>
      </c>
    </row>
    <row r="1905" ht="15.75" customHeight="1">
      <c r="A1905" s="3" t="s">
        <v>59</v>
      </c>
      <c r="B1905" s="3">
        <v>2015.0</v>
      </c>
      <c r="C1905" s="3" t="s">
        <v>13</v>
      </c>
      <c r="D1905" s="3">
        <v>117.7</v>
      </c>
      <c r="E1905" s="3">
        <v>239.7</v>
      </c>
      <c r="F1905" s="3">
        <v>168.6</v>
      </c>
      <c r="G1905" s="3">
        <v>10.0</v>
      </c>
      <c r="H1905" s="3">
        <v>47.4</v>
      </c>
    </row>
    <row r="1906" ht="15.75" customHeight="1">
      <c r="A1906" s="3" t="s">
        <v>59</v>
      </c>
      <c r="B1906" s="3">
        <v>2015.0</v>
      </c>
      <c r="C1906" s="3" t="s">
        <v>14</v>
      </c>
      <c r="D1906" s="3">
        <v>170.9</v>
      </c>
      <c r="E1906" s="3">
        <v>360.3</v>
      </c>
      <c r="F1906" s="3">
        <v>166.7</v>
      </c>
      <c r="G1906" s="3">
        <v>8.0</v>
      </c>
      <c r="H1906" s="3">
        <v>18.4</v>
      </c>
    </row>
    <row r="1907" ht="15.75" customHeight="1">
      <c r="A1907" s="3" t="s">
        <v>59</v>
      </c>
      <c r="B1907" s="3">
        <v>2016.0</v>
      </c>
      <c r="C1907" s="3" t="s">
        <v>9</v>
      </c>
      <c r="D1907" s="3">
        <v>195.3</v>
      </c>
      <c r="E1907" s="3">
        <v>515.4</v>
      </c>
      <c r="F1907" s="3">
        <v>246.9</v>
      </c>
      <c r="G1907" s="3">
        <v>5.0</v>
      </c>
      <c r="H1907" s="3">
        <v>17.4</v>
      </c>
    </row>
    <row r="1908" ht="15.75" customHeight="1">
      <c r="A1908" s="3" t="s">
        <v>59</v>
      </c>
      <c r="B1908" s="3">
        <v>2016.0</v>
      </c>
      <c r="C1908" s="3" t="s">
        <v>10</v>
      </c>
      <c r="D1908" s="3">
        <v>216.5</v>
      </c>
      <c r="E1908" s="3">
        <v>641.1</v>
      </c>
      <c r="F1908" s="3">
        <v>221.8</v>
      </c>
      <c r="G1908" s="3">
        <v>3.0</v>
      </c>
      <c r="H1908" s="3">
        <v>40.8</v>
      </c>
    </row>
    <row r="1909" ht="15.75" customHeight="1">
      <c r="A1909" s="3" t="s">
        <v>59</v>
      </c>
      <c r="B1909" s="3">
        <v>2016.0</v>
      </c>
      <c r="C1909" s="3" t="s">
        <v>11</v>
      </c>
      <c r="D1909" s="3">
        <v>237.4</v>
      </c>
      <c r="E1909" s="3">
        <v>664.1</v>
      </c>
      <c r="F1909" s="3">
        <v>275.5</v>
      </c>
      <c r="G1909" s="3">
        <v>3.0</v>
      </c>
      <c r="H1909" s="3">
        <v>35.3</v>
      </c>
    </row>
    <row r="1910" ht="15.75" customHeight="1">
      <c r="A1910" s="3" t="s">
        <v>59</v>
      </c>
      <c r="B1910" s="3">
        <v>2016.0</v>
      </c>
      <c r="C1910" s="3" t="s">
        <v>13</v>
      </c>
      <c r="D1910" s="3">
        <v>144.4</v>
      </c>
      <c r="E1910" s="3">
        <v>409.6</v>
      </c>
      <c r="F1910" s="3">
        <v>211.5</v>
      </c>
      <c r="G1910" s="3">
        <v>3.0</v>
      </c>
      <c r="H1910" s="3">
        <v>35.5</v>
      </c>
    </row>
    <row r="1911" ht="15.75" customHeight="1">
      <c r="A1911" s="3" t="s">
        <v>59</v>
      </c>
      <c r="B1911" s="3">
        <v>2016.0</v>
      </c>
      <c r="C1911" s="3" t="s">
        <v>14</v>
      </c>
      <c r="D1911" s="3">
        <v>183.0</v>
      </c>
      <c r="E1911" s="3">
        <v>482.4</v>
      </c>
      <c r="F1911" s="3">
        <v>266.6</v>
      </c>
      <c r="G1911" s="3">
        <v>4.0</v>
      </c>
      <c r="H1911" s="3">
        <v>5.3</v>
      </c>
    </row>
    <row r="1912" ht="15.75" customHeight="1">
      <c r="A1912" s="3" t="s">
        <v>59</v>
      </c>
      <c r="B1912" s="3">
        <v>2017.0</v>
      </c>
      <c r="C1912" s="3" t="s">
        <v>9</v>
      </c>
      <c r="D1912" s="3">
        <v>151.9</v>
      </c>
      <c r="E1912" s="3">
        <v>425.3</v>
      </c>
      <c r="F1912" s="3">
        <v>160.1</v>
      </c>
      <c r="G1912" s="3">
        <v>7.0</v>
      </c>
      <c r="H1912" s="3">
        <v>39.5</v>
      </c>
    </row>
    <row r="1913" ht="15.75" customHeight="1">
      <c r="A1913" s="3" t="s">
        <v>59</v>
      </c>
      <c r="B1913" s="3">
        <v>2017.0</v>
      </c>
      <c r="C1913" s="3" t="s">
        <v>10</v>
      </c>
      <c r="D1913" s="3">
        <v>210.5</v>
      </c>
      <c r="E1913" s="3">
        <v>485.5</v>
      </c>
      <c r="F1913" s="3">
        <v>227.1</v>
      </c>
      <c r="G1913" s="3">
        <v>9.0</v>
      </c>
      <c r="H1913" s="3">
        <v>28.0</v>
      </c>
    </row>
    <row r="1914" ht="15.75" customHeight="1">
      <c r="A1914" s="3" t="s">
        <v>59</v>
      </c>
      <c r="B1914" s="3">
        <v>2017.0</v>
      </c>
      <c r="C1914" s="3" t="s">
        <v>11</v>
      </c>
      <c r="D1914" s="3">
        <v>243.1</v>
      </c>
      <c r="E1914" s="3">
        <v>597.7</v>
      </c>
      <c r="F1914" s="3">
        <v>241.6</v>
      </c>
      <c r="G1914" s="3">
        <v>3.0</v>
      </c>
      <c r="H1914" s="3">
        <v>17.8</v>
      </c>
    </row>
    <row r="1915" ht="15.75" customHeight="1">
      <c r="A1915" s="3" t="s">
        <v>59</v>
      </c>
      <c r="B1915" s="3">
        <v>2017.0</v>
      </c>
      <c r="C1915" s="3" t="s">
        <v>13</v>
      </c>
      <c r="D1915" s="3">
        <v>212.4</v>
      </c>
      <c r="E1915" s="3">
        <v>548.7</v>
      </c>
      <c r="F1915" s="3">
        <v>211.8</v>
      </c>
      <c r="G1915" s="3">
        <v>9.0</v>
      </c>
      <c r="H1915" s="3">
        <v>8.1</v>
      </c>
    </row>
    <row r="1916" ht="15.75" customHeight="1">
      <c r="A1916" s="3" t="s">
        <v>59</v>
      </c>
      <c r="B1916" s="3">
        <v>2017.0</v>
      </c>
      <c r="C1916" s="3" t="s">
        <v>14</v>
      </c>
      <c r="D1916" s="3">
        <v>178.7</v>
      </c>
      <c r="E1916" s="3">
        <v>467.2</v>
      </c>
      <c r="F1916" s="3">
        <v>221.0</v>
      </c>
      <c r="G1916" s="3">
        <v>2.0</v>
      </c>
      <c r="H1916" s="3">
        <v>7.0</v>
      </c>
    </row>
    <row r="1917" ht="15.75" customHeight="1">
      <c r="A1917" s="3" t="s">
        <v>59</v>
      </c>
      <c r="B1917" s="3">
        <v>2018.0</v>
      </c>
      <c r="C1917" s="3" t="s">
        <v>9</v>
      </c>
      <c r="D1917" s="3">
        <v>131.1</v>
      </c>
      <c r="E1917" s="3">
        <v>369.9</v>
      </c>
      <c r="F1917" s="3">
        <v>144.8</v>
      </c>
      <c r="G1917" s="3">
        <v>9.0</v>
      </c>
      <c r="H1917" s="3">
        <v>2.2</v>
      </c>
    </row>
    <row r="1918" ht="15.75" customHeight="1">
      <c r="A1918" s="3" t="s">
        <v>59</v>
      </c>
      <c r="B1918" s="3">
        <v>2018.0</v>
      </c>
      <c r="C1918" s="3" t="s">
        <v>10</v>
      </c>
      <c r="D1918" s="3">
        <v>169.7</v>
      </c>
      <c r="E1918" s="3">
        <v>382.3</v>
      </c>
      <c r="F1918" s="3">
        <v>181.1</v>
      </c>
      <c r="G1918" s="3">
        <v>3.0</v>
      </c>
      <c r="H1918" s="3">
        <v>38.3</v>
      </c>
    </row>
    <row r="1919" ht="15.75" customHeight="1">
      <c r="A1919" s="3" t="s">
        <v>59</v>
      </c>
      <c r="B1919" s="3">
        <v>2018.0</v>
      </c>
      <c r="C1919" s="3" t="s">
        <v>11</v>
      </c>
      <c r="D1919" s="3">
        <v>248.4</v>
      </c>
      <c r="E1919" s="3">
        <v>510.3</v>
      </c>
      <c r="F1919" s="3">
        <v>228.0</v>
      </c>
      <c r="G1919" s="3">
        <v>7.0</v>
      </c>
      <c r="H1919" s="3">
        <v>40.9</v>
      </c>
    </row>
    <row r="1920" ht="15.75" customHeight="1">
      <c r="A1920" s="3" t="s">
        <v>59</v>
      </c>
      <c r="B1920" s="3">
        <v>2018.0</v>
      </c>
      <c r="C1920" s="3" t="s">
        <v>13</v>
      </c>
      <c r="D1920" s="3">
        <v>265.4</v>
      </c>
      <c r="E1920" s="3">
        <v>738.3</v>
      </c>
      <c r="F1920" s="3">
        <v>278.3</v>
      </c>
      <c r="G1920" s="3">
        <v>5.0</v>
      </c>
      <c r="H1920" s="3">
        <v>35.1</v>
      </c>
    </row>
    <row r="1921" ht="15.75" customHeight="1">
      <c r="A1921" s="3" t="s">
        <v>59</v>
      </c>
      <c r="B1921" s="3">
        <v>2018.0</v>
      </c>
      <c r="C1921" s="3" t="s">
        <v>14</v>
      </c>
      <c r="D1921" s="3">
        <v>236.0</v>
      </c>
      <c r="E1921" s="3">
        <v>490.2</v>
      </c>
      <c r="F1921" s="3">
        <v>193.5</v>
      </c>
      <c r="G1921" s="3">
        <v>11.0</v>
      </c>
      <c r="H1921" s="3">
        <v>37.7</v>
      </c>
    </row>
    <row r="1922" ht="15.75" customHeight="1">
      <c r="A1922" s="3" t="s">
        <v>59</v>
      </c>
      <c r="B1922" s="3">
        <v>2019.0</v>
      </c>
      <c r="C1922" s="3" t="s">
        <v>9</v>
      </c>
      <c r="D1922" s="3">
        <v>235.0</v>
      </c>
      <c r="E1922" s="3">
        <v>614.9</v>
      </c>
      <c r="F1922" s="3">
        <v>275.8</v>
      </c>
      <c r="G1922" s="3">
        <v>11.0</v>
      </c>
      <c r="H1922" s="3">
        <v>4.9</v>
      </c>
    </row>
    <row r="1923" ht="15.75" customHeight="1">
      <c r="A1923" s="3" t="s">
        <v>59</v>
      </c>
      <c r="B1923" s="3">
        <v>2019.0</v>
      </c>
      <c r="C1923" s="3" t="s">
        <v>10</v>
      </c>
      <c r="D1923" s="3">
        <v>202.0</v>
      </c>
      <c r="E1923" s="3">
        <v>451.9</v>
      </c>
      <c r="F1923" s="3">
        <v>232.7</v>
      </c>
      <c r="G1923" s="3">
        <v>6.0</v>
      </c>
      <c r="H1923" s="3">
        <v>14.8</v>
      </c>
    </row>
    <row r="1924" ht="15.75" customHeight="1">
      <c r="A1924" s="3" t="s">
        <v>59</v>
      </c>
      <c r="B1924" s="3">
        <v>2019.0</v>
      </c>
      <c r="C1924" s="3" t="s">
        <v>11</v>
      </c>
      <c r="D1924" s="3">
        <v>233.7</v>
      </c>
      <c r="E1924" s="3">
        <v>490.4</v>
      </c>
      <c r="F1924" s="3">
        <v>260.1</v>
      </c>
      <c r="G1924" s="3">
        <v>11.0</v>
      </c>
      <c r="H1924" s="3">
        <v>9.5</v>
      </c>
    </row>
    <row r="1925" ht="15.75" customHeight="1">
      <c r="A1925" s="3" t="s">
        <v>59</v>
      </c>
      <c r="B1925" s="3">
        <v>2019.0</v>
      </c>
      <c r="C1925" s="3" t="s">
        <v>13</v>
      </c>
      <c r="D1925" s="3">
        <v>221.5</v>
      </c>
      <c r="E1925" s="3">
        <v>614.1</v>
      </c>
      <c r="F1925" s="3">
        <v>321.1</v>
      </c>
      <c r="G1925" s="3">
        <v>11.0</v>
      </c>
      <c r="H1925" s="3">
        <v>3.2</v>
      </c>
    </row>
    <row r="1926" ht="15.75" customHeight="1">
      <c r="A1926" s="3" t="s">
        <v>59</v>
      </c>
      <c r="B1926" s="3">
        <v>2019.0</v>
      </c>
      <c r="C1926" s="3" t="s">
        <v>14</v>
      </c>
      <c r="D1926" s="3">
        <v>251.5</v>
      </c>
      <c r="E1926" s="3">
        <v>729.6</v>
      </c>
      <c r="F1926" s="3">
        <v>217.0</v>
      </c>
      <c r="G1926" s="3">
        <v>5.0</v>
      </c>
      <c r="H1926" s="3">
        <v>25.3</v>
      </c>
    </row>
    <row r="1927" ht="15.75" customHeight="1">
      <c r="A1927" s="3" t="s">
        <v>59</v>
      </c>
      <c r="B1927" s="3">
        <v>2020.0</v>
      </c>
      <c r="C1927" s="3" t="s">
        <v>9</v>
      </c>
      <c r="D1927" s="3">
        <v>249.0</v>
      </c>
      <c r="E1927" s="3">
        <v>636.8</v>
      </c>
      <c r="F1927" s="3">
        <v>314.5</v>
      </c>
      <c r="G1927" s="3">
        <v>4.0</v>
      </c>
      <c r="H1927" s="3">
        <v>19.7</v>
      </c>
    </row>
    <row r="1928" ht="15.75" customHeight="1">
      <c r="A1928" s="3" t="s">
        <v>59</v>
      </c>
      <c r="B1928" s="3">
        <v>2020.0</v>
      </c>
      <c r="C1928" s="3" t="s">
        <v>10</v>
      </c>
      <c r="D1928" s="3">
        <v>264.8</v>
      </c>
      <c r="E1928" s="3">
        <v>560.6</v>
      </c>
      <c r="F1928" s="3">
        <v>339.6</v>
      </c>
      <c r="G1928" s="3">
        <v>11.0</v>
      </c>
      <c r="H1928" s="3">
        <v>14.2</v>
      </c>
    </row>
    <row r="1929" ht="15.75" customHeight="1">
      <c r="A1929" s="3" t="s">
        <v>59</v>
      </c>
      <c r="B1929" s="3">
        <v>2020.0</v>
      </c>
      <c r="C1929" s="3" t="s">
        <v>11</v>
      </c>
      <c r="D1929" s="3">
        <v>292.8</v>
      </c>
      <c r="E1929" s="3">
        <v>625.1</v>
      </c>
      <c r="F1929" s="3">
        <v>340.6</v>
      </c>
      <c r="G1929" s="3">
        <v>7.0</v>
      </c>
      <c r="H1929" s="3">
        <v>16.3</v>
      </c>
    </row>
    <row r="1930" ht="15.75" customHeight="1">
      <c r="A1930" s="3" t="s">
        <v>59</v>
      </c>
      <c r="B1930" s="3">
        <v>2020.0</v>
      </c>
      <c r="C1930" s="3" t="s">
        <v>13</v>
      </c>
      <c r="D1930" s="3">
        <v>279.3</v>
      </c>
      <c r="E1930" s="3">
        <v>575.3</v>
      </c>
      <c r="F1930" s="3">
        <v>227.1</v>
      </c>
      <c r="G1930" s="3">
        <v>7.0</v>
      </c>
      <c r="H1930" s="3">
        <v>21.1</v>
      </c>
    </row>
    <row r="1931" ht="15.75" customHeight="1">
      <c r="A1931" s="3" t="s">
        <v>59</v>
      </c>
      <c r="B1931" s="3">
        <v>2020.0</v>
      </c>
      <c r="C1931" s="3" t="s">
        <v>14</v>
      </c>
      <c r="D1931" s="3">
        <v>279.6</v>
      </c>
      <c r="E1931" s="3">
        <v>767.5</v>
      </c>
      <c r="F1931" s="3">
        <v>248.5</v>
      </c>
      <c r="G1931" s="3">
        <v>8.0</v>
      </c>
      <c r="H1931" s="3">
        <v>7.4</v>
      </c>
    </row>
    <row r="1932" ht="15.75" customHeight="1">
      <c r="A1932" s="3" t="s">
        <v>59</v>
      </c>
      <c r="B1932" s="3">
        <v>2021.0</v>
      </c>
      <c r="C1932" s="3" t="s">
        <v>9</v>
      </c>
      <c r="D1932" s="3">
        <v>314.6</v>
      </c>
      <c r="E1932" s="3">
        <v>770.5</v>
      </c>
      <c r="F1932" s="3">
        <v>407.7</v>
      </c>
      <c r="G1932" s="3">
        <v>5.0</v>
      </c>
      <c r="H1932" s="3">
        <v>44.1</v>
      </c>
    </row>
    <row r="1933" ht="15.75" customHeight="1">
      <c r="A1933" s="3" t="s">
        <v>59</v>
      </c>
      <c r="B1933" s="3">
        <v>2021.0</v>
      </c>
      <c r="C1933" s="3" t="s">
        <v>10</v>
      </c>
      <c r="D1933" s="3">
        <v>226.2</v>
      </c>
      <c r="E1933" s="3">
        <v>614.0</v>
      </c>
      <c r="F1933" s="3">
        <v>227.3</v>
      </c>
      <c r="G1933" s="3">
        <v>5.0</v>
      </c>
      <c r="H1933" s="3">
        <v>30.0</v>
      </c>
    </row>
    <row r="1934" ht="15.75" customHeight="1">
      <c r="A1934" s="3" t="s">
        <v>59</v>
      </c>
      <c r="B1934" s="3">
        <v>2021.0</v>
      </c>
      <c r="C1934" s="3" t="s">
        <v>11</v>
      </c>
      <c r="D1934" s="3">
        <v>299.6</v>
      </c>
      <c r="E1934" s="3">
        <v>856.3</v>
      </c>
      <c r="F1934" s="3">
        <v>394.2</v>
      </c>
      <c r="G1934" s="3">
        <v>3.0</v>
      </c>
      <c r="H1934" s="3">
        <v>29.6</v>
      </c>
    </row>
    <row r="1935" ht="15.75" customHeight="1">
      <c r="A1935" s="3" t="s">
        <v>59</v>
      </c>
      <c r="B1935" s="3">
        <v>2021.0</v>
      </c>
      <c r="C1935" s="3" t="s">
        <v>13</v>
      </c>
      <c r="D1935" s="3">
        <v>293.8</v>
      </c>
      <c r="E1935" s="3">
        <v>842.4</v>
      </c>
      <c r="F1935" s="3">
        <v>303.4</v>
      </c>
      <c r="G1935" s="3">
        <v>8.0</v>
      </c>
      <c r="H1935" s="3">
        <v>47.3</v>
      </c>
    </row>
    <row r="1936" ht="15.75" customHeight="1">
      <c r="A1936" s="3" t="s">
        <v>59</v>
      </c>
      <c r="B1936" s="3">
        <v>2021.0</v>
      </c>
      <c r="C1936" s="3" t="s">
        <v>14</v>
      </c>
      <c r="D1936" s="3">
        <v>306.8</v>
      </c>
      <c r="E1936" s="3">
        <v>787.1</v>
      </c>
      <c r="F1936" s="3">
        <v>298.9</v>
      </c>
      <c r="G1936" s="3">
        <v>10.0</v>
      </c>
      <c r="H1936" s="3">
        <v>22.9</v>
      </c>
    </row>
    <row r="1937" ht="15.75" customHeight="1">
      <c r="A1937" s="3" t="s">
        <v>59</v>
      </c>
      <c r="B1937" s="3">
        <v>2022.0</v>
      </c>
      <c r="C1937" s="3" t="s">
        <v>9</v>
      </c>
      <c r="D1937" s="3">
        <v>334.1</v>
      </c>
      <c r="E1937" s="3">
        <v>754.0</v>
      </c>
      <c r="F1937" s="3">
        <v>279.5</v>
      </c>
      <c r="G1937" s="3">
        <v>4.0</v>
      </c>
      <c r="H1937" s="3">
        <v>26.2</v>
      </c>
    </row>
    <row r="1938" ht="15.75" customHeight="1">
      <c r="A1938" s="3" t="s">
        <v>59</v>
      </c>
      <c r="B1938" s="3">
        <v>2022.0</v>
      </c>
      <c r="C1938" s="3" t="s">
        <v>10</v>
      </c>
      <c r="D1938" s="3">
        <v>292.9</v>
      </c>
      <c r="E1938" s="3">
        <v>649.9</v>
      </c>
      <c r="F1938" s="3">
        <v>296.9</v>
      </c>
      <c r="G1938" s="3">
        <v>3.0</v>
      </c>
      <c r="H1938" s="3">
        <v>36.0</v>
      </c>
    </row>
    <row r="1939" ht="15.75" customHeight="1">
      <c r="A1939" s="3" t="s">
        <v>59</v>
      </c>
      <c r="B1939" s="3">
        <v>2022.0</v>
      </c>
      <c r="C1939" s="3" t="s">
        <v>11</v>
      </c>
      <c r="D1939" s="3">
        <v>313.3</v>
      </c>
      <c r="E1939" s="3">
        <v>656.3</v>
      </c>
      <c r="F1939" s="3">
        <v>411.2</v>
      </c>
      <c r="G1939" s="3">
        <v>7.0</v>
      </c>
      <c r="H1939" s="3">
        <v>29.4</v>
      </c>
    </row>
    <row r="1940" ht="15.75" customHeight="1">
      <c r="A1940" s="3" t="s">
        <v>59</v>
      </c>
      <c r="B1940" s="3">
        <v>2022.0</v>
      </c>
      <c r="C1940" s="3" t="s">
        <v>13</v>
      </c>
      <c r="D1940" s="3">
        <v>340.6</v>
      </c>
      <c r="E1940" s="3">
        <v>969.5</v>
      </c>
      <c r="F1940" s="3">
        <v>432.3</v>
      </c>
      <c r="G1940" s="3">
        <v>6.0</v>
      </c>
      <c r="H1940" s="3">
        <v>10.0</v>
      </c>
    </row>
    <row r="1941" ht="15.75" customHeight="1">
      <c r="A1941" s="3" t="s">
        <v>59</v>
      </c>
      <c r="B1941" s="3">
        <v>2022.0</v>
      </c>
      <c r="C1941" s="3" t="s">
        <v>14</v>
      </c>
      <c r="D1941" s="3">
        <v>312.3</v>
      </c>
      <c r="E1941" s="3">
        <v>765.1</v>
      </c>
      <c r="F1941" s="3">
        <v>415.8</v>
      </c>
      <c r="G1941" s="3">
        <v>5.0</v>
      </c>
      <c r="H1941" s="3">
        <v>7.5</v>
      </c>
    </row>
    <row r="1942" ht="15.75" customHeight="1">
      <c r="A1942" s="3" t="s">
        <v>59</v>
      </c>
      <c r="B1942" s="3">
        <v>2023.0</v>
      </c>
      <c r="C1942" s="3" t="s">
        <v>9</v>
      </c>
      <c r="D1942" s="3">
        <v>365.5</v>
      </c>
      <c r="E1942" s="3">
        <v>832.6</v>
      </c>
      <c r="F1942" s="3">
        <v>463.1</v>
      </c>
      <c r="G1942" s="3">
        <v>7.0</v>
      </c>
      <c r="H1942" s="3">
        <v>29.3</v>
      </c>
    </row>
    <row r="1943" ht="15.75" customHeight="1">
      <c r="A1943" s="3" t="s">
        <v>59</v>
      </c>
      <c r="B1943" s="3">
        <v>2023.0</v>
      </c>
      <c r="C1943" s="3" t="s">
        <v>10</v>
      </c>
      <c r="D1943" s="3">
        <v>376.7</v>
      </c>
      <c r="E1943" s="3">
        <v>1026.9</v>
      </c>
      <c r="F1943" s="3">
        <v>315.0</v>
      </c>
      <c r="G1943" s="3">
        <v>7.0</v>
      </c>
      <c r="H1943" s="3">
        <v>35.4</v>
      </c>
    </row>
    <row r="1944" ht="15.75" customHeight="1">
      <c r="A1944" s="3" t="s">
        <v>59</v>
      </c>
      <c r="B1944" s="3">
        <v>2023.0</v>
      </c>
      <c r="C1944" s="3" t="s">
        <v>11</v>
      </c>
      <c r="D1944" s="3">
        <v>375.5</v>
      </c>
      <c r="E1944" s="3">
        <v>841.4</v>
      </c>
      <c r="F1944" s="3">
        <v>435.9</v>
      </c>
      <c r="G1944" s="3">
        <v>11.0</v>
      </c>
      <c r="H1944" s="3">
        <v>17.8</v>
      </c>
    </row>
    <row r="1945" ht="15.75" customHeight="1">
      <c r="A1945" s="3" t="s">
        <v>59</v>
      </c>
      <c r="B1945" s="3">
        <v>2023.0</v>
      </c>
      <c r="C1945" s="3" t="s">
        <v>13</v>
      </c>
      <c r="D1945" s="3">
        <v>337.8</v>
      </c>
      <c r="E1945" s="3">
        <v>931.2</v>
      </c>
      <c r="F1945" s="3">
        <v>343.5</v>
      </c>
      <c r="G1945" s="3">
        <v>7.0</v>
      </c>
      <c r="H1945" s="3">
        <v>33.2</v>
      </c>
    </row>
    <row r="1946" ht="15.75" customHeight="1">
      <c r="A1946" s="3" t="s">
        <v>59</v>
      </c>
      <c r="B1946" s="3">
        <v>2023.0</v>
      </c>
      <c r="C1946" s="3" t="s">
        <v>14</v>
      </c>
      <c r="D1946" s="3">
        <v>345.6</v>
      </c>
      <c r="E1946" s="3">
        <v>774.9</v>
      </c>
      <c r="F1946" s="3">
        <v>335.3</v>
      </c>
      <c r="G1946" s="3">
        <v>9.0</v>
      </c>
      <c r="H1946" s="3">
        <v>3.1</v>
      </c>
    </row>
    <row r="1947" ht="15.75" customHeight="1">
      <c r="A1947" s="3" t="s">
        <v>59</v>
      </c>
      <c r="B1947" s="3">
        <v>2024.0</v>
      </c>
      <c r="C1947" s="3" t="s">
        <v>9</v>
      </c>
      <c r="D1947" s="3">
        <v>414.8</v>
      </c>
      <c r="E1947" s="3">
        <v>1156.0</v>
      </c>
      <c r="F1947" s="3">
        <v>465.9</v>
      </c>
      <c r="G1947" s="3">
        <v>6.0</v>
      </c>
      <c r="H1947" s="3">
        <v>46.1</v>
      </c>
    </row>
    <row r="1948" ht="15.75" customHeight="1">
      <c r="A1948" s="3" t="s">
        <v>59</v>
      </c>
      <c r="B1948" s="3">
        <v>2024.0</v>
      </c>
      <c r="C1948" s="3" t="s">
        <v>10</v>
      </c>
      <c r="D1948" s="3">
        <v>405.8</v>
      </c>
      <c r="E1948" s="3">
        <v>1068.8</v>
      </c>
      <c r="F1948" s="3">
        <v>564.3</v>
      </c>
      <c r="G1948" s="3">
        <v>13.0</v>
      </c>
      <c r="H1948" s="3">
        <v>5.8</v>
      </c>
    </row>
    <row r="1949" ht="15.75" customHeight="1">
      <c r="A1949" s="3" t="s">
        <v>59</v>
      </c>
      <c r="B1949" s="3">
        <v>2024.0</v>
      </c>
      <c r="C1949" s="3" t="s">
        <v>11</v>
      </c>
      <c r="D1949" s="3">
        <v>392.5</v>
      </c>
      <c r="E1949" s="3">
        <v>955.6</v>
      </c>
      <c r="F1949" s="3">
        <v>431.2</v>
      </c>
      <c r="G1949" s="3">
        <v>12.0</v>
      </c>
      <c r="H1949" s="3">
        <v>49.1</v>
      </c>
    </row>
    <row r="1950" ht="15.75" customHeight="1">
      <c r="A1950" s="3" t="s">
        <v>59</v>
      </c>
      <c r="B1950" s="3">
        <v>2024.0</v>
      </c>
      <c r="C1950" s="3" t="s">
        <v>13</v>
      </c>
      <c r="D1950" s="3">
        <v>379.3</v>
      </c>
      <c r="E1950" s="3">
        <v>1126.4</v>
      </c>
      <c r="F1950" s="3">
        <v>548.9</v>
      </c>
      <c r="G1950" s="3">
        <v>11.0</v>
      </c>
      <c r="H1950" s="3">
        <v>15.1</v>
      </c>
    </row>
    <row r="1951" ht="15.75" customHeight="1">
      <c r="A1951" s="3" t="s">
        <v>59</v>
      </c>
      <c r="B1951" s="3">
        <v>2024.0</v>
      </c>
      <c r="C1951" s="3" t="s">
        <v>14</v>
      </c>
      <c r="D1951" s="3">
        <v>373.6</v>
      </c>
      <c r="E1951" s="3">
        <v>1133.3</v>
      </c>
      <c r="F1951" s="3">
        <v>549.2</v>
      </c>
      <c r="G1951" s="3">
        <v>5.0</v>
      </c>
      <c r="H1951" s="3">
        <v>6.9</v>
      </c>
    </row>
    <row r="1952" ht="15.75" customHeight="1">
      <c r="A1952" s="3" t="s">
        <v>60</v>
      </c>
      <c r="B1952" s="3">
        <v>2015.0</v>
      </c>
      <c r="C1952" s="3" t="s">
        <v>9</v>
      </c>
      <c r="D1952" s="3">
        <v>160.9</v>
      </c>
      <c r="E1952" s="3">
        <v>365.7</v>
      </c>
      <c r="F1952" s="3">
        <v>199.3</v>
      </c>
      <c r="G1952" s="3">
        <v>2.0</v>
      </c>
      <c r="H1952" s="3">
        <v>1.7</v>
      </c>
    </row>
    <row r="1953" ht="15.75" customHeight="1">
      <c r="A1953" s="3" t="s">
        <v>60</v>
      </c>
      <c r="B1953" s="3">
        <v>2015.0</v>
      </c>
      <c r="C1953" s="3" t="s">
        <v>10</v>
      </c>
      <c r="D1953" s="3">
        <v>120.2</v>
      </c>
      <c r="E1953" s="3">
        <v>353.2</v>
      </c>
      <c r="F1953" s="3">
        <v>162.6</v>
      </c>
      <c r="G1953" s="3">
        <v>9.0</v>
      </c>
      <c r="H1953" s="3">
        <v>30.5</v>
      </c>
    </row>
    <row r="1954" ht="15.75" customHeight="1">
      <c r="A1954" s="3" t="s">
        <v>60</v>
      </c>
      <c r="B1954" s="3">
        <v>2015.0</v>
      </c>
      <c r="C1954" s="3" t="s">
        <v>11</v>
      </c>
      <c r="D1954" s="3">
        <v>130.2</v>
      </c>
      <c r="E1954" s="3">
        <v>353.7</v>
      </c>
      <c r="F1954" s="3">
        <v>145.6</v>
      </c>
      <c r="G1954" s="3">
        <v>2.0</v>
      </c>
      <c r="H1954" s="3">
        <v>17.3</v>
      </c>
    </row>
    <row r="1955" ht="15.75" customHeight="1">
      <c r="A1955" s="3" t="s">
        <v>60</v>
      </c>
      <c r="B1955" s="3">
        <v>2015.0</v>
      </c>
      <c r="C1955" s="3" t="s">
        <v>13</v>
      </c>
      <c r="D1955" s="3">
        <v>154.7</v>
      </c>
      <c r="E1955" s="3">
        <v>437.1</v>
      </c>
      <c r="F1955" s="3">
        <v>225.2</v>
      </c>
      <c r="G1955" s="3">
        <v>2.0</v>
      </c>
      <c r="H1955" s="3">
        <v>44.4</v>
      </c>
    </row>
    <row r="1956" ht="15.75" customHeight="1">
      <c r="A1956" s="3" t="s">
        <v>60</v>
      </c>
      <c r="B1956" s="3">
        <v>2015.0</v>
      </c>
      <c r="C1956" s="3" t="s">
        <v>14</v>
      </c>
      <c r="D1956" s="3">
        <v>85.8</v>
      </c>
      <c r="E1956" s="3">
        <v>186.2</v>
      </c>
      <c r="F1956" s="3">
        <v>68.7</v>
      </c>
      <c r="G1956" s="3">
        <v>9.0</v>
      </c>
      <c r="H1956" s="3">
        <v>6.4</v>
      </c>
    </row>
    <row r="1957" ht="15.75" customHeight="1">
      <c r="A1957" s="3" t="s">
        <v>60</v>
      </c>
      <c r="B1957" s="3">
        <v>2016.0</v>
      </c>
      <c r="C1957" s="3" t="s">
        <v>9</v>
      </c>
      <c r="D1957" s="3">
        <v>140.5</v>
      </c>
      <c r="E1957" s="3">
        <v>415.7</v>
      </c>
      <c r="F1957" s="3">
        <v>155.9</v>
      </c>
      <c r="G1957" s="3">
        <v>3.0</v>
      </c>
      <c r="H1957" s="3">
        <v>30.4</v>
      </c>
    </row>
    <row r="1958" ht="15.75" customHeight="1">
      <c r="A1958" s="3" t="s">
        <v>60</v>
      </c>
      <c r="B1958" s="3">
        <v>2016.0</v>
      </c>
      <c r="C1958" s="3" t="s">
        <v>10</v>
      </c>
      <c r="D1958" s="3">
        <v>165.7</v>
      </c>
      <c r="E1958" s="3">
        <v>411.1</v>
      </c>
      <c r="F1958" s="3">
        <v>197.6</v>
      </c>
      <c r="G1958" s="3">
        <v>8.0</v>
      </c>
      <c r="H1958" s="3">
        <v>7.0</v>
      </c>
    </row>
    <row r="1959" ht="15.75" customHeight="1">
      <c r="A1959" s="3" t="s">
        <v>60</v>
      </c>
      <c r="B1959" s="3">
        <v>2016.0</v>
      </c>
      <c r="C1959" s="3" t="s">
        <v>11</v>
      </c>
      <c r="D1959" s="3">
        <v>85.3</v>
      </c>
      <c r="E1959" s="3">
        <v>227.3</v>
      </c>
      <c r="F1959" s="3">
        <v>99.7</v>
      </c>
      <c r="G1959" s="3">
        <v>7.0</v>
      </c>
      <c r="H1959" s="3">
        <v>47.9</v>
      </c>
    </row>
    <row r="1960" ht="15.75" customHeight="1">
      <c r="A1960" s="3" t="s">
        <v>60</v>
      </c>
      <c r="B1960" s="3">
        <v>2016.0</v>
      </c>
      <c r="C1960" s="3" t="s">
        <v>13</v>
      </c>
      <c r="D1960" s="3">
        <v>124.4</v>
      </c>
      <c r="E1960" s="3">
        <v>302.3</v>
      </c>
      <c r="F1960" s="3">
        <v>100.5</v>
      </c>
      <c r="G1960" s="3">
        <v>6.0</v>
      </c>
      <c r="H1960" s="3">
        <v>36.4</v>
      </c>
    </row>
    <row r="1961" ht="15.75" customHeight="1">
      <c r="A1961" s="3" t="s">
        <v>60</v>
      </c>
      <c r="B1961" s="3">
        <v>2016.0</v>
      </c>
      <c r="C1961" s="3" t="s">
        <v>14</v>
      </c>
      <c r="D1961" s="3">
        <v>202.4</v>
      </c>
      <c r="E1961" s="3">
        <v>529.5</v>
      </c>
      <c r="F1961" s="3">
        <v>180.4</v>
      </c>
      <c r="G1961" s="3">
        <v>7.0</v>
      </c>
      <c r="H1961" s="3">
        <v>49.9</v>
      </c>
    </row>
    <row r="1962" ht="15.75" customHeight="1">
      <c r="A1962" s="3" t="s">
        <v>60</v>
      </c>
      <c r="B1962" s="3">
        <v>2017.0</v>
      </c>
      <c r="C1962" s="3" t="s">
        <v>9</v>
      </c>
      <c r="D1962" s="3">
        <v>175.3</v>
      </c>
      <c r="E1962" s="3">
        <v>471.0</v>
      </c>
      <c r="F1962" s="3">
        <v>179.3</v>
      </c>
      <c r="G1962" s="3">
        <v>5.0</v>
      </c>
      <c r="H1962" s="3">
        <v>6.0</v>
      </c>
    </row>
    <row r="1963" ht="15.75" customHeight="1">
      <c r="A1963" s="3" t="s">
        <v>60</v>
      </c>
      <c r="B1963" s="3">
        <v>2017.0</v>
      </c>
      <c r="C1963" s="3" t="s">
        <v>10</v>
      </c>
      <c r="D1963" s="3">
        <v>125.3</v>
      </c>
      <c r="E1963" s="3">
        <v>359.7</v>
      </c>
      <c r="F1963" s="3">
        <v>100.6</v>
      </c>
      <c r="G1963" s="3">
        <v>9.0</v>
      </c>
      <c r="H1963" s="3">
        <v>43.0</v>
      </c>
    </row>
    <row r="1964" ht="15.75" customHeight="1">
      <c r="A1964" s="3" t="s">
        <v>60</v>
      </c>
      <c r="B1964" s="3">
        <v>2017.0</v>
      </c>
      <c r="C1964" s="3" t="s">
        <v>11</v>
      </c>
      <c r="D1964" s="3">
        <v>217.3</v>
      </c>
      <c r="E1964" s="3">
        <v>557.5</v>
      </c>
      <c r="F1964" s="3">
        <v>185.6</v>
      </c>
      <c r="G1964" s="3">
        <v>9.0</v>
      </c>
      <c r="H1964" s="3">
        <v>22.6</v>
      </c>
    </row>
    <row r="1965" ht="15.75" customHeight="1">
      <c r="A1965" s="3" t="s">
        <v>60</v>
      </c>
      <c r="B1965" s="3">
        <v>2017.0</v>
      </c>
      <c r="C1965" s="3" t="s">
        <v>13</v>
      </c>
      <c r="D1965" s="3">
        <v>175.9</v>
      </c>
      <c r="E1965" s="3">
        <v>491.2</v>
      </c>
      <c r="F1965" s="3">
        <v>192.0</v>
      </c>
      <c r="G1965" s="3">
        <v>7.0</v>
      </c>
      <c r="H1965" s="3">
        <v>14.6</v>
      </c>
    </row>
    <row r="1966" ht="15.75" customHeight="1">
      <c r="A1966" s="3" t="s">
        <v>60</v>
      </c>
      <c r="B1966" s="3">
        <v>2017.0</v>
      </c>
      <c r="C1966" s="3" t="s">
        <v>14</v>
      </c>
      <c r="D1966" s="3">
        <v>157.9</v>
      </c>
      <c r="E1966" s="3">
        <v>331.3</v>
      </c>
      <c r="F1966" s="3">
        <v>162.5</v>
      </c>
      <c r="G1966" s="3">
        <v>9.0</v>
      </c>
      <c r="H1966" s="3">
        <v>36.4</v>
      </c>
    </row>
    <row r="1967" ht="15.75" customHeight="1">
      <c r="A1967" s="3" t="s">
        <v>60</v>
      </c>
      <c r="B1967" s="3">
        <v>2018.0</v>
      </c>
      <c r="C1967" s="3" t="s">
        <v>9</v>
      </c>
      <c r="D1967" s="3">
        <v>203.8</v>
      </c>
      <c r="E1967" s="3">
        <v>434.5</v>
      </c>
      <c r="F1967" s="3">
        <v>170.1</v>
      </c>
      <c r="G1967" s="3">
        <v>5.0</v>
      </c>
      <c r="H1967" s="3">
        <v>42.4</v>
      </c>
    </row>
    <row r="1968" ht="15.75" customHeight="1">
      <c r="A1968" s="3" t="s">
        <v>60</v>
      </c>
      <c r="B1968" s="3">
        <v>2018.0</v>
      </c>
      <c r="C1968" s="3" t="s">
        <v>10</v>
      </c>
      <c r="D1968" s="3">
        <v>185.7</v>
      </c>
      <c r="E1968" s="3">
        <v>548.6</v>
      </c>
      <c r="F1968" s="3">
        <v>215.0</v>
      </c>
      <c r="G1968" s="3">
        <v>3.0</v>
      </c>
      <c r="H1968" s="3">
        <v>3.2</v>
      </c>
    </row>
    <row r="1969" ht="15.75" customHeight="1">
      <c r="A1969" s="3" t="s">
        <v>60</v>
      </c>
      <c r="B1969" s="3">
        <v>2018.0</v>
      </c>
      <c r="C1969" s="3" t="s">
        <v>11</v>
      </c>
      <c r="D1969" s="3">
        <v>264.6</v>
      </c>
      <c r="E1969" s="3">
        <v>753.5</v>
      </c>
      <c r="F1969" s="3">
        <v>269.1</v>
      </c>
      <c r="G1969" s="3">
        <v>6.0</v>
      </c>
      <c r="H1969" s="3">
        <v>45.0</v>
      </c>
    </row>
    <row r="1970" ht="15.75" customHeight="1">
      <c r="A1970" s="3" t="s">
        <v>60</v>
      </c>
      <c r="B1970" s="3">
        <v>2018.0</v>
      </c>
      <c r="C1970" s="3" t="s">
        <v>13</v>
      </c>
      <c r="D1970" s="3">
        <v>238.9</v>
      </c>
      <c r="E1970" s="3">
        <v>500.5</v>
      </c>
      <c r="F1970" s="3">
        <v>244.7</v>
      </c>
      <c r="G1970" s="3">
        <v>11.0</v>
      </c>
      <c r="H1970" s="3">
        <v>31.5</v>
      </c>
    </row>
    <row r="1971" ht="15.75" customHeight="1">
      <c r="A1971" s="3" t="s">
        <v>60</v>
      </c>
      <c r="B1971" s="3">
        <v>2018.0</v>
      </c>
      <c r="C1971" s="3" t="s">
        <v>14</v>
      </c>
      <c r="D1971" s="3">
        <v>155.1</v>
      </c>
      <c r="E1971" s="3">
        <v>377.1</v>
      </c>
      <c r="F1971" s="3">
        <v>167.7</v>
      </c>
      <c r="G1971" s="3">
        <v>10.0</v>
      </c>
      <c r="H1971" s="3">
        <v>45.9</v>
      </c>
    </row>
    <row r="1972" ht="15.75" customHeight="1">
      <c r="A1972" s="3" t="s">
        <v>60</v>
      </c>
      <c r="B1972" s="3">
        <v>2019.0</v>
      </c>
      <c r="C1972" s="3" t="s">
        <v>9</v>
      </c>
      <c r="D1972" s="3">
        <v>244.9</v>
      </c>
      <c r="E1972" s="3">
        <v>527.0</v>
      </c>
      <c r="F1972" s="3">
        <v>213.7</v>
      </c>
      <c r="G1972" s="3">
        <v>10.0</v>
      </c>
      <c r="H1972" s="3">
        <v>20.7</v>
      </c>
    </row>
    <row r="1973" ht="15.75" customHeight="1">
      <c r="A1973" s="3" t="s">
        <v>60</v>
      </c>
      <c r="B1973" s="3">
        <v>2019.0</v>
      </c>
      <c r="C1973" s="3" t="s">
        <v>10</v>
      </c>
      <c r="D1973" s="3">
        <v>291.9</v>
      </c>
      <c r="E1973" s="3">
        <v>755.7</v>
      </c>
      <c r="F1973" s="3">
        <v>289.8</v>
      </c>
      <c r="G1973" s="3">
        <v>7.0</v>
      </c>
      <c r="H1973" s="3">
        <v>21.2</v>
      </c>
    </row>
    <row r="1974" ht="15.75" customHeight="1">
      <c r="A1974" s="3" t="s">
        <v>60</v>
      </c>
      <c r="B1974" s="3">
        <v>2019.0</v>
      </c>
      <c r="C1974" s="3" t="s">
        <v>11</v>
      </c>
      <c r="D1974" s="3">
        <v>270.4</v>
      </c>
      <c r="E1974" s="3">
        <v>626.4</v>
      </c>
      <c r="F1974" s="3">
        <v>340.1</v>
      </c>
      <c r="G1974" s="3">
        <v>9.0</v>
      </c>
      <c r="H1974" s="3">
        <v>34.3</v>
      </c>
    </row>
    <row r="1975" ht="15.75" customHeight="1">
      <c r="A1975" s="3" t="s">
        <v>60</v>
      </c>
      <c r="B1975" s="3">
        <v>2019.0</v>
      </c>
      <c r="C1975" s="3" t="s">
        <v>13</v>
      </c>
      <c r="D1975" s="3">
        <v>259.0</v>
      </c>
      <c r="E1975" s="3">
        <v>718.4</v>
      </c>
      <c r="F1975" s="3">
        <v>303.1</v>
      </c>
      <c r="G1975" s="3">
        <v>11.0</v>
      </c>
      <c r="H1975" s="3">
        <v>7.2</v>
      </c>
    </row>
    <row r="1976" ht="15.75" customHeight="1">
      <c r="A1976" s="3" t="s">
        <v>60</v>
      </c>
      <c r="B1976" s="3">
        <v>2019.0</v>
      </c>
      <c r="C1976" s="3" t="s">
        <v>14</v>
      </c>
      <c r="D1976" s="3">
        <v>259.0</v>
      </c>
      <c r="E1976" s="3">
        <v>758.4</v>
      </c>
      <c r="F1976" s="3">
        <v>356.1</v>
      </c>
      <c r="G1976" s="3">
        <v>4.0</v>
      </c>
      <c r="H1976" s="3">
        <v>43.8</v>
      </c>
    </row>
    <row r="1977" ht="15.75" customHeight="1">
      <c r="A1977" s="3" t="s">
        <v>60</v>
      </c>
      <c r="B1977" s="3">
        <v>2020.0</v>
      </c>
      <c r="C1977" s="3" t="s">
        <v>9</v>
      </c>
      <c r="D1977" s="3">
        <v>236.8</v>
      </c>
      <c r="E1977" s="3">
        <v>621.4</v>
      </c>
      <c r="F1977" s="3">
        <v>201.5</v>
      </c>
      <c r="G1977" s="3">
        <v>4.0</v>
      </c>
      <c r="H1977" s="3">
        <v>4.5</v>
      </c>
    </row>
    <row r="1978" ht="15.75" customHeight="1">
      <c r="A1978" s="3" t="s">
        <v>60</v>
      </c>
      <c r="B1978" s="3">
        <v>2020.0</v>
      </c>
      <c r="C1978" s="3" t="s">
        <v>10</v>
      </c>
      <c r="D1978" s="3">
        <v>299.6</v>
      </c>
      <c r="E1978" s="3">
        <v>840.8</v>
      </c>
      <c r="F1978" s="3">
        <v>301.8</v>
      </c>
      <c r="G1978" s="3">
        <v>8.0</v>
      </c>
      <c r="H1978" s="3">
        <v>4.0</v>
      </c>
    </row>
    <row r="1979" ht="15.75" customHeight="1">
      <c r="A1979" s="3" t="s">
        <v>60</v>
      </c>
      <c r="B1979" s="3">
        <v>2020.0</v>
      </c>
      <c r="C1979" s="3" t="s">
        <v>11</v>
      </c>
      <c r="D1979" s="3">
        <v>330.8</v>
      </c>
      <c r="E1979" s="3">
        <v>848.4</v>
      </c>
      <c r="F1979" s="3">
        <v>368.3</v>
      </c>
      <c r="G1979" s="3">
        <v>6.0</v>
      </c>
      <c r="H1979" s="3">
        <v>13.4</v>
      </c>
    </row>
    <row r="1980" ht="15.75" customHeight="1">
      <c r="A1980" s="3" t="s">
        <v>60</v>
      </c>
      <c r="B1980" s="3">
        <v>2020.0</v>
      </c>
      <c r="C1980" s="3" t="s">
        <v>13</v>
      </c>
      <c r="D1980" s="3">
        <v>297.9</v>
      </c>
      <c r="E1980" s="3">
        <v>757.9</v>
      </c>
      <c r="F1980" s="3">
        <v>421.2</v>
      </c>
      <c r="G1980" s="3">
        <v>5.0</v>
      </c>
      <c r="H1980" s="3">
        <v>37.9</v>
      </c>
    </row>
    <row r="1981" ht="15.75" customHeight="1">
      <c r="A1981" s="3" t="s">
        <v>60</v>
      </c>
      <c r="B1981" s="3">
        <v>2020.0</v>
      </c>
      <c r="C1981" s="3" t="s">
        <v>14</v>
      </c>
      <c r="D1981" s="3">
        <v>272.5</v>
      </c>
      <c r="E1981" s="3">
        <v>598.5</v>
      </c>
      <c r="F1981" s="3">
        <v>340.5</v>
      </c>
      <c r="G1981" s="3">
        <v>9.0</v>
      </c>
      <c r="H1981" s="3">
        <v>42.4</v>
      </c>
    </row>
    <row r="1982" ht="15.75" customHeight="1">
      <c r="A1982" s="3" t="s">
        <v>60</v>
      </c>
      <c r="B1982" s="3">
        <v>2021.0</v>
      </c>
      <c r="C1982" s="3" t="s">
        <v>9</v>
      </c>
      <c r="D1982" s="3">
        <v>304.1</v>
      </c>
      <c r="E1982" s="3">
        <v>830.3</v>
      </c>
      <c r="F1982" s="3">
        <v>454.7</v>
      </c>
      <c r="G1982" s="3">
        <v>6.0</v>
      </c>
      <c r="H1982" s="3">
        <v>40.6</v>
      </c>
    </row>
    <row r="1983" ht="15.75" customHeight="1">
      <c r="A1983" s="3" t="s">
        <v>60</v>
      </c>
      <c r="B1983" s="3">
        <v>2021.0</v>
      </c>
      <c r="C1983" s="3" t="s">
        <v>10</v>
      </c>
      <c r="D1983" s="3">
        <v>313.1</v>
      </c>
      <c r="E1983" s="3">
        <v>713.1</v>
      </c>
      <c r="F1983" s="3">
        <v>322.8</v>
      </c>
      <c r="G1983" s="3">
        <v>10.0</v>
      </c>
      <c r="H1983" s="3">
        <v>45.1</v>
      </c>
    </row>
    <row r="1984" ht="15.75" customHeight="1">
      <c r="A1984" s="3" t="s">
        <v>60</v>
      </c>
      <c r="B1984" s="3">
        <v>2021.0</v>
      </c>
      <c r="C1984" s="3" t="s">
        <v>11</v>
      </c>
      <c r="D1984" s="3">
        <v>313.0</v>
      </c>
      <c r="E1984" s="3">
        <v>879.7</v>
      </c>
      <c r="F1984" s="3">
        <v>346.1</v>
      </c>
      <c r="G1984" s="3">
        <v>9.0</v>
      </c>
      <c r="H1984" s="3">
        <v>29.2</v>
      </c>
    </row>
    <row r="1985" ht="15.75" customHeight="1">
      <c r="A1985" s="3" t="s">
        <v>60</v>
      </c>
      <c r="B1985" s="3">
        <v>2021.0</v>
      </c>
      <c r="C1985" s="3" t="s">
        <v>13</v>
      </c>
      <c r="D1985" s="3">
        <v>378.0</v>
      </c>
      <c r="E1985" s="3">
        <v>834.6</v>
      </c>
      <c r="F1985" s="3">
        <v>335.5</v>
      </c>
      <c r="G1985" s="3">
        <v>6.0</v>
      </c>
      <c r="H1985" s="3">
        <v>46.6</v>
      </c>
    </row>
    <row r="1986" ht="15.75" customHeight="1">
      <c r="A1986" s="3" t="s">
        <v>60</v>
      </c>
      <c r="B1986" s="3">
        <v>2021.0</v>
      </c>
      <c r="C1986" s="3" t="s">
        <v>14</v>
      </c>
      <c r="D1986" s="3">
        <v>248.7</v>
      </c>
      <c r="E1986" s="3">
        <v>637.1</v>
      </c>
      <c r="F1986" s="3">
        <v>309.9</v>
      </c>
      <c r="G1986" s="3">
        <v>8.0</v>
      </c>
      <c r="H1986" s="3">
        <v>23.7</v>
      </c>
    </row>
    <row r="1987" ht="15.75" customHeight="1">
      <c r="A1987" s="3" t="s">
        <v>60</v>
      </c>
      <c r="B1987" s="3">
        <v>2022.0</v>
      </c>
      <c r="C1987" s="3" t="s">
        <v>9</v>
      </c>
      <c r="D1987" s="3">
        <v>378.0</v>
      </c>
      <c r="E1987" s="3">
        <v>1117.9</v>
      </c>
      <c r="F1987" s="3">
        <v>409.3</v>
      </c>
      <c r="G1987" s="3">
        <v>7.0</v>
      </c>
      <c r="H1987" s="3">
        <v>10.3</v>
      </c>
    </row>
    <row r="1988" ht="15.75" customHeight="1">
      <c r="A1988" s="3" t="s">
        <v>60</v>
      </c>
      <c r="B1988" s="3">
        <v>2022.0</v>
      </c>
      <c r="C1988" s="3" t="s">
        <v>10</v>
      </c>
      <c r="D1988" s="3">
        <v>331.4</v>
      </c>
      <c r="E1988" s="3">
        <v>846.4</v>
      </c>
      <c r="F1988" s="3">
        <v>345.6</v>
      </c>
      <c r="G1988" s="3">
        <v>11.0</v>
      </c>
      <c r="H1988" s="3">
        <v>4.6</v>
      </c>
    </row>
    <row r="1989" ht="15.75" customHeight="1">
      <c r="A1989" s="3" t="s">
        <v>60</v>
      </c>
      <c r="B1989" s="3">
        <v>2022.0</v>
      </c>
      <c r="C1989" s="3" t="s">
        <v>11</v>
      </c>
      <c r="D1989" s="3">
        <v>308.8</v>
      </c>
      <c r="E1989" s="3">
        <v>792.4</v>
      </c>
      <c r="F1989" s="3">
        <v>379.3</v>
      </c>
      <c r="G1989" s="3">
        <v>12.0</v>
      </c>
      <c r="H1989" s="3">
        <v>32.1</v>
      </c>
    </row>
    <row r="1990" ht="15.75" customHeight="1">
      <c r="A1990" s="3" t="s">
        <v>60</v>
      </c>
      <c r="B1990" s="3">
        <v>2022.0</v>
      </c>
      <c r="C1990" s="3" t="s">
        <v>13</v>
      </c>
      <c r="D1990" s="3">
        <v>304.3</v>
      </c>
      <c r="E1990" s="3">
        <v>662.6</v>
      </c>
      <c r="F1990" s="3">
        <v>429.5</v>
      </c>
      <c r="G1990" s="3">
        <v>7.0</v>
      </c>
      <c r="H1990" s="3">
        <v>3.4</v>
      </c>
    </row>
    <row r="1991" ht="15.75" customHeight="1">
      <c r="A1991" s="3" t="s">
        <v>60</v>
      </c>
      <c r="B1991" s="3">
        <v>2022.0</v>
      </c>
      <c r="C1991" s="3" t="s">
        <v>14</v>
      </c>
      <c r="D1991" s="3">
        <v>323.3</v>
      </c>
      <c r="E1991" s="3">
        <v>684.9</v>
      </c>
      <c r="F1991" s="3">
        <v>265.2</v>
      </c>
      <c r="G1991" s="3">
        <v>11.0</v>
      </c>
      <c r="H1991" s="3">
        <v>22.1</v>
      </c>
    </row>
    <row r="1992" ht="15.75" customHeight="1">
      <c r="A1992" s="3" t="s">
        <v>60</v>
      </c>
      <c r="B1992" s="3">
        <v>2023.0</v>
      </c>
      <c r="C1992" s="3" t="s">
        <v>9</v>
      </c>
      <c r="D1992" s="3">
        <v>402.1</v>
      </c>
      <c r="E1992" s="3">
        <v>980.3</v>
      </c>
      <c r="F1992" s="3">
        <v>594.3</v>
      </c>
      <c r="G1992" s="3">
        <v>8.0</v>
      </c>
      <c r="H1992" s="3">
        <v>38.9</v>
      </c>
    </row>
    <row r="1993" ht="15.75" customHeight="1">
      <c r="A1993" s="3" t="s">
        <v>60</v>
      </c>
      <c r="B1993" s="3">
        <v>2023.0</v>
      </c>
      <c r="C1993" s="3" t="s">
        <v>10</v>
      </c>
      <c r="D1993" s="3">
        <v>344.1</v>
      </c>
      <c r="E1993" s="3">
        <v>931.4</v>
      </c>
      <c r="F1993" s="3">
        <v>490.9</v>
      </c>
      <c r="G1993" s="3">
        <v>5.0</v>
      </c>
      <c r="H1993" s="3">
        <v>4.8</v>
      </c>
    </row>
    <row r="1994" ht="15.75" customHeight="1">
      <c r="A1994" s="3" t="s">
        <v>60</v>
      </c>
      <c r="B1994" s="3">
        <v>2023.0</v>
      </c>
      <c r="C1994" s="3" t="s">
        <v>11</v>
      </c>
      <c r="D1994" s="3">
        <v>349.1</v>
      </c>
      <c r="E1994" s="3">
        <v>820.1</v>
      </c>
      <c r="F1994" s="3">
        <v>390.2</v>
      </c>
      <c r="G1994" s="3">
        <v>4.0</v>
      </c>
      <c r="H1994" s="3">
        <v>48.7</v>
      </c>
    </row>
    <row r="1995" ht="15.75" customHeight="1">
      <c r="A1995" s="3" t="s">
        <v>60</v>
      </c>
      <c r="B1995" s="3">
        <v>2023.0</v>
      </c>
      <c r="C1995" s="3" t="s">
        <v>13</v>
      </c>
      <c r="D1995" s="3">
        <v>403.4</v>
      </c>
      <c r="E1995" s="3">
        <v>1040.4</v>
      </c>
      <c r="F1995" s="3">
        <v>486.1</v>
      </c>
      <c r="G1995" s="3">
        <v>12.0</v>
      </c>
      <c r="H1995" s="3">
        <v>23.7</v>
      </c>
    </row>
    <row r="1996" ht="15.75" customHeight="1">
      <c r="A1996" s="3" t="s">
        <v>60</v>
      </c>
      <c r="B1996" s="3">
        <v>2023.0</v>
      </c>
      <c r="C1996" s="3" t="s">
        <v>14</v>
      </c>
      <c r="D1996" s="3">
        <v>309.5</v>
      </c>
      <c r="E1996" s="3">
        <v>690.9</v>
      </c>
      <c r="F1996" s="3">
        <v>438.0</v>
      </c>
      <c r="G1996" s="3">
        <v>9.0</v>
      </c>
      <c r="H1996" s="3">
        <v>18.0</v>
      </c>
    </row>
    <row r="1997" ht="15.75" customHeight="1">
      <c r="A1997" s="3" t="s">
        <v>60</v>
      </c>
      <c r="B1997" s="3">
        <v>2024.0</v>
      </c>
      <c r="C1997" s="3" t="s">
        <v>9</v>
      </c>
      <c r="D1997" s="3">
        <v>442.4</v>
      </c>
      <c r="E1997" s="3">
        <v>900.6</v>
      </c>
      <c r="F1997" s="3">
        <v>603.1</v>
      </c>
      <c r="G1997" s="3">
        <v>6.0</v>
      </c>
      <c r="H1997" s="3">
        <v>42.8</v>
      </c>
    </row>
    <row r="1998" ht="15.75" customHeight="1">
      <c r="A1998" s="3" t="s">
        <v>60</v>
      </c>
      <c r="B1998" s="3">
        <v>2024.0</v>
      </c>
      <c r="C1998" s="3" t="s">
        <v>10</v>
      </c>
      <c r="D1998" s="3">
        <v>317.4</v>
      </c>
      <c r="E1998" s="3">
        <v>880.7</v>
      </c>
      <c r="F1998" s="3">
        <v>300.4</v>
      </c>
      <c r="G1998" s="3">
        <v>6.0</v>
      </c>
      <c r="H1998" s="3">
        <v>32.8</v>
      </c>
    </row>
    <row r="1999" ht="15.75" customHeight="1">
      <c r="A1999" s="3" t="s">
        <v>60</v>
      </c>
      <c r="B1999" s="3">
        <v>2024.0</v>
      </c>
      <c r="C1999" s="3" t="s">
        <v>11</v>
      </c>
      <c r="D1999" s="3">
        <v>479.9</v>
      </c>
      <c r="E1999" s="3">
        <v>966.9</v>
      </c>
      <c r="F1999" s="3">
        <v>427.4</v>
      </c>
      <c r="G1999" s="3">
        <v>10.0</v>
      </c>
      <c r="H1999" s="3">
        <v>22.0</v>
      </c>
    </row>
    <row r="2000" ht="15.75" customHeight="1">
      <c r="A2000" s="3" t="s">
        <v>60</v>
      </c>
      <c r="B2000" s="3">
        <v>2024.0</v>
      </c>
      <c r="C2000" s="3" t="s">
        <v>13</v>
      </c>
      <c r="D2000" s="3">
        <v>352.4</v>
      </c>
      <c r="E2000" s="3">
        <v>819.0</v>
      </c>
      <c r="F2000" s="3">
        <v>410.0</v>
      </c>
      <c r="G2000" s="3">
        <v>5.0</v>
      </c>
      <c r="H2000" s="3">
        <v>42.1</v>
      </c>
    </row>
    <row r="2001" ht="15.75" customHeight="1">
      <c r="A2001" s="3" t="s">
        <v>60</v>
      </c>
      <c r="B2001" s="3">
        <v>2024.0</v>
      </c>
      <c r="C2001" s="3" t="s">
        <v>14</v>
      </c>
      <c r="D2001" s="3">
        <v>371.4</v>
      </c>
      <c r="E2001" s="3">
        <v>897.9</v>
      </c>
      <c r="F2001" s="3">
        <v>468.3</v>
      </c>
      <c r="G2001" s="3">
        <v>6.0</v>
      </c>
      <c r="H2001" s="3">
        <v>13.1</v>
      </c>
    </row>
    <row r="2002" ht="15.75" customHeight="1">
      <c r="A2002" s="3" t="s">
        <v>61</v>
      </c>
      <c r="B2002" s="3">
        <v>2015.0</v>
      </c>
      <c r="C2002" s="3" t="s">
        <v>9</v>
      </c>
      <c r="D2002" s="3">
        <v>159.5</v>
      </c>
      <c r="E2002" s="3">
        <v>456.3</v>
      </c>
      <c r="F2002" s="3">
        <v>211.7</v>
      </c>
      <c r="G2002" s="3">
        <v>10.0</v>
      </c>
      <c r="H2002" s="3">
        <v>14.6</v>
      </c>
    </row>
    <row r="2003" ht="15.75" customHeight="1">
      <c r="A2003" s="3" t="s">
        <v>61</v>
      </c>
      <c r="B2003" s="3">
        <v>2015.0</v>
      </c>
      <c r="C2003" s="3" t="s">
        <v>10</v>
      </c>
      <c r="D2003" s="3">
        <v>81.8</v>
      </c>
      <c r="E2003" s="3">
        <v>193.4</v>
      </c>
      <c r="F2003" s="3">
        <v>115.8</v>
      </c>
      <c r="G2003" s="3">
        <v>8.0</v>
      </c>
      <c r="H2003" s="3">
        <v>49.4</v>
      </c>
    </row>
    <row r="2004" ht="15.75" customHeight="1">
      <c r="A2004" s="3" t="s">
        <v>61</v>
      </c>
      <c r="B2004" s="3">
        <v>2015.0</v>
      </c>
      <c r="C2004" s="3" t="s">
        <v>11</v>
      </c>
      <c r="D2004" s="3">
        <v>133.1</v>
      </c>
      <c r="E2004" s="3">
        <v>346.9</v>
      </c>
      <c r="F2004" s="3">
        <v>151.7</v>
      </c>
      <c r="G2004" s="3">
        <v>9.0</v>
      </c>
      <c r="H2004" s="3">
        <v>28.1</v>
      </c>
    </row>
    <row r="2005" ht="15.75" customHeight="1">
      <c r="A2005" s="3" t="s">
        <v>61</v>
      </c>
      <c r="B2005" s="3">
        <v>2015.0</v>
      </c>
      <c r="C2005" s="3" t="s">
        <v>13</v>
      </c>
      <c r="D2005" s="3">
        <v>133.9</v>
      </c>
      <c r="E2005" s="3">
        <v>323.2</v>
      </c>
      <c r="F2005" s="3">
        <v>113.9</v>
      </c>
      <c r="G2005" s="3">
        <v>4.0</v>
      </c>
      <c r="H2005" s="3">
        <v>46.3</v>
      </c>
    </row>
    <row r="2006" ht="15.75" customHeight="1">
      <c r="A2006" s="3" t="s">
        <v>61</v>
      </c>
      <c r="B2006" s="3">
        <v>2015.0</v>
      </c>
      <c r="C2006" s="3" t="s">
        <v>14</v>
      </c>
      <c r="D2006" s="3">
        <v>136.2</v>
      </c>
      <c r="E2006" s="3">
        <v>404.5</v>
      </c>
      <c r="F2006" s="3">
        <v>156.9</v>
      </c>
      <c r="G2006" s="3">
        <v>6.0</v>
      </c>
      <c r="H2006" s="3">
        <v>38.4</v>
      </c>
    </row>
    <row r="2007" ht="15.75" customHeight="1">
      <c r="A2007" s="3" t="s">
        <v>61</v>
      </c>
      <c r="B2007" s="3">
        <v>2016.0</v>
      </c>
      <c r="C2007" s="3" t="s">
        <v>9</v>
      </c>
      <c r="D2007" s="3">
        <v>116.8</v>
      </c>
      <c r="E2007" s="3">
        <v>301.6</v>
      </c>
      <c r="F2007" s="3">
        <v>122.2</v>
      </c>
      <c r="G2007" s="3">
        <v>5.0</v>
      </c>
      <c r="H2007" s="3">
        <v>36.2</v>
      </c>
    </row>
    <row r="2008" ht="15.75" customHeight="1">
      <c r="A2008" s="3" t="s">
        <v>61</v>
      </c>
      <c r="B2008" s="3">
        <v>2016.0</v>
      </c>
      <c r="C2008" s="3" t="s">
        <v>10</v>
      </c>
      <c r="D2008" s="3">
        <v>123.8</v>
      </c>
      <c r="E2008" s="3">
        <v>369.2</v>
      </c>
      <c r="F2008" s="3">
        <v>154.0</v>
      </c>
      <c r="G2008" s="3">
        <v>3.0</v>
      </c>
      <c r="H2008" s="3">
        <v>1.2</v>
      </c>
    </row>
    <row r="2009" ht="15.75" customHeight="1">
      <c r="A2009" s="3" t="s">
        <v>61</v>
      </c>
      <c r="B2009" s="3">
        <v>2016.0</v>
      </c>
      <c r="C2009" s="3" t="s">
        <v>11</v>
      </c>
      <c r="D2009" s="3">
        <v>110.1</v>
      </c>
      <c r="E2009" s="3">
        <v>280.9</v>
      </c>
      <c r="F2009" s="3">
        <v>113.6</v>
      </c>
      <c r="G2009" s="3">
        <v>10.0</v>
      </c>
      <c r="H2009" s="3">
        <v>23.9</v>
      </c>
    </row>
    <row r="2010" ht="15.75" customHeight="1">
      <c r="A2010" s="3" t="s">
        <v>61</v>
      </c>
      <c r="B2010" s="3">
        <v>2016.0</v>
      </c>
      <c r="C2010" s="3" t="s">
        <v>13</v>
      </c>
      <c r="D2010" s="3">
        <v>218.9</v>
      </c>
      <c r="E2010" s="3">
        <v>544.1</v>
      </c>
      <c r="F2010" s="3">
        <v>226.5</v>
      </c>
      <c r="G2010" s="3">
        <v>3.0</v>
      </c>
      <c r="H2010" s="3">
        <v>13.6</v>
      </c>
    </row>
    <row r="2011" ht="15.75" customHeight="1">
      <c r="A2011" s="3" t="s">
        <v>61</v>
      </c>
      <c r="B2011" s="3">
        <v>2016.0</v>
      </c>
      <c r="C2011" s="3" t="s">
        <v>14</v>
      </c>
      <c r="D2011" s="3">
        <v>168.7</v>
      </c>
      <c r="E2011" s="3">
        <v>397.3</v>
      </c>
      <c r="F2011" s="3">
        <v>162.0</v>
      </c>
      <c r="G2011" s="3">
        <v>4.0</v>
      </c>
      <c r="H2011" s="3">
        <v>6.5</v>
      </c>
    </row>
    <row r="2012" ht="15.75" customHeight="1">
      <c r="A2012" s="3" t="s">
        <v>61</v>
      </c>
      <c r="B2012" s="3">
        <v>2017.0</v>
      </c>
      <c r="C2012" s="3" t="s">
        <v>9</v>
      </c>
      <c r="D2012" s="3">
        <v>241.2</v>
      </c>
      <c r="E2012" s="3">
        <v>610.1</v>
      </c>
      <c r="F2012" s="3">
        <v>321.6</v>
      </c>
      <c r="G2012" s="3">
        <v>6.0</v>
      </c>
      <c r="H2012" s="3">
        <v>6.0</v>
      </c>
    </row>
    <row r="2013" ht="15.75" customHeight="1">
      <c r="A2013" s="3" t="s">
        <v>61</v>
      </c>
      <c r="B2013" s="3">
        <v>2017.0</v>
      </c>
      <c r="C2013" s="3" t="s">
        <v>10</v>
      </c>
      <c r="D2013" s="3">
        <v>197.5</v>
      </c>
      <c r="E2013" s="3">
        <v>564.0</v>
      </c>
      <c r="F2013" s="3">
        <v>286.2</v>
      </c>
      <c r="G2013" s="3">
        <v>5.0</v>
      </c>
      <c r="H2013" s="3">
        <v>44.1</v>
      </c>
    </row>
    <row r="2014" ht="15.75" customHeight="1">
      <c r="A2014" s="3" t="s">
        <v>61</v>
      </c>
      <c r="B2014" s="3">
        <v>2017.0</v>
      </c>
      <c r="C2014" s="3" t="s">
        <v>11</v>
      </c>
      <c r="D2014" s="3">
        <v>228.7</v>
      </c>
      <c r="E2014" s="3">
        <v>634.9</v>
      </c>
      <c r="F2014" s="3">
        <v>268.6</v>
      </c>
      <c r="G2014" s="3">
        <v>3.0</v>
      </c>
      <c r="H2014" s="3">
        <v>30.2</v>
      </c>
    </row>
    <row r="2015" ht="15.75" customHeight="1">
      <c r="A2015" s="3" t="s">
        <v>61</v>
      </c>
      <c r="B2015" s="3">
        <v>2017.0</v>
      </c>
      <c r="C2015" s="3" t="s">
        <v>13</v>
      </c>
      <c r="D2015" s="3">
        <v>213.3</v>
      </c>
      <c r="E2015" s="3">
        <v>546.3</v>
      </c>
      <c r="F2015" s="3">
        <v>250.3</v>
      </c>
      <c r="G2015" s="3">
        <v>11.0</v>
      </c>
      <c r="H2015" s="3">
        <v>49.1</v>
      </c>
    </row>
    <row r="2016" ht="15.75" customHeight="1">
      <c r="A2016" s="3" t="s">
        <v>61</v>
      </c>
      <c r="B2016" s="3">
        <v>2017.0</v>
      </c>
      <c r="C2016" s="3" t="s">
        <v>14</v>
      </c>
      <c r="D2016" s="3">
        <v>168.7</v>
      </c>
      <c r="E2016" s="3">
        <v>365.9</v>
      </c>
      <c r="F2016" s="3">
        <v>228.5</v>
      </c>
      <c r="G2016" s="3">
        <v>2.0</v>
      </c>
      <c r="H2016" s="3">
        <v>6.8</v>
      </c>
    </row>
    <row r="2017" ht="15.75" customHeight="1">
      <c r="A2017" s="3" t="s">
        <v>61</v>
      </c>
      <c r="B2017" s="3">
        <v>2018.0</v>
      </c>
      <c r="C2017" s="3" t="s">
        <v>9</v>
      </c>
      <c r="D2017" s="3">
        <v>192.2</v>
      </c>
      <c r="E2017" s="3">
        <v>399.4</v>
      </c>
      <c r="F2017" s="3">
        <v>278.9</v>
      </c>
      <c r="G2017" s="3">
        <v>5.0</v>
      </c>
      <c r="H2017" s="3">
        <v>3.0</v>
      </c>
    </row>
    <row r="2018" ht="15.75" customHeight="1">
      <c r="A2018" s="3" t="s">
        <v>61</v>
      </c>
      <c r="B2018" s="3">
        <v>2018.0</v>
      </c>
      <c r="C2018" s="3" t="s">
        <v>10</v>
      </c>
      <c r="D2018" s="3">
        <v>218.6</v>
      </c>
      <c r="E2018" s="3">
        <v>568.7</v>
      </c>
      <c r="F2018" s="3">
        <v>277.7</v>
      </c>
      <c r="G2018" s="3">
        <v>9.0</v>
      </c>
      <c r="H2018" s="3">
        <v>32.7</v>
      </c>
    </row>
    <row r="2019" ht="15.75" customHeight="1">
      <c r="A2019" s="3" t="s">
        <v>61</v>
      </c>
      <c r="B2019" s="3">
        <v>2018.0</v>
      </c>
      <c r="C2019" s="3" t="s">
        <v>11</v>
      </c>
      <c r="D2019" s="3">
        <v>151.2</v>
      </c>
      <c r="E2019" s="3">
        <v>452.1</v>
      </c>
      <c r="F2019" s="3">
        <v>143.6</v>
      </c>
      <c r="G2019" s="3">
        <v>7.0</v>
      </c>
      <c r="H2019" s="3">
        <v>49.3</v>
      </c>
    </row>
    <row r="2020" ht="15.75" customHeight="1">
      <c r="A2020" s="3" t="s">
        <v>61</v>
      </c>
      <c r="B2020" s="3">
        <v>2018.0</v>
      </c>
      <c r="C2020" s="3" t="s">
        <v>13</v>
      </c>
      <c r="D2020" s="3">
        <v>213.9</v>
      </c>
      <c r="E2020" s="3">
        <v>500.3</v>
      </c>
      <c r="F2020" s="3">
        <v>228.0</v>
      </c>
      <c r="G2020" s="3">
        <v>3.0</v>
      </c>
      <c r="H2020" s="3">
        <v>21.9</v>
      </c>
    </row>
    <row r="2021" ht="15.75" customHeight="1">
      <c r="A2021" s="3" t="s">
        <v>61</v>
      </c>
      <c r="B2021" s="3">
        <v>2018.0</v>
      </c>
      <c r="C2021" s="3" t="s">
        <v>14</v>
      </c>
      <c r="D2021" s="3">
        <v>250.3</v>
      </c>
      <c r="E2021" s="3">
        <v>746.3</v>
      </c>
      <c r="F2021" s="3">
        <v>323.2</v>
      </c>
      <c r="G2021" s="3">
        <v>4.0</v>
      </c>
      <c r="H2021" s="3">
        <v>22.1</v>
      </c>
    </row>
    <row r="2022" ht="15.75" customHeight="1">
      <c r="A2022" s="3" t="s">
        <v>61</v>
      </c>
      <c r="B2022" s="3">
        <v>2019.0</v>
      </c>
      <c r="C2022" s="3" t="s">
        <v>9</v>
      </c>
      <c r="D2022" s="3">
        <v>271.7</v>
      </c>
      <c r="E2022" s="3">
        <v>637.0</v>
      </c>
      <c r="F2022" s="3">
        <v>336.4</v>
      </c>
      <c r="G2022" s="3">
        <v>4.0</v>
      </c>
      <c r="H2022" s="3">
        <v>44.6</v>
      </c>
    </row>
    <row r="2023" ht="15.75" customHeight="1">
      <c r="A2023" s="3" t="s">
        <v>61</v>
      </c>
      <c r="B2023" s="3">
        <v>2019.0</v>
      </c>
      <c r="C2023" s="3" t="s">
        <v>10</v>
      </c>
      <c r="D2023" s="3">
        <v>281.4</v>
      </c>
      <c r="E2023" s="3">
        <v>832.7</v>
      </c>
      <c r="F2023" s="3">
        <v>259.1</v>
      </c>
      <c r="G2023" s="3">
        <v>7.0</v>
      </c>
      <c r="H2023" s="3">
        <v>1.8</v>
      </c>
    </row>
    <row r="2024" ht="15.75" customHeight="1">
      <c r="A2024" s="3" t="s">
        <v>61</v>
      </c>
      <c r="B2024" s="3">
        <v>2019.0</v>
      </c>
      <c r="C2024" s="3" t="s">
        <v>11</v>
      </c>
      <c r="D2024" s="3">
        <v>187.6</v>
      </c>
      <c r="E2024" s="3">
        <v>434.1</v>
      </c>
      <c r="F2024" s="3">
        <v>239.9</v>
      </c>
      <c r="G2024" s="3">
        <v>6.0</v>
      </c>
      <c r="H2024" s="3">
        <v>21.6</v>
      </c>
    </row>
    <row r="2025" ht="15.75" customHeight="1">
      <c r="A2025" s="3" t="s">
        <v>61</v>
      </c>
      <c r="B2025" s="3">
        <v>2019.0</v>
      </c>
      <c r="C2025" s="3" t="s">
        <v>13</v>
      </c>
      <c r="D2025" s="3">
        <v>300.4</v>
      </c>
      <c r="E2025" s="3">
        <v>739.0</v>
      </c>
      <c r="F2025" s="3">
        <v>431.0</v>
      </c>
      <c r="G2025" s="3">
        <v>5.0</v>
      </c>
      <c r="H2025" s="3">
        <v>22.2</v>
      </c>
    </row>
    <row r="2026" ht="15.75" customHeight="1">
      <c r="A2026" s="3" t="s">
        <v>61</v>
      </c>
      <c r="B2026" s="3">
        <v>2019.0</v>
      </c>
      <c r="C2026" s="3" t="s">
        <v>14</v>
      </c>
      <c r="D2026" s="3">
        <v>227.8</v>
      </c>
      <c r="E2026" s="3">
        <v>501.3</v>
      </c>
      <c r="F2026" s="3">
        <v>308.2</v>
      </c>
      <c r="G2026" s="3">
        <v>5.0</v>
      </c>
      <c r="H2026" s="3">
        <v>6.5</v>
      </c>
    </row>
    <row r="2027" ht="15.75" customHeight="1">
      <c r="A2027" s="3" t="s">
        <v>61</v>
      </c>
      <c r="B2027" s="3">
        <v>2020.0</v>
      </c>
      <c r="C2027" s="3" t="s">
        <v>9</v>
      </c>
      <c r="D2027" s="3">
        <v>250.0</v>
      </c>
      <c r="E2027" s="3">
        <v>512.3</v>
      </c>
      <c r="F2027" s="3">
        <v>218.2</v>
      </c>
      <c r="G2027" s="3">
        <v>4.0</v>
      </c>
      <c r="H2027" s="3">
        <v>5.5</v>
      </c>
    </row>
    <row r="2028" ht="15.75" customHeight="1">
      <c r="A2028" s="3" t="s">
        <v>61</v>
      </c>
      <c r="B2028" s="3">
        <v>2020.0</v>
      </c>
      <c r="C2028" s="3" t="s">
        <v>10</v>
      </c>
      <c r="D2028" s="3">
        <v>263.2</v>
      </c>
      <c r="E2028" s="3">
        <v>634.0</v>
      </c>
      <c r="F2028" s="3">
        <v>338.2</v>
      </c>
      <c r="G2028" s="3">
        <v>5.0</v>
      </c>
      <c r="H2028" s="3">
        <v>8.4</v>
      </c>
    </row>
    <row r="2029" ht="15.75" customHeight="1">
      <c r="A2029" s="3" t="s">
        <v>61</v>
      </c>
      <c r="B2029" s="3">
        <v>2020.0</v>
      </c>
      <c r="C2029" s="3" t="s">
        <v>11</v>
      </c>
      <c r="D2029" s="3">
        <v>268.5</v>
      </c>
      <c r="E2029" s="3">
        <v>623.9</v>
      </c>
      <c r="F2029" s="3">
        <v>278.9</v>
      </c>
      <c r="G2029" s="3">
        <v>3.0</v>
      </c>
      <c r="H2029" s="3">
        <v>43.4</v>
      </c>
    </row>
    <row r="2030" ht="15.75" customHeight="1">
      <c r="A2030" s="3" t="s">
        <v>61</v>
      </c>
      <c r="B2030" s="3">
        <v>2020.0</v>
      </c>
      <c r="C2030" s="3" t="s">
        <v>13</v>
      </c>
      <c r="D2030" s="3">
        <v>274.6</v>
      </c>
      <c r="E2030" s="3">
        <v>566.7</v>
      </c>
      <c r="F2030" s="3">
        <v>256.9</v>
      </c>
      <c r="G2030" s="3">
        <v>9.0</v>
      </c>
      <c r="H2030" s="3">
        <v>45.5</v>
      </c>
    </row>
    <row r="2031" ht="15.75" customHeight="1">
      <c r="A2031" s="3" t="s">
        <v>61</v>
      </c>
      <c r="B2031" s="3">
        <v>2020.0</v>
      </c>
      <c r="C2031" s="3" t="s">
        <v>14</v>
      </c>
      <c r="D2031" s="3">
        <v>233.1</v>
      </c>
      <c r="E2031" s="3">
        <v>525.1</v>
      </c>
      <c r="F2031" s="3">
        <v>239.9</v>
      </c>
      <c r="G2031" s="3">
        <v>9.0</v>
      </c>
      <c r="H2031" s="3">
        <v>25.3</v>
      </c>
    </row>
    <row r="2032" ht="15.75" customHeight="1">
      <c r="A2032" s="3" t="s">
        <v>61</v>
      </c>
      <c r="B2032" s="3">
        <v>2021.0</v>
      </c>
      <c r="C2032" s="3" t="s">
        <v>9</v>
      </c>
      <c r="D2032" s="3">
        <v>278.2</v>
      </c>
      <c r="E2032" s="3">
        <v>596.8</v>
      </c>
      <c r="F2032" s="3">
        <v>312.9</v>
      </c>
      <c r="G2032" s="3">
        <v>11.0</v>
      </c>
      <c r="H2032" s="3">
        <v>13.3</v>
      </c>
    </row>
    <row r="2033" ht="15.75" customHeight="1">
      <c r="A2033" s="3" t="s">
        <v>61</v>
      </c>
      <c r="B2033" s="3">
        <v>2021.0</v>
      </c>
      <c r="C2033" s="3" t="s">
        <v>10</v>
      </c>
      <c r="D2033" s="3">
        <v>298.5</v>
      </c>
      <c r="E2033" s="3">
        <v>612.0</v>
      </c>
      <c r="F2033" s="3">
        <v>366.0</v>
      </c>
      <c r="G2033" s="3">
        <v>4.0</v>
      </c>
      <c r="H2033" s="3">
        <v>41.7</v>
      </c>
    </row>
    <row r="2034" ht="15.75" customHeight="1">
      <c r="A2034" s="3" t="s">
        <v>61</v>
      </c>
      <c r="B2034" s="3">
        <v>2021.0</v>
      </c>
      <c r="C2034" s="3" t="s">
        <v>11</v>
      </c>
      <c r="D2034" s="3">
        <v>272.7</v>
      </c>
      <c r="E2034" s="3">
        <v>623.1</v>
      </c>
      <c r="F2034" s="3">
        <v>392.2</v>
      </c>
      <c r="G2034" s="3">
        <v>6.0</v>
      </c>
      <c r="H2034" s="3">
        <v>36.0</v>
      </c>
    </row>
    <row r="2035" ht="15.75" customHeight="1">
      <c r="A2035" s="3" t="s">
        <v>61</v>
      </c>
      <c r="B2035" s="3">
        <v>2021.0</v>
      </c>
      <c r="C2035" s="3" t="s">
        <v>13</v>
      </c>
      <c r="D2035" s="3">
        <v>240.8</v>
      </c>
      <c r="E2035" s="3">
        <v>698.5</v>
      </c>
      <c r="F2035" s="3">
        <v>245.4</v>
      </c>
      <c r="G2035" s="3">
        <v>11.0</v>
      </c>
      <c r="H2035" s="3">
        <v>25.5</v>
      </c>
    </row>
    <row r="2036" ht="15.75" customHeight="1">
      <c r="A2036" s="3" t="s">
        <v>61</v>
      </c>
      <c r="B2036" s="3">
        <v>2021.0</v>
      </c>
      <c r="C2036" s="3" t="s">
        <v>14</v>
      </c>
      <c r="D2036" s="3">
        <v>207.6</v>
      </c>
      <c r="E2036" s="3">
        <v>418.4</v>
      </c>
      <c r="F2036" s="3">
        <v>285.8</v>
      </c>
      <c r="G2036" s="3">
        <v>6.0</v>
      </c>
      <c r="H2036" s="3">
        <v>48.0</v>
      </c>
    </row>
    <row r="2037" ht="15.75" customHeight="1">
      <c r="A2037" s="3" t="s">
        <v>61</v>
      </c>
      <c r="B2037" s="3">
        <v>2022.0</v>
      </c>
      <c r="C2037" s="3" t="s">
        <v>9</v>
      </c>
      <c r="D2037" s="3">
        <v>415.3</v>
      </c>
      <c r="E2037" s="3">
        <v>1114.0</v>
      </c>
      <c r="F2037" s="3">
        <v>605.6</v>
      </c>
      <c r="G2037" s="3">
        <v>13.0</v>
      </c>
      <c r="H2037" s="3">
        <v>37.2</v>
      </c>
    </row>
    <row r="2038" ht="15.75" customHeight="1">
      <c r="A2038" s="3" t="s">
        <v>61</v>
      </c>
      <c r="B2038" s="3">
        <v>2022.0</v>
      </c>
      <c r="C2038" s="3" t="s">
        <v>10</v>
      </c>
      <c r="D2038" s="3">
        <v>316.3</v>
      </c>
      <c r="E2038" s="3">
        <v>822.3</v>
      </c>
      <c r="F2038" s="3">
        <v>287.6</v>
      </c>
      <c r="G2038" s="3">
        <v>5.0</v>
      </c>
      <c r="H2038" s="3">
        <v>27.4</v>
      </c>
    </row>
    <row r="2039" ht="15.75" customHeight="1">
      <c r="A2039" s="3" t="s">
        <v>61</v>
      </c>
      <c r="B2039" s="3">
        <v>2022.0</v>
      </c>
      <c r="C2039" s="3" t="s">
        <v>11</v>
      </c>
      <c r="D2039" s="3">
        <v>356.1</v>
      </c>
      <c r="E2039" s="3">
        <v>939.4</v>
      </c>
      <c r="F2039" s="3">
        <v>360.7</v>
      </c>
      <c r="G2039" s="3">
        <v>5.0</v>
      </c>
      <c r="H2039" s="3">
        <v>49.9</v>
      </c>
    </row>
    <row r="2040" ht="15.75" customHeight="1">
      <c r="A2040" s="3" t="s">
        <v>61</v>
      </c>
      <c r="B2040" s="3">
        <v>2022.0</v>
      </c>
      <c r="C2040" s="3" t="s">
        <v>13</v>
      </c>
      <c r="D2040" s="3">
        <v>332.7</v>
      </c>
      <c r="E2040" s="3">
        <v>736.5</v>
      </c>
      <c r="F2040" s="3">
        <v>492.5</v>
      </c>
      <c r="G2040" s="3">
        <v>5.0</v>
      </c>
      <c r="H2040" s="3">
        <v>9.7</v>
      </c>
    </row>
    <row r="2041" ht="15.75" customHeight="1">
      <c r="A2041" s="3" t="s">
        <v>61</v>
      </c>
      <c r="B2041" s="3">
        <v>2022.0</v>
      </c>
      <c r="C2041" s="3" t="s">
        <v>14</v>
      </c>
      <c r="D2041" s="3">
        <v>342.1</v>
      </c>
      <c r="E2041" s="3">
        <v>975.9</v>
      </c>
      <c r="F2041" s="3">
        <v>444.8</v>
      </c>
      <c r="G2041" s="3">
        <v>5.0</v>
      </c>
      <c r="H2041" s="3">
        <v>19.0</v>
      </c>
    </row>
    <row r="2042" ht="15.75" customHeight="1">
      <c r="A2042" s="3" t="s">
        <v>61</v>
      </c>
      <c r="B2042" s="3">
        <v>2023.0</v>
      </c>
      <c r="C2042" s="3" t="s">
        <v>9</v>
      </c>
      <c r="D2042" s="3">
        <v>387.1</v>
      </c>
      <c r="E2042" s="3">
        <v>1031.8</v>
      </c>
      <c r="F2042" s="3">
        <v>381.5</v>
      </c>
      <c r="G2042" s="3">
        <v>9.0</v>
      </c>
      <c r="H2042" s="3">
        <v>41.8</v>
      </c>
    </row>
    <row r="2043" ht="15.75" customHeight="1">
      <c r="A2043" s="3" t="s">
        <v>61</v>
      </c>
      <c r="B2043" s="3">
        <v>2023.0</v>
      </c>
      <c r="C2043" s="3" t="s">
        <v>10</v>
      </c>
      <c r="D2043" s="3">
        <v>361.1</v>
      </c>
      <c r="E2043" s="3">
        <v>923.1</v>
      </c>
      <c r="F2043" s="3">
        <v>419.7</v>
      </c>
      <c r="G2043" s="3">
        <v>11.0</v>
      </c>
      <c r="H2043" s="3">
        <v>49.3</v>
      </c>
    </row>
    <row r="2044" ht="15.75" customHeight="1">
      <c r="A2044" s="3" t="s">
        <v>61</v>
      </c>
      <c r="B2044" s="3">
        <v>2023.0</v>
      </c>
      <c r="C2044" s="3" t="s">
        <v>11</v>
      </c>
      <c r="D2044" s="3">
        <v>344.7</v>
      </c>
      <c r="E2044" s="3">
        <v>776.3</v>
      </c>
      <c r="F2044" s="3">
        <v>506.2</v>
      </c>
      <c r="G2044" s="3">
        <v>11.0</v>
      </c>
      <c r="H2044" s="3">
        <v>49.0</v>
      </c>
    </row>
    <row r="2045" ht="15.75" customHeight="1">
      <c r="A2045" s="3" t="s">
        <v>61</v>
      </c>
      <c r="B2045" s="3">
        <v>2023.0</v>
      </c>
      <c r="C2045" s="3" t="s">
        <v>13</v>
      </c>
      <c r="D2045" s="3">
        <v>410.3</v>
      </c>
      <c r="E2045" s="3">
        <v>920.9</v>
      </c>
      <c r="F2045" s="3">
        <v>567.4</v>
      </c>
      <c r="G2045" s="3">
        <v>8.0</v>
      </c>
      <c r="H2045" s="3">
        <v>45.7</v>
      </c>
    </row>
    <row r="2046" ht="15.75" customHeight="1">
      <c r="A2046" s="3" t="s">
        <v>61</v>
      </c>
      <c r="B2046" s="3">
        <v>2023.0</v>
      </c>
      <c r="C2046" s="3" t="s">
        <v>14</v>
      </c>
      <c r="D2046" s="3">
        <v>353.4</v>
      </c>
      <c r="E2046" s="3">
        <v>952.5</v>
      </c>
      <c r="F2046" s="3">
        <v>359.0</v>
      </c>
      <c r="G2046" s="3">
        <v>5.0</v>
      </c>
      <c r="H2046" s="3">
        <v>39.8</v>
      </c>
    </row>
    <row r="2047" ht="15.75" customHeight="1">
      <c r="A2047" s="3" t="s">
        <v>61</v>
      </c>
      <c r="B2047" s="3">
        <v>2024.0</v>
      </c>
      <c r="C2047" s="3" t="s">
        <v>9</v>
      </c>
      <c r="D2047" s="3">
        <v>387.1</v>
      </c>
      <c r="E2047" s="3">
        <v>780.1</v>
      </c>
      <c r="F2047" s="3">
        <v>531.0</v>
      </c>
      <c r="G2047" s="3">
        <v>7.0</v>
      </c>
      <c r="H2047" s="3">
        <v>18.6</v>
      </c>
    </row>
    <row r="2048" ht="15.75" customHeight="1">
      <c r="A2048" s="3" t="s">
        <v>61</v>
      </c>
      <c r="B2048" s="3">
        <v>2024.0</v>
      </c>
      <c r="C2048" s="3" t="s">
        <v>10</v>
      </c>
      <c r="D2048" s="3">
        <v>382.8</v>
      </c>
      <c r="E2048" s="3">
        <v>1136.9</v>
      </c>
      <c r="F2048" s="3">
        <v>554.5</v>
      </c>
      <c r="G2048" s="3">
        <v>11.0</v>
      </c>
      <c r="H2048" s="3">
        <v>32.5</v>
      </c>
    </row>
    <row r="2049" ht="15.75" customHeight="1">
      <c r="A2049" s="3" t="s">
        <v>61</v>
      </c>
      <c r="B2049" s="3">
        <v>2024.0</v>
      </c>
      <c r="C2049" s="3" t="s">
        <v>11</v>
      </c>
      <c r="D2049" s="3">
        <v>395.6</v>
      </c>
      <c r="E2049" s="3">
        <v>908.4</v>
      </c>
      <c r="F2049" s="3">
        <v>384.3</v>
      </c>
      <c r="G2049" s="3">
        <v>9.0</v>
      </c>
      <c r="H2049" s="3">
        <v>18.1</v>
      </c>
    </row>
    <row r="2050" ht="15.75" customHeight="1">
      <c r="A2050" s="3" t="s">
        <v>61</v>
      </c>
      <c r="B2050" s="3">
        <v>2024.0</v>
      </c>
      <c r="C2050" s="3" t="s">
        <v>13</v>
      </c>
      <c r="D2050" s="3">
        <v>421.0</v>
      </c>
      <c r="E2050" s="3">
        <v>1138.9</v>
      </c>
      <c r="F2050" s="3">
        <v>537.2</v>
      </c>
      <c r="G2050" s="3">
        <v>6.0</v>
      </c>
      <c r="H2050" s="3">
        <v>34.2</v>
      </c>
    </row>
    <row r="2051" ht="15.75" customHeight="1">
      <c r="A2051" s="3" t="s">
        <v>61</v>
      </c>
      <c r="B2051" s="3">
        <v>2024.0</v>
      </c>
      <c r="C2051" s="3" t="s">
        <v>14</v>
      </c>
      <c r="D2051" s="3">
        <v>368.9</v>
      </c>
      <c r="E2051" s="3">
        <v>923.5</v>
      </c>
      <c r="F2051" s="3">
        <v>423.7</v>
      </c>
      <c r="G2051" s="3">
        <v>9.0</v>
      </c>
      <c r="H2051" s="3">
        <v>14.3</v>
      </c>
    </row>
    <row r="2052" ht="15.75" customHeight="1">
      <c r="A2052" s="3" t="s">
        <v>62</v>
      </c>
      <c r="B2052" s="3">
        <v>2015.0</v>
      </c>
      <c r="C2052" s="3" t="s">
        <v>9</v>
      </c>
      <c r="D2052" s="3">
        <v>79.6</v>
      </c>
      <c r="E2052" s="3">
        <v>189.7</v>
      </c>
      <c r="F2052" s="3">
        <v>64.5</v>
      </c>
      <c r="G2052" s="3">
        <v>4.0</v>
      </c>
      <c r="H2052" s="3">
        <v>37.2</v>
      </c>
    </row>
    <row r="2053" ht="15.75" customHeight="1">
      <c r="A2053" s="3" t="s">
        <v>62</v>
      </c>
      <c r="B2053" s="3">
        <v>2015.0</v>
      </c>
      <c r="C2053" s="3" t="s">
        <v>10</v>
      </c>
      <c r="D2053" s="3">
        <v>147.0</v>
      </c>
      <c r="E2053" s="3">
        <v>351.9</v>
      </c>
      <c r="F2053" s="3">
        <v>124.2</v>
      </c>
      <c r="G2053" s="3">
        <v>10.0</v>
      </c>
      <c r="H2053" s="3">
        <v>29.5</v>
      </c>
    </row>
    <row r="2054" ht="15.75" customHeight="1">
      <c r="A2054" s="3" t="s">
        <v>62</v>
      </c>
      <c r="B2054" s="3">
        <v>2015.0</v>
      </c>
      <c r="C2054" s="3" t="s">
        <v>11</v>
      </c>
      <c r="D2054" s="3">
        <v>63.9</v>
      </c>
      <c r="E2054" s="3">
        <v>149.3</v>
      </c>
      <c r="F2054" s="3">
        <v>57.1</v>
      </c>
      <c r="G2054" s="3">
        <v>7.0</v>
      </c>
      <c r="H2054" s="3">
        <v>45.9</v>
      </c>
    </row>
    <row r="2055" ht="15.75" customHeight="1">
      <c r="A2055" s="3" t="s">
        <v>62</v>
      </c>
      <c r="B2055" s="3">
        <v>2015.0</v>
      </c>
      <c r="C2055" s="3" t="s">
        <v>13</v>
      </c>
      <c r="D2055" s="3">
        <v>121.8</v>
      </c>
      <c r="E2055" s="3">
        <v>323.3</v>
      </c>
      <c r="F2055" s="3">
        <v>143.6</v>
      </c>
      <c r="G2055" s="3">
        <v>8.0</v>
      </c>
      <c r="H2055" s="3">
        <v>16.0</v>
      </c>
    </row>
    <row r="2056" ht="15.75" customHeight="1">
      <c r="A2056" s="3" t="s">
        <v>62</v>
      </c>
      <c r="B2056" s="3">
        <v>2015.0</v>
      </c>
      <c r="C2056" s="3" t="s">
        <v>14</v>
      </c>
      <c r="D2056" s="3">
        <v>111.9</v>
      </c>
      <c r="E2056" s="3">
        <v>333.8</v>
      </c>
      <c r="F2056" s="3">
        <v>141.7</v>
      </c>
      <c r="G2056" s="3">
        <v>7.0</v>
      </c>
      <c r="H2056" s="3">
        <v>10.9</v>
      </c>
    </row>
    <row r="2057" ht="15.75" customHeight="1">
      <c r="A2057" s="3" t="s">
        <v>62</v>
      </c>
      <c r="B2057" s="3">
        <v>2016.0</v>
      </c>
      <c r="C2057" s="3" t="s">
        <v>9</v>
      </c>
      <c r="D2057" s="3">
        <v>205.0</v>
      </c>
      <c r="E2057" s="3">
        <v>492.6</v>
      </c>
      <c r="F2057" s="3">
        <v>217.7</v>
      </c>
      <c r="G2057" s="3">
        <v>7.0</v>
      </c>
      <c r="H2057" s="3">
        <v>8.7</v>
      </c>
    </row>
    <row r="2058" ht="15.75" customHeight="1">
      <c r="A2058" s="3" t="s">
        <v>62</v>
      </c>
      <c r="B2058" s="3">
        <v>2016.0</v>
      </c>
      <c r="C2058" s="3" t="s">
        <v>10</v>
      </c>
      <c r="D2058" s="3">
        <v>171.8</v>
      </c>
      <c r="E2058" s="3">
        <v>496.6</v>
      </c>
      <c r="F2058" s="3">
        <v>178.5</v>
      </c>
      <c r="G2058" s="3">
        <v>4.0</v>
      </c>
      <c r="H2058" s="3">
        <v>44.9</v>
      </c>
    </row>
    <row r="2059" ht="15.75" customHeight="1">
      <c r="A2059" s="3" t="s">
        <v>62</v>
      </c>
      <c r="B2059" s="3">
        <v>2016.0</v>
      </c>
      <c r="C2059" s="3" t="s">
        <v>11</v>
      </c>
      <c r="D2059" s="3">
        <v>154.3</v>
      </c>
      <c r="E2059" s="3">
        <v>436.6</v>
      </c>
      <c r="F2059" s="3">
        <v>229.4</v>
      </c>
      <c r="G2059" s="3">
        <v>6.0</v>
      </c>
      <c r="H2059" s="3">
        <v>31.2</v>
      </c>
    </row>
    <row r="2060" ht="15.75" customHeight="1">
      <c r="A2060" s="3" t="s">
        <v>62</v>
      </c>
      <c r="B2060" s="3">
        <v>2016.0</v>
      </c>
      <c r="C2060" s="3" t="s">
        <v>13</v>
      </c>
      <c r="D2060" s="3">
        <v>173.8</v>
      </c>
      <c r="E2060" s="3">
        <v>405.5</v>
      </c>
      <c r="F2060" s="3">
        <v>207.8</v>
      </c>
      <c r="G2060" s="3">
        <v>5.0</v>
      </c>
      <c r="H2060" s="3">
        <v>29.4</v>
      </c>
    </row>
    <row r="2061" ht="15.75" customHeight="1">
      <c r="A2061" s="3" t="s">
        <v>62</v>
      </c>
      <c r="B2061" s="3">
        <v>2016.0</v>
      </c>
      <c r="C2061" s="3" t="s">
        <v>14</v>
      </c>
      <c r="D2061" s="3">
        <v>150.4</v>
      </c>
      <c r="E2061" s="3">
        <v>339.1</v>
      </c>
      <c r="F2061" s="3">
        <v>129.7</v>
      </c>
      <c r="G2061" s="3">
        <v>8.0</v>
      </c>
      <c r="H2061" s="3">
        <v>33.6</v>
      </c>
    </row>
    <row r="2062" ht="15.75" customHeight="1">
      <c r="A2062" s="3" t="s">
        <v>62</v>
      </c>
      <c r="B2062" s="3">
        <v>2017.0</v>
      </c>
      <c r="C2062" s="3" t="s">
        <v>9</v>
      </c>
      <c r="D2062" s="3">
        <v>150.1</v>
      </c>
      <c r="E2062" s="3">
        <v>420.3</v>
      </c>
      <c r="F2062" s="3">
        <v>152.3</v>
      </c>
      <c r="G2062" s="3">
        <v>9.0</v>
      </c>
      <c r="H2062" s="3">
        <v>2.0</v>
      </c>
    </row>
    <row r="2063" ht="15.75" customHeight="1">
      <c r="A2063" s="3" t="s">
        <v>62</v>
      </c>
      <c r="B2063" s="3">
        <v>2017.0</v>
      </c>
      <c r="C2063" s="3" t="s">
        <v>10</v>
      </c>
      <c r="D2063" s="3">
        <v>148.9</v>
      </c>
      <c r="E2063" s="3">
        <v>317.8</v>
      </c>
      <c r="F2063" s="3">
        <v>149.3</v>
      </c>
      <c r="G2063" s="3">
        <v>5.0</v>
      </c>
      <c r="H2063" s="3">
        <v>31.0</v>
      </c>
    </row>
    <row r="2064" ht="15.75" customHeight="1">
      <c r="A2064" s="3" t="s">
        <v>62</v>
      </c>
      <c r="B2064" s="3">
        <v>2017.0</v>
      </c>
      <c r="C2064" s="3" t="s">
        <v>11</v>
      </c>
      <c r="D2064" s="3">
        <v>226.2</v>
      </c>
      <c r="E2064" s="3">
        <v>630.1</v>
      </c>
      <c r="F2064" s="3">
        <v>227.5</v>
      </c>
      <c r="G2064" s="3">
        <v>5.0</v>
      </c>
      <c r="H2064" s="3">
        <v>39.2</v>
      </c>
    </row>
    <row r="2065" ht="15.75" customHeight="1">
      <c r="A2065" s="3" t="s">
        <v>62</v>
      </c>
      <c r="B2065" s="3">
        <v>2017.0</v>
      </c>
      <c r="C2065" s="3" t="s">
        <v>13</v>
      </c>
      <c r="D2065" s="3">
        <v>255.2</v>
      </c>
      <c r="E2065" s="3">
        <v>615.4</v>
      </c>
      <c r="F2065" s="3">
        <v>324.4</v>
      </c>
      <c r="G2065" s="3">
        <v>5.0</v>
      </c>
      <c r="H2065" s="3">
        <v>19.9</v>
      </c>
    </row>
    <row r="2066" ht="15.75" customHeight="1">
      <c r="A2066" s="3" t="s">
        <v>62</v>
      </c>
      <c r="B2066" s="3">
        <v>2017.0</v>
      </c>
      <c r="C2066" s="3" t="s">
        <v>14</v>
      </c>
      <c r="D2066" s="3">
        <v>182.2</v>
      </c>
      <c r="E2066" s="3">
        <v>528.4</v>
      </c>
      <c r="F2066" s="3">
        <v>162.4</v>
      </c>
      <c r="G2066" s="3">
        <v>10.0</v>
      </c>
      <c r="H2066" s="3">
        <v>27.8</v>
      </c>
    </row>
    <row r="2067" ht="15.75" customHeight="1">
      <c r="A2067" s="3" t="s">
        <v>62</v>
      </c>
      <c r="B2067" s="3">
        <v>2018.0</v>
      </c>
      <c r="C2067" s="3" t="s">
        <v>9</v>
      </c>
      <c r="D2067" s="3">
        <v>193.4</v>
      </c>
      <c r="E2067" s="3">
        <v>408.1</v>
      </c>
      <c r="F2067" s="3">
        <v>171.2</v>
      </c>
      <c r="G2067" s="3">
        <v>10.0</v>
      </c>
      <c r="H2067" s="3">
        <v>19.1</v>
      </c>
    </row>
    <row r="2068" ht="15.75" customHeight="1">
      <c r="A2068" s="3" t="s">
        <v>62</v>
      </c>
      <c r="B2068" s="3">
        <v>2018.0</v>
      </c>
      <c r="C2068" s="3" t="s">
        <v>10</v>
      </c>
      <c r="D2068" s="3">
        <v>114.7</v>
      </c>
      <c r="E2068" s="3">
        <v>241.1</v>
      </c>
      <c r="F2068" s="3">
        <v>156.2</v>
      </c>
      <c r="G2068" s="3">
        <v>10.0</v>
      </c>
      <c r="H2068" s="3">
        <v>19.7</v>
      </c>
    </row>
    <row r="2069" ht="15.75" customHeight="1">
      <c r="A2069" s="3" t="s">
        <v>62</v>
      </c>
      <c r="B2069" s="3">
        <v>2018.0</v>
      </c>
      <c r="C2069" s="3" t="s">
        <v>11</v>
      </c>
      <c r="D2069" s="3">
        <v>246.0</v>
      </c>
      <c r="E2069" s="3">
        <v>715.0</v>
      </c>
      <c r="F2069" s="3">
        <v>209.2</v>
      </c>
      <c r="G2069" s="3">
        <v>7.0</v>
      </c>
      <c r="H2069" s="3">
        <v>11.2</v>
      </c>
    </row>
    <row r="2070" ht="15.75" customHeight="1">
      <c r="A2070" s="3" t="s">
        <v>62</v>
      </c>
      <c r="B2070" s="3">
        <v>2018.0</v>
      </c>
      <c r="C2070" s="3" t="s">
        <v>13</v>
      </c>
      <c r="D2070" s="3">
        <v>173.8</v>
      </c>
      <c r="E2070" s="3">
        <v>500.8</v>
      </c>
      <c r="F2070" s="3">
        <v>216.7</v>
      </c>
      <c r="G2070" s="3">
        <v>3.0</v>
      </c>
      <c r="H2070" s="3">
        <v>4.7</v>
      </c>
    </row>
    <row r="2071" ht="15.75" customHeight="1">
      <c r="A2071" s="3" t="s">
        <v>62</v>
      </c>
      <c r="B2071" s="3">
        <v>2018.0</v>
      </c>
      <c r="C2071" s="3" t="s">
        <v>14</v>
      </c>
      <c r="D2071" s="3">
        <v>229.7</v>
      </c>
      <c r="E2071" s="3">
        <v>522.6</v>
      </c>
      <c r="F2071" s="3">
        <v>259.9</v>
      </c>
      <c r="G2071" s="3">
        <v>9.0</v>
      </c>
      <c r="H2071" s="3">
        <v>40.3</v>
      </c>
    </row>
    <row r="2072" ht="15.75" customHeight="1">
      <c r="A2072" s="3" t="s">
        <v>62</v>
      </c>
      <c r="B2072" s="3">
        <v>2019.0</v>
      </c>
      <c r="C2072" s="3" t="s">
        <v>9</v>
      </c>
      <c r="D2072" s="3">
        <v>226.2</v>
      </c>
      <c r="E2072" s="3">
        <v>558.9</v>
      </c>
      <c r="F2072" s="3">
        <v>242.5</v>
      </c>
      <c r="G2072" s="3">
        <v>11.0</v>
      </c>
      <c r="H2072" s="3">
        <v>23.1</v>
      </c>
    </row>
    <row r="2073" ht="15.75" customHeight="1">
      <c r="A2073" s="3" t="s">
        <v>62</v>
      </c>
      <c r="B2073" s="3">
        <v>2019.0</v>
      </c>
      <c r="C2073" s="3" t="s">
        <v>10</v>
      </c>
      <c r="D2073" s="3">
        <v>162.5</v>
      </c>
      <c r="E2073" s="3">
        <v>422.4</v>
      </c>
      <c r="F2073" s="3">
        <v>236.5</v>
      </c>
      <c r="G2073" s="3">
        <v>7.0</v>
      </c>
      <c r="H2073" s="3">
        <v>44.6</v>
      </c>
    </row>
    <row r="2074" ht="15.75" customHeight="1">
      <c r="A2074" s="3" t="s">
        <v>62</v>
      </c>
      <c r="B2074" s="3">
        <v>2019.0</v>
      </c>
      <c r="C2074" s="3" t="s">
        <v>11</v>
      </c>
      <c r="D2074" s="3">
        <v>268.7</v>
      </c>
      <c r="E2074" s="3">
        <v>802.4</v>
      </c>
      <c r="F2074" s="3">
        <v>313.1</v>
      </c>
      <c r="G2074" s="3">
        <v>3.0</v>
      </c>
      <c r="H2074" s="3">
        <v>7.6</v>
      </c>
    </row>
    <row r="2075" ht="15.75" customHeight="1">
      <c r="A2075" s="3" t="s">
        <v>62</v>
      </c>
      <c r="B2075" s="3">
        <v>2019.0</v>
      </c>
      <c r="C2075" s="3" t="s">
        <v>13</v>
      </c>
      <c r="D2075" s="3">
        <v>253.8</v>
      </c>
      <c r="E2075" s="3">
        <v>667.7</v>
      </c>
      <c r="F2075" s="3">
        <v>333.7</v>
      </c>
      <c r="G2075" s="3">
        <v>11.0</v>
      </c>
      <c r="H2075" s="3">
        <v>47.1</v>
      </c>
    </row>
    <row r="2076" ht="15.75" customHeight="1">
      <c r="A2076" s="3" t="s">
        <v>62</v>
      </c>
      <c r="B2076" s="3">
        <v>2019.0</v>
      </c>
      <c r="C2076" s="3" t="s">
        <v>14</v>
      </c>
      <c r="D2076" s="3">
        <v>202.9</v>
      </c>
      <c r="E2076" s="3">
        <v>478.5</v>
      </c>
      <c r="F2076" s="3">
        <v>292.2</v>
      </c>
      <c r="G2076" s="3">
        <v>11.0</v>
      </c>
      <c r="H2076" s="3">
        <v>4.9</v>
      </c>
    </row>
    <row r="2077" ht="15.75" customHeight="1">
      <c r="A2077" s="3" t="s">
        <v>62</v>
      </c>
      <c r="B2077" s="3">
        <v>2020.0</v>
      </c>
      <c r="C2077" s="3" t="s">
        <v>9</v>
      </c>
      <c r="D2077" s="3">
        <v>218.5</v>
      </c>
      <c r="E2077" s="3">
        <v>497.8</v>
      </c>
      <c r="F2077" s="3">
        <v>189.4</v>
      </c>
      <c r="G2077" s="3">
        <v>7.0</v>
      </c>
      <c r="H2077" s="3">
        <v>11.6</v>
      </c>
    </row>
    <row r="2078" ht="15.75" customHeight="1">
      <c r="A2078" s="3" t="s">
        <v>62</v>
      </c>
      <c r="B2078" s="3">
        <v>2020.0</v>
      </c>
      <c r="C2078" s="3" t="s">
        <v>10</v>
      </c>
      <c r="D2078" s="3">
        <v>243.2</v>
      </c>
      <c r="E2078" s="3">
        <v>667.9</v>
      </c>
      <c r="F2078" s="3">
        <v>263.3</v>
      </c>
      <c r="G2078" s="3">
        <v>4.0</v>
      </c>
      <c r="H2078" s="3">
        <v>14.4</v>
      </c>
    </row>
    <row r="2079" ht="15.75" customHeight="1">
      <c r="A2079" s="3" t="s">
        <v>62</v>
      </c>
      <c r="B2079" s="3">
        <v>2020.0</v>
      </c>
      <c r="C2079" s="3" t="s">
        <v>11</v>
      </c>
      <c r="D2079" s="3">
        <v>328.2</v>
      </c>
      <c r="E2079" s="3">
        <v>673.4</v>
      </c>
      <c r="F2079" s="3">
        <v>317.9</v>
      </c>
      <c r="G2079" s="3">
        <v>8.0</v>
      </c>
      <c r="H2079" s="3">
        <v>9.1</v>
      </c>
    </row>
    <row r="2080" ht="15.75" customHeight="1">
      <c r="A2080" s="3" t="s">
        <v>62</v>
      </c>
      <c r="B2080" s="3">
        <v>2020.0</v>
      </c>
      <c r="C2080" s="3" t="s">
        <v>13</v>
      </c>
      <c r="D2080" s="3">
        <v>289.8</v>
      </c>
      <c r="E2080" s="3">
        <v>693.9</v>
      </c>
      <c r="F2080" s="3">
        <v>268.3</v>
      </c>
      <c r="G2080" s="3">
        <v>10.0</v>
      </c>
      <c r="H2080" s="3">
        <v>4.0</v>
      </c>
    </row>
    <row r="2081" ht="15.75" customHeight="1">
      <c r="A2081" s="3" t="s">
        <v>62</v>
      </c>
      <c r="B2081" s="3">
        <v>2020.0</v>
      </c>
      <c r="C2081" s="3" t="s">
        <v>14</v>
      </c>
      <c r="D2081" s="3">
        <v>288.3</v>
      </c>
      <c r="E2081" s="3">
        <v>660.4</v>
      </c>
      <c r="F2081" s="3">
        <v>277.8</v>
      </c>
      <c r="G2081" s="3">
        <v>5.0</v>
      </c>
      <c r="H2081" s="3">
        <v>46.3</v>
      </c>
    </row>
    <row r="2082" ht="15.75" customHeight="1">
      <c r="A2082" s="3" t="s">
        <v>62</v>
      </c>
      <c r="B2082" s="3">
        <v>2021.0</v>
      </c>
      <c r="C2082" s="3" t="s">
        <v>9</v>
      </c>
      <c r="D2082" s="3">
        <v>251.9</v>
      </c>
      <c r="E2082" s="3">
        <v>685.0</v>
      </c>
      <c r="F2082" s="3">
        <v>356.0</v>
      </c>
      <c r="G2082" s="3">
        <v>8.0</v>
      </c>
      <c r="H2082" s="3">
        <v>18.0</v>
      </c>
    </row>
    <row r="2083" ht="15.75" customHeight="1">
      <c r="A2083" s="3" t="s">
        <v>62</v>
      </c>
      <c r="B2083" s="3">
        <v>2021.0</v>
      </c>
      <c r="C2083" s="3" t="s">
        <v>10</v>
      </c>
      <c r="D2083" s="3">
        <v>276.3</v>
      </c>
      <c r="E2083" s="3">
        <v>790.8</v>
      </c>
      <c r="F2083" s="3">
        <v>251.8</v>
      </c>
      <c r="G2083" s="3">
        <v>10.0</v>
      </c>
      <c r="H2083" s="3">
        <v>6.0</v>
      </c>
    </row>
    <row r="2084" ht="15.75" customHeight="1">
      <c r="A2084" s="3" t="s">
        <v>62</v>
      </c>
      <c r="B2084" s="3">
        <v>2021.0</v>
      </c>
      <c r="C2084" s="3" t="s">
        <v>11</v>
      </c>
      <c r="D2084" s="3">
        <v>347.6</v>
      </c>
      <c r="E2084" s="3">
        <v>827.3</v>
      </c>
      <c r="F2084" s="3">
        <v>488.1</v>
      </c>
      <c r="G2084" s="3">
        <v>5.0</v>
      </c>
      <c r="H2084" s="3">
        <v>37.9</v>
      </c>
    </row>
    <row r="2085" ht="15.75" customHeight="1">
      <c r="A2085" s="3" t="s">
        <v>62</v>
      </c>
      <c r="B2085" s="3">
        <v>2021.0</v>
      </c>
      <c r="C2085" s="3" t="s">
        <v>13</v>
      </c>
      <c r="D2085" s="3">
        <v>391.6</v>
      </c>
      <c r="E2085" s="3">
        <v>842.2</v>
      </c>
      <c r="F2085" s="3">
        <v>555.3</v>
      </c>
      <c r="G2085" s="3">
        <v>8.0</v>
      </c>
      <c r="H2085" s="3">
        <v>13.0</v>
      </c>
    </row>
    <row r="2086" ht="15.75" customHeight="1">
      <c r="A2086" s="3" t="s">
        <v>62</v>
      </c>
      <c r="B2086" s="3">
        <v>2021.0</v>
      </c>
      <c r="C2086" s="3" t="s">
        <v>14</v>
      </c>
      <c r="D2086" s="3">
        <v>314.9</v>
      </c>
      <c r="E2086" s="3">
        <v>909.5</v>
      </c>
      <c r="F2086" s="3">
        <v>307.6</v>
      </c>
      <c r="G2086" s="3">
        <v>4.0</v>
      </c>
      <c r="H2086" s="3">
        <v>46.1</v>
      </c>
    </row>
    <row r="2087" ht="15.75" customHeight="1">
      <c r="A2087" s="3" t="s">
        <v>62</v>
      </c>
      <c r="B2087" s="3">
        <v>2022.0</v>
      </c>
      <c r="C2087" s="3" t="s">
        <v>9</v>
      </c>
      <c r="D2087" s="3">
        <v>289.5</v>
      </c>
      <c r="E2087" s="3">
        <v>757.8</v>
      </c>
      <c r="F2087" s="3">
        <v>383.9</v>
      </c>
      <c r="G2087" s="3">
        <v>5.0</v>
      </c>
      <c r="H2087" s="3">
        <v>12.2</v>
      </c>
    </row>
    <row r="2088" ht="15.75" customHeight="1">
      <c r="A2088" s="3" t="s">
        <v>62</v>
      </c>
      <c r="B2088" s="3">
        <v>2022.0</v>
      </c>
      <c r="C2088" s="3" t="s">
        <v>10</v>
      </c>
      <c r="D2088" s="3">
        <v>321.0</v>
      </c>
      <c r="E2088" s="3">
        <v>690.3</v>
      </c>
      <c r="F2088" s="3">
        <v>444.6</v>
      </c>
      <c r="G2088" s="3">
        <v>6.0</v>
      </c>
      <c r="H2088" s="3">
        <v>36.9</v>
      </c>
    </row>
    <row r="2089" ht="15.75" customHeight="1">
      <c r="A2089" s="3" t="s">
        <v>62</v>
      </c>
      <c r="B2089" s="3">
        <v>2022.0</v>
      </c>
      <c r="C2089" s="3" t="s">
        <v>11</v>
      </c>
      <c r="D2089" s="3">
        <v>349.3</v>
      </c>
      <c r="E2089" s="3">
        <v>789.1</v>
      </c>
      <c r="F2089" s="3">
        <v>464.0</v>
      </c>
      <c r="G2089" s="3">
        <v>5.0</v>
      </c>
      <c r="H2089" s="3">
        <v>39.8</v>
      </c>
    </row>
    <row r="2090" ht="15.75" customHeight="1">
      <c r="A2090" s="3" t="s">
        <v>62</v>
      </c>
      <c r="B2090" s="3">
        <v>2022.0</v>
      </c>
      <c r="C2090" s="3" t="s">
        <v>13</v>
      </c>
      <c r="D2090" s="3">
        <v>347.1</v>
      </c>
      <c r="E2090" s="3">
        <v>852.9</v>
      </c>
      <c r="F2090" s="3">
        <v>357.5</v>
      </c>
      <c r="G2090" s="3">
        <v>9.0</v>
      </c>
      <c r="H2090" s="3">
        <v>16.5</v>
      </c>
    </row>
    <row r="2091" ht="15.75" customHeight="1">
      <c r="A2091" s="3" t="s">
        <v>62</v>
      </c>
      <c r="B2091" s="3">
        <v>2022.0</v>
      </c>
      <c r="C2091" s="3" t="s">
        <v>14</v>
      </c>
      <c r="D2091" s="3">
        <v>279.8</v>
      </c>
      <c r="E2091" s="3">
        <v>744.7</v>
      </c>
      <c r="F2091" s="3">
        <v>331.6</v>
      </c>
      <c r="G2091" s="3">
        <v>8.0</v>
      </c>
      <c r="H2091" s="3">
        <v>6.5</v>
      </c>
    </row>
    <row r="2092" ht="15.75" customHeight="1">
      <c r="A2092" s="3" t="s">
        <v>62</v>
      </c>
      <c r="B2092" s="3">
        <v>2023.0</v>
      </c>
      <c r="C2092" s="3" t="s">
        <v>9</v>
      </c>
      <c r="D2092" s="3">
        <v>371.2</v>
      </c>
      <c r="E2092" s="3">
        <v>773.3</v>
      </c>
      <c r="F2092" s="3">
        <v>514.5</v>
      </c>
      <c r="G2092" s="3">
        <v>12.0</v>
      </c>
      <c r="H2092" s="3">
        <v>9.5</v>
      </c>
    </row>
    <row r="2093" ht="15.75" customHeight="1">
      <c r="A2093" s="3" t="s">
        <v>62</v>
      </c>
      <c r="B2093" s="3">
        <v>2023.0</v>
      </c>
      <c r="C2093" s="3" t="s">
        <v>10</v>
      </c>
      <c r="D2093" s="3">
        <v>355.4</v>
      </c>
      <c r="E2093" s="3">
        <v>891.2</v>
      </c>
      <c r="F2093" s="3">
        <v>467.0</v>
      </c>
      <c r="G2093" s="3">
        <v>5.0</v>
      </c>
      <c r="H2093" s="3">
        <v>11.8</v>
      </c>
    </row>
    <row r="2094" ht="15.75" customHeight="1">
      <c r="A2094" s="3" t="s">
        <v>62</v>
      </c>
      <c r="B2094" s="3">
        <v>2023.0</v>
      </c>
      <c r="C2094" s="3" t="s">
        <v>11</v>
      </c>
      <c r="D2094" s="3">
        <v>369.7</v>
      </c>
      <c r="E2094" s="3">
        <v>946.3</v>
      </c>
      <c r="F2094" s="3">
        <v>473.0</v>
      </c>
      <c r="G2094" s="3">
        <v>12.0</v>
      </c>
      <c r="H2094" s="3">
        <v>13.7</v>
      </c>
    </row>
    <row r="2095" ht="15.75" customHeight="1">
      <c r="A2095" s="3" t="s">
        <v>62</v>
      </c>
      <c r="B2095" s="3">
        <v>2023.0</v>
      </c>
      <c r="C2095" s="3" t="s">
        <v>13</v>
      </c>
      <c r="D2095" s="3">
        <v>339.3</v>
      </c>
      <c r="E2095" s="3">
        <v>872.0</v>
      </c>
      <c r="F2095" s="3">
        <v>445.8</v>
      </c>
      <c r="G2095" s="3">
        <v>8.0</v>
      </c>
      <c r="H2095" s="3">
        <v>46.2</v>
      </c>
    </row>
    <row r="2096" ht="15.75" customHeight="1">
      <c r="A2096" s="3" t="s">
        <v>62</v>
      </c>
      <c r="B2096" s="3">
        <v>2023.0</v>
      </c>
      <c r="C2096" s="3" t="s">
        <v>14</v>
      </c>
      <c r="D2096" s="3">
        <v>372.6</v>
      </c>
      <c r="E2096" s="3">
        <v>926.9</v>
      </c>
      <c r="F2096" s="3">
        <v>346.7</v>
      </c>
      <c r="G2096" s="3">
        <v>4.0</v>
      </c>
      <c r="H2096" s="3">
        <v>27.7</v>
      </c>
    </row>
    <row r="2097" ht="15.75" customHeight="1">
      <c r="A2097" s="3" t="s">
        <v>62</v>
      </c>
      <c r="B2097" s="3">
        <v>2024.0</v>
      </c>
      <c r="C2097" s="3" t="s">
        <v>9</v>
      </c>
      <c r="D2097" s="3">
        <v>442.5</v>
      </c>
      <c r="E2097" s="3">
        <v>1216.7</v>
      </c>
      <c r="F2097" s="3">
        <v>408.4</v>
      </c>
      <c r="G2097" s="3">
        <v>5.0</v>
      </c>
      <c r="H2097" s="3">
        <v>6.4</v>
      </c>
    </row>
    <row r="2098" ht="15.75" customHeight="1">
      <c r="A2098" s="3" t="s">
        <v>62</v>
      </c>
      <c r="B2098" s="3">
        <v>2024.0</v>
      </c>
      <c r="C2098" s="3" t="s">
        <v>10</v>
      </c>
      <c r="D2098" s="3">
        <v>420.1</v>
      </c>
      <c r="E2098" s="3">
        <v>1173.4</v>
      </c>
      <c r="F2098" s="3">
        <v>533.4</v>
      </c>
      <c r="G2098" s="3">
        <v>12.0</v>
      </c>
      <c r="H2098" s="3">
        <v>26.2</v>
      </c>
    </row>
    <row r="2099" ht="15.75" customHeight="1">
      <c r="A2099" s="3" t="s">
        <v>62</v>
      </c>
      <c r="B2099" s="3">
        <v>2024.0</v>
      </c>
      <c r="C2099" s="3" t="s">
        <v>11</v>
      </c>
      <c r="D2099" s="3">
        <v>375.4</v>
      </c>
      <c r="E2099" s="3">
        <v>807.4</v>
      </c>
      <c r="F2099" s="3">
        <v>463.4</v>
      </c>
      <c r="G2099" s="3">
        <v>8.0</v>
      </c>
      <c r="H2099" s="3">
        <v>31.1</v>
      </c>
    </row>
    <row r="2100" ht="15.75" customHeight="1">
      <c r="A2100" s="3" t="s">
        <v>62</v>
      </c>
      <c r="B2100" s="3">
        <v>2024.0</v>
      </c>
      <c r="C2100" s="3" t="s">
        <v>13</v>
      </c>
      <c r="D2100" s="3">
        <v>465.5</v>
      </c>
      <c r="E2100" s="3">
        <v>1366.5</v>
      </c>
      <c r="F2100" s="3">
        <v>469.9</v>
      </c>
      <c r="G2100" s="3">
        <v>6.0</v>
      </c>
      <c r="H2100" s="3">
        <v>41.3</v>
      </c>
    </row>
    <row r="2101" ht="15.75" customHeight="1">
      <c r="A2101" s="3" t="s">
        <v>62</v>
      </c>
      <c r="B2101" s="3">
        <v>2024.0</v>
      </c>
      <c r="C2101" s="3" t="s">
        <v>14</v>
      </c>
      <c r="D2101" s="3">
        <v>367.7</v>
      </c>
      <c r="E2101" s="3">
        <v>1016.1</v>
      </c>
      <c r="F2101" s="3">
        <v>359.9</v>
      </c>
      <c r="G2101" s="3">
        <v>9.0</v>
      </c>
      <c r="H2101" s="3">
        <v>17.8</v>
      </c>
    </row>
    <row r="2102" ht="15.75" customHeight="1">
      <c r="A2102" s="3" t="s">
        <v>63</v>
      </c>
      <c r="B2102" s="3">
        <v>2015.0</v>
      </c>
      <c r="C2102" s="3" t="s">
        <v>9</v>
      </c>
      <c r="D2102" s="3">
        <v>125.6</v>
      </c>
      <c r="E2102" s="3">
        <v>336.6</v>
      </c>
      <c r="F2102" s="3">
        <v>179.4</v>
      </c>
      <c r="G2102" s="3">
        <v>5.0</v>
      </c>
      <c r="H2102" s="3">
        <v>1.0</v>
      </c>
    </row>
    <row r="2103" ht="15.75" customHeight="1">
      <c r="A2103" s="3" t="s">
        <v>63</v>
      </c>
      <c r="B2103" s="3">
        <v>2015.0</v>
      </c>
      <c r="C2103" s="3" t="s">
        <v>10</v>
      </c>
      <c r="D2103" s="3">
        <v>148.0</v>
      </c>
      <c r="E2103" s="3">
        <v>376.3</v>
      </c>
      <c r="F2103" s="3">
        <v>201.1</v>
      </c>
      <c r="G2103" s="3">
        <v>4.0</v>
      </c>
      <c r="H2103" s="3">
        <v>35.1</v>
      </c>
    </row>
    <row r="2104" ht="15.75" customHeight="1">
      <c r="A2104" s="3" t="s">
        <v>63</v>
      </c>
      <c r="B2104" s="3">
        <v>2015.0</v>
      </c>
      <c r="C2104" s="3" t="s">
        <v>11</v>
      </c>
      <c r="D2104" s="3">
        <v>74.9</v>
      </c>
      <c r="E2104" s="3">
        <v>171.8</v>
      </c>
      <c r="F2104" s="3">
        <v>69.1</v>
      </c>
      <c r="G2104" s="3">
        <v>5.0</v>
      </c>
      <c r="H2104" s="3">
        <v>30.4</v>
      </c>
    </row>
    <row r="2105" ht="15.75" customHeight="1">
      <c r="A2105" s="3" t="s">
        <v>63</v>
      </c>
      <c r="B2105" s="3">
        <v>2015.0</v>
      </c>
      <c r="C2105" s="3" t="s">
        <v>13</v>
      </c>
      <c r="D2105" s="3">
        <v>65.8</v>
      </c>
      <c r="E2105" s="3">
        <v>158.8</v>
      </c>
      <c r="F2105" s="3">
        <v>96.5</v>
      </c>
      <c r="G2105" s="3">
        <v>1.0</v>
      </c>
      <c r="H2105" s="3">
        <v>14.5</v>
      </c>
    </row>
    <row r="2106" ht="15.75" customHeight="1">
      <c r="A2106" s="3" t="s">
        <v>63</v>
      </c>
      <c r="B2106" s="3">
        <v>2015.0</v>
      </c>
      <c r="C2106" s="3" t="s">
        <v>14</v>
      </c>
      <c r="D2106" s="3">
        <v>85.1</v>
      </c>
      <c r="E2106" s="3">
        <v>217.8</v>
      </c>
      <c r="F2106" s="3">
        <v>71.5</v>
      </c>
      <c r="G2106" s="3">
        <v>5.0</v>
      </c>
      <c r="H2106" s="3">
        <v>38.5</v>
      </c>
    </row>
    <row r="2107" ht="15.75" customHeight="1">
      <c r="A2107" s="3" t="s">
        <v>63</v>
      </c>
      <c r="B2107" s="3">
        <v>2016.0</v>
      </c>
      <c r="C2107" s="3" t="s">
        <v>9</v>
      </c>
      <c r="D2107" s="3">
        <v>218.9</v>
      </c>
      <c r="E2107" s="3">
        <v>618.5</v>
      </c>
      <c r="F2107" s="3">
        <v>211.5</v>
      </c>
      <c r="G2107" s="3">
        <v>8.0</v>
      </c>
      <c r="H2107" s="3">
        <v>6.3</v>
      </c>
    </row>
    <row r="2108" ht="15.75" customHeight="1">
      <c r="A2108" s="3" t="s">
        <v>63</v>
      </c>
      <c r="B2108" s="3">
        <v>2016.0</v>
      </c>
      <c r="C2108" s="3" t="s">
        <v>10</v>
      </c>
      <c r="D2108" s="3">
        <v>88.3</v>
      </c>
      <c r="E2108" s="3">
        <v>229.0</v>
      </c>
      <c r="F2108" s="3">
        <v>89.1</v>
      </c>
      <c r="G2108" s="3">
        <v>1.0</v>
      </c>
      <c r="H2108" s="3">
        <v>25.9</v>
      </c>
    </row>
    <row r="2109" ht="15.75" customHeight="1">
      <c r="A2109" s="3" t="s">
        <v>63</v>
      </c>
      <c r="B2109" s="3">
        <v>2016.0</v>
      </c>
      <c r="C2109" s="3" t="s">
        <v>11</v>
      </c>
      <c r="D2109" s="3">
        <v>197.7</v>
      </c>
      <c r="E2109" s="3">
        <v>415.3</v>
      </c>
      <c r="F2109" s="3">
        <v>267.7</v>
      </c>
      <c r="G2109" s="3">
        <v>5.0</v>
      </c>
      <c r="H2109" s="3">
        <v>21.9</v>
      </c>
    </row>
    <row r="2110" ht="15.75" customHeight="1">
      <c r="A2110" s="3" t="s">
        <v>63</v>
      </c>
      <c r="B2110" s="3">
        <v>2016.0</v>
      </c>
      <c r="C2110" s="3" t="s">
        <v>13</v>
      </c>
      <c r="D2110" s="3">
        <v>124.0</v>
      </c>
      <c r="E2110" s="3">
        <v>265.9</v>
      </c>
      <c r="F2110" s="3">
        <v>152.2</v>
      </c>
      <c r="G2110" s="3">
        <v>10.0</v>
      </c>
      <c r="H2110" s="3">
        <v>50.0</v>
      </c>
    </row>
    <row r="2111" ht="15.75" customHeight="1">
      <c r="A2111" s="3" t="s">
        <v>63</v>
      </c>
      <c r="B2111" s="3">
        <v>2016.0</v>
      </c>
      <c r="C2111" s="3" t="s">
        <v>14</v>
      </c>
      <c r="D2111" s="3">
        <v>132.5</v>
      </c>
      <c r="E2111" s="3">
        <v>284.7</v>
      </c>
      <c r="F2111" s="3">
        <v>179.6</v>
      </c>
      <c r="G2111" s="3">
        <v>5.0</v>
      </c>
      <c r="H2111" s="3">
        <v>6.4</v>
      </c>
    </row>
    <row r="2112" ht="15.75" customHeight="1">
      <c r="A2112" s="3" t="s">
        <v>63</v>
      </c>
      <c r="B2112" s="3">
        <v>2017.0</v>
      </c>
      <c r="C2112" s="3" t="s">
        <v>9</v>
      </c>
      <c r="D2112" s="3">
        <v>127.5</v>
      </c>
      <c r="E2112" s="3">
        <v>326.0</v>
      </c>
      <c r="F2112" s="3">
        <v>121.1</v>
      </c>
      <c r="G2112" s="3">
        <v>3.0</v>
      </c>
      <c r="H2112" s="3">
        <v>48.0</v>
      </c>
    </row>
    <row r="2113" ht="15.75" customHeight="1">
      <c r="A2113" s="3" t="s">
        <v>63</v>
      </c>
      <c r="B2113" s="3">
        <v>2017.0</v>
      </c>
      <c r="C2113" s="3" t="s">
        <v>10</v>
      </c>
      <c r="D2113" s="3">
        <v>255.8</v>
      </c>
      <c r="E2113" s="3">
        <v>645.4</v>
      </c>
      <c r="F2113" s="3">
        <v>247.6</v>
      </c>
      <c r="G2113" s="3">
        <v>5.0</v>
      </c>
      <c r="H2113" s="3">
        <v>23.3</v>
      </c>
    </row>
    <row r="2114" ht="15.75" customHeight="1">
      <c r="A2114" s="3" t="s">
        <v>63</v>
      </c>
      <c r="B2114" s="3">
        <v>2017.0</v>
      </c>
      <c r="C2114" s="3" t="s">
        <v>11</v>
      </c>
      <c r="D2114" s="3">
        <v>160.6</v>
      </c>
      <c r="E2114" s="3">
        <v>474.7</v>
      </c>
      <c r="F2114" s="3">
        <v>145.7</v>
      </c>
      <c r="G2114" s="3">
        <v>3.0</v>
      </c>
      <c r="H2114" s="3">
        <v>27.3</v>
      </c>
    </row>
    <row r="2115" ht="15.75" customHeight="1">
      <c r="A2115" s="3" t="s">
        <v>63</v>
      </c>
      <c r="B2115" s="3">
        <v>2017.0</v>
      </c>
      <c r="C2115" s="3" t="s">
        <v>13</v>
      </c>
      <c r="D2115" s="3">
        <v>212.9</v>
      </c>
      <c r="E2115" s="3">
        <v>473.6</v>
      </c>
      <c r="F2115" s="3">
        <v>231.5</v>
      </c>
      <c r="G2115" s="3">
        <v>3.0</v>
      </c>
      <c r="H2115" s="3">
        <v>26.8</v>
      </c>
    </row>
    <row r="2116" ht="15.75" customHeight="1">
      <c r="A2116" s="3" t="s">
        <v>63</v>
      </c>
      <c r="B2116" s="3">
        <v>2017.0</v>
      </c>
      <c r="C2116" s="3" t="s">
        <v>14</v>
      </c>
      <c r="D2116" s="3">
        <v>225.3</v>
      </c>
      <c r="E2116" s="3">
        <v>516.2</v>
      </c>
      <c r="F2116" s="3">
        <v>198.7</v>
      </c>
      <c r="G2116" s="3">
        <v>3.0</v>
      </c>
      <c r="H2116" s="3">
        <v>11.7</v>
      </c>
    </row>
    <row r="2117" ht="15.75" customHeight="1">
      <c r="A2117" s="3" t="s">
        <v>63</v>
      </c>
      <c r="B2117" s="3">
        <v>2018.0</v>
      </c>
      <c r="C2117" s="3" t="s">
        <v>9</v>
      </c>
      <c r="D2117" s="3">
        <v>133.9</v>
      </c>
      <c r="E2117" s="3">
        <v>392.5</v>
      </c>
      <c r="F2117" s="3">
        <v>198.3</v>
      </c>
      <c r="G2117" s="3">
        <v>4.0</v>
      </c>
      <c r="H2117" s="3">
        <v>7.8</v>
      </c>
    </row>
    <row r="2118" ht="15.75" customHeight="1">
      <c r="A2118" s="3" t="s">
        <v>63</v>
      </c>
      <c r="B2118" s="3">
        <v>2018.0</v>
      </c>
      <c r="C2118" s="3" t="s">
        <v>10</v>
      </c>
      <c r="D2118" s="3">
        <v>146.1</v>
      </c>
      <c r="E2118" s="3">
        <v>377.6</v>
      </c>
      <c r="F2118" s="3">
        <v>184.9</v>
      </c>
      <c r="G2118" s="3">
        <v>10.0</v>
      </c>
      <c r="H2118" s="3">
        <v>28.3</v>
      </c>
    </row>
    <row r="2119" ht="15.75" customHeight="1">
      <c r="A2119" s="3" t="s">
        <v>63</v>
      </c>
      <c r="B2119" s="3">
        <v>2018.0</v>
      </c>
      <c r="C2119" s="3" t="s">
        <v>11</v>
      </c>
      <c r="D2119" s="3">
        <v>186.6</v>
      </c>
      <c r="E2119" s="3">
        <v>387.3</v>
      </c>
      <c r="F2119" s="3">
        <v>274.5</v>
      </c>
      <c r="G2119" s="3">
        <v>6.0</v>
      </c>
      <c r="H2119" s="3">
        <v>31.5</v>
      </c>
    </row>
    <row r="2120" ht="15.75" customHeight="1">
      <c r="A2120" s="3" t="s">
        <v>63</v>
      </c>
      <c r="B2120" s="3">
        <v>2018.0</v>
      </c>
      <c r="C2120" s="3" t="s">
        <v>13</v>
      </c>
      <c r="D2120" s="3">
        <v>143.4</v>
      </c>
      <c r="E2120" s="3">
        <v>395.1</v>
      </c>
      <c r="F2120" s="3">
        <v>195.4</v>
      </c>
      <c r="G2120" s="3">
        <v>10.0</v>
      </c>
      <c r="H2120" s="3">
        <v>39.9</v>
      </c>
    </row>
    <row r="2121" ht="15.75" customHeight="1">
      <c r="A2121" s="3" t="s">
        <v>63</v>
      </c>
      <c r="B2121" s="3">
        <v>2018.0</v>
      </c>
      <c r="C2121" s="3" t="s">
        <v>14</v>
      </c>
      <c r="D2121" s="3">
        <v>177.7</v>
      </c>
      <c r="E2121" s="3">
        <v>368.2</v>
      </c>
      <c r="F2121" s="3">
        <v>175.6</v>
      </c>
      <c r="G2121" s="3">
        <v>10.0</v>
      </c>
      <c r="H2121" s="3">
        <v>16.2</v>
      </c>
    </row>
    <row r="2122" ht="15.75" customHeight="1">
      <c r="A2122" s="3" t="s">
        <v>63</v>
      </c>
      <c r="B2122" s="3">
        <v>2019.0</v>
      </c>
      <c r="C2122" s="3" t="s">
        <v>9</v>
      </c>
      <c r="D2122" s="3">
        <v>280.3</v>
      </c>
      <c r="E2122" s="3">
        <v>705.7</v>
      </c>
      <c r="F2122" s="3">
        <v>257.1</v>
      </c>
      <c r="G2122" s="3">
        <v>8.0</v>
      </c>
      <c r="H2122" s="3">
        <v>24.9</v>
      </c>
    </row>
    <row r="2123" ht="15.75" customHeight="1">
      <c r="A2123" s="3" t="s">
        <v>63</v>
      </c>
      <c r="B2123" s="3">
        <v>2019.0</v>
      </c>
      <c r="C2123" s="3" t="s">
        <v>10</v>
      </c>
      <c r="D2123" s="3">
        <v>283.2</v>
      </c>
      <c r="E2123" s="3">
        <v>813.4</v>
      </c>
      <c r="F2123" s="3">
        <v>304.9</v>
      </c>
      <c r="G2123" s="3">
        <v>6.0</v>
      </c>
      <c r="H2123" s="3">
        <v>1.5</v>
      </c>
    </row>
    <row r="2124" ht="15.75" customHeight="1">
      <c r="A2124" s="3" t="s">
        <v>63</v>
      </c>
      <c r="B2124" s="3">
        <v>2019.0</v>
      </c>
      <c r="C2124" s="3" t="s">
        <v>11</v>
      </c>
      <c r="D2124" s="3">
        <v>247.2</v>
      </c>
      <c r="E2124" s="3">
        <v>530.6</v>
      </c>
      <c r="F2124" s="3">
        <v>354.9</v>
      </c>
      <c r="G2124" s="3">
        <v>9.0</v>
      </c>
      <c r="H2124" s="3">
        <v>30.2</v>
      </c>
    </row>
    <row r="2125" ht="15.75" customHeight="1">
      <c r="A2125" s="3" t="s">
        <v>63</v>
      </c>
      <c r="B2125" s="3">
        <v>2019.0</v>
      </c>
      <c r="C2125" s="3" t="s">
        <v>13</v>
      </c>
      <c r="D2125" s="3">
        <v>245.6</v>
      </c>
      <c r="E2125" s="3">
        <v>685.5</v>
      </c>
      <c r="F2125" s="3">
        <v>296.6</v>
      </c>
      <c r="G2125" s="3">
        <v>10.0</v>
      </c>
      <c r="H2125" s="3">
        <v>44.6</v>
      </c>
    </row>
    <row r="2126" ht="15.75" customHeight="1">
      <c r="A2126" s="3" t="s">
        <v>63</v>
      </c>
      <c r="B2126" s="3">
        <v>2019.0</v>
      </c>
      <c r="C2126" s="3" t="s">
        <v>14</v>
      </c>
      <c r="D2126" s="3">
        <v>208.0</v>
      </c>
      <c r="E2126" s="3">
        <v>496.6</v>
      </c>
      <c r="F2126" s="3">
        <v>255.6</v>
      </c>
      <c r="G2126" s="3">
        <v>8.0</v>
      </c>
      <c r="H2126" s="3">
        <v>47.2</v>
      </c>
    </row>
    <row r="2127" ht="15.75" customHeight="1">
      <c r="A2127" s="3" t="s">
        <v>63</v>
      </c>
      <c r="B2127" s="3">
        <v>2020.0</v>
      </c>
      <c r="C2127" s="3" t="s">
        <v>9</v>
      </c>
      <c r="D2127" s="3">
        <v>311.9</v>
      </c>
      <c r="E2127" s="3">
        <v>825.2</v>
      </c>
      <c r="F2127" s="3">
        <v>404.9</v>
      </c>
      <c r="G2127" s="3">
        <v>8.0</v>
      </c>
      <c r="H2127" s="3">
        <v>47.0</v>
      </c>
    </row>
    <row r="2128" ht="15.75" customHeight="1">
      <c r="A2128" s="3" t="s">
        <v>63</v>
      </c>
      <c r="B2128" s="3">
        <v>2020.0</v>
      </c>
      <c r="C2128" s="3" t="s">
        <v>10</v>
      </c>
      <c r="D2128" s="3">
        <v>208.6</v>
      </c>
      <c r="E2128" s="3">
        <v>419.7</v>
      </c>
      <c r="F2128" s="3">
        <v>185.2</v>
      </c>
      <c r="G2128" s="3">
        <v>6.0</v>
      </c>
      <c r="H2128" s="3">
        <v>40.2</v>
      </c>
    </row>
    <row r="2129" ht="15.75" customHeight="1">
      <c r="A2129" s="3" t="s">
        <v>63</v>
      </c>
      <c r="B2129" s="3">
        <v>2020.0</v>
      </c>
      <c r="C2129" s="3" t="s">
        <v>11</v>
      </c>
      <c r="D2129" s="3">
        <v>324.3</v>
      </c>
      <c r="E2129" s="3">
        <v>913.8</v>
      </c>
      <c r="F2129" s="3">
        <v>380.6</v>
      </c>
      <c r="G2129" s="3">
        <v>5.0</v>
      </c>
      <c r="H2129" s="3">
        <v>4.6</v>
      </c>
    </row>
    <row r="2130" ht="15.75" customHeight="1">
      <c r="A2130" s="3" t="s">
        <v>63</v>
      </c>
      <c r="B2130" s="3">
        <v>2020.0</v>
      </c>
      <c r="C2130" s="3" t="s">
        <v>13</v>
      </c>
      <c r="D2130" s="3">
        <v>270.8</v>
      </c>
      <c r="E2130" s="3">
        <v>556.9</v>
      </c>
      <c r="F2130" s="3">
        <v>248.8</v>
      </c>
      <c r="G2130" s="3">
        <v>8.0</v>
      </c>
      <c r="H2130" s="3">
        <v>14.8</v>
      </c>
    </row>
    <row r="2131" ht="15.75" customHeight="1">
      <c r="A2131" s="3" t="s">
        <v>63</v>
      </c>
      <c r="B2131" s="3">
        <v>2020.0</v>
      </c>
      <c r="C2131" s="3" t="s">
        <v>14</v>
      </c>
      <c r="D2131" s="3">
        <v>327.8</v>
      </c>
      <c r="E2131" s="3">
        <v>916.8</v>
      </c>
      <c r="F2131" s="3">
        <v>418.6</v>
      </c>
      <c r="G2131" s="3">
        <v>12.0</v>
      </c>
      <c r="H2131" s="3">
        <v>41.6</v>
      </c>
    </row>
    <row r="2132" ht="15.75" customHeight="1">
      <c r="A2132" s="3" t="s">
        <v>63</v>
      </c>
      <c r="B2132" s="3">
        <v>2021.0</v>
      </c>
      <c r="C2132" s="3" t="s">
        <v>9</v>
      </c>
      <c r="D2132" s="3">
        <v>303.2</v>
      </c>
      <c r="E2132" s="3">
        <v>632.3</v>
      </c>
      <c r="F2132" s="3">
        <v>336.9</v>
      </c>
      <c r="G2132" s="3">
        <v>9.0</v>
      </c>
      <c r="H2132" s="3">
        <v>6.8</v>
      </c>
    </row>
    <row r="2133" ht="15.75" customHeight="1">
      <c r="A2133" s="3" t="s">
        <v>63</v>
      </c>
      <c r="B2133" s="3">
        <v>2021.0</v>
      </c>
      <c r="C2133" s="3" t="s">
        <v>10</v>
      </c>
      <c r="D2133" s="3">
        <v>258.4</v>
      </c>
      <c r="E2133" s="3">
        <v>699.5</v>
      </c>
      <c r="F2133" s="3">
        <v>382.8</v>
      </c>
      <c r="G2133" s="3">
        <v>9.0</v>
      </c>
      <c r="H2133" s="3">
        <v>17.8</v>
      </c>
    </row>
    <row r="2134" ht="15.75" customHeight="1">
      <c r="A2134" s="3" t="s">
        <v>63</v>
      </c>
      <c r="B2134" s="3">
        <v>2021.0</v>
      </c>
      <c r="C2134" s="3" t="s">
        <v>11</v>
      </c>
      <c r="D2134" s="3">
        <v>299.4</v>
      </c>
      <c r="E2134" s="3">
        <v>817.4</v>
      </c>
      <c r="F2134" s="3">
        <v>370.3</v>
      </c>
      <c r="G2134" s="3">
        <v>3.0</v>
      </c>
      <c r="H2134" s="3">
        <v>25.7</v>
      </c>
    </row>
    <row r="2135" ht="15.75" customHeight="1">
      <c r="A2135" s="3" t="s">
        <v>63</v>
      </c>
      <c r="B2135" s="3">
        <v>2021.0</v>
      </c>
      <c r="C2135" s="3" t="s">
        <v>13</v>
      </c>
      <c r="D2135" s="3">
        <v>236.1</v>
      </c>
      <c r="E2135" s="3">
        <v>677.1</v>
      </c>
      <c r="F2135" s="3">
        <v>210.2</v>
      </c>
      <c r="G2135" s="3">
        <v>7.0</v>
      </c>
      <c r="H2135" s="3">
        <v>49.1</v>
      </c>
    </row>
    <row r="2136" ht="15.75" customHeight="1">
      <c r="A2136" s="3" t="s">
        <v>63</v>
      </c>
      <c r="B2136" s="3">
        <v>2021.0</v>
      </c>
      <c r="C2136" s="3" t="s">
        <v>14</v>
      </c>
      <c r="D2136" s="3">
        <v>277.3</v>
      </c>
      <c r="E2136" s="3">
        <v>569.2</v>
      </c>
      <c r="F2136" s="3">
        <v>278.8</v>
      </c>
      <c r="G2136" s="3">
        <v>4.0</v>
      </c>
      <c r="H2136" s="3">
        <v>9.4</v>
      </c>
    </row>
    <row r="2137" ht="15.75" customHeight="1">
      <c r="A2137" s="3" t="s">
        <v>63</v>
      </c>
      <c r="B2137" s="3">
        <v>2022.0</v>
      </c>
      <c r="C2137" s="3" t="s">
        <v>9</v>
      </c>
      <c r="D2137" s="3">
        <v>311.5</v>
      </c>
      <c r="E2137" s="3">
        <v>761.3</v>
      </c>
      <c r="F2137" s="3">
        <v>434.7</v>
      </c>
      <c r="G2137" s="3">
        <v>9.0</v>
      </c>
      <c r="H2137" s="3">
        <v>18.4</v>
      </c>
    </row>
    <row r="2138" ht="15.75" customHeight="1">
      <c r="A2138" s="3" t="s">
        <v>63</v>
      </c>
      <c r="B2138" s="3">
        <v>2022.0</v>
      </c>
      <c r="C2138" s="3" t="s">
        <v>10</v>
      </c>
      <c r="D2138" s="3">
        <v>354.6</v>
      </c>
      <c r="E2138" s="3">
        <v>717.9</v>
      </c>
      <c r="F2138" s="3">
        <v>509.2</v>
      </c>
      <c r="G2138" s="3">
        <v>9.0</v>
      </c>
      <c r="H2138" s="3">
        <v>4.7</v>
      </c>
    </row>
    <row r="2139" ht="15.75" customHeight="1">
      <c r="A2139" s="3" t="s">
        <v>63</v>
      </c>
      <c r="B2139" s="3">
        <v>2022.0</v>
      </c>
      <c r="C2139" s="3" t="s">
        <v>11</v>
      </c>
      <c r="D2139" s="3">
        <v>316.1</v>
      </c>
      <c r="E2139" s="3">
        <v>753.4</v>
      </c>
      <c r="F2139" s="3">
        <v>460.9</v>
      </c>
      <c r="G2139" s="3">
        <v>11.0</v>
      </c>
      <c r="H2139" s="3">
        <v>2.7</v>
      </c>
    </row>
    <row r="2140" ht="15.75" customHeight="1">
      <c r="A2140" s="3" t="s">
        <v>63</v>
      </c>
      <c r="B2140" s="3">
        <v>2022.0</v>
      </c>
      <c r="C2140" s="3" t="s">
        <v>13</v>
      </c>
      <c r="D2140" s="3">
        <v>312.2</v>
      </c>
      <c r="E2140" s="3">
        <v>928.6</v>
      </c>
      <c r="F2140" s="3">
        <v>253.5</v>
      </c>
      <c r="G2140" s="3">
        <v>7.0</v>
      </c>
      <c r="H2140" s="3">
        <v>40.8</v>
      </c>
    </row>
    <row r="2141" ht="15.75" customHeight="1">
      <c r="A2141" s="3" t="s">
        <v>63</v>
      </c>
      <c r="B2141" s="3">
        <v>2022.0</v>
      </c>
      <c r="C2141" s="3" t="s">
        <v>14</v>
      </c>
      <c r="D2141" s="3">
        <v>347.3</v>
      </c>
      <c r="E2141" s="3">
        <v>933.8</v>
      </c>
      <c r="F2141" s="3">
        <v>516.2</v>
      </c>
      <c r="G2141" s="3">
        <v>12.0</v>
      </c>
      <c r="H2141" s="3">
        <v>8.9</v>
      </c>
    </row>
    <row r="2142" ht="15.75" customHeight="1">
      <c r="A2142" s="3" t="s">
        <v>63</v>
      </c>
      <c r="B2142" s="3">
        <v>2023.0</v>
      </c>
      <c r="C2142" s="3" t="s">
        <v>9</v>
      </c>
      <c r="D2142" s="3">
        <v>301.5</v>
      </c>
      <c r="E2142" s="3">
        <v>858.3</v>
      </c>
      <c r="F2142" s="3">
        <v>328.7</v>
      </c>
      <c r="G2142" s="3">
        <v>8.0</v>
      </c>
      <c r="H2142" s="3">
        <v>16.7</v>
      </c>
    </row>
    <row r="2143" ht="15.75" customHeight="1">
      <c r="A2143" s="3" t="s">
        <v>63</v>
      </c>
      <c r="B2143" s="3">
        <v>2023.0</v>
      </c>
      <c r="C2143" s="3" t="s">
        <v>10</v>
      </c>
      <c r="D2143" s="3">
        <v>359.1</v>
      </c>
      <c r="E2143" s="3">
        <v>1063.0</v>
      </c>
      <c r="F2143" s="3">
        <v>356.7</v>
      </c>
      <c r="G2143" s="3">
        <v>7.0</v>
      </c>
      <c r="H2143" s="3">
        <v>48.9</v>
      </c>
    </row>
    <row r="2144" ht="15.75" customHeight="1">
      <c r="A2144" s="3" t="s">
        <v>63</v>
      </c>
      <c r="B2144" s="3">
        <v>2023.0</v>
      </c>
      <c r="C2144" s="3" t="s">
        <v>11</v>
      </c>
      <c r="D2144" s="3">
        <v>366.2</v>
      </c>
      <c r="E2144" s="3">
        <v>733.7</v>
      </c>
      <c r="F2144" s="3">
        <v>303.2</v>
      </c>
      <c r="G2144" s="3">
        <v>5.0</v>
      </c>
      <c r="H2144" s="3">
        <v>6.5</v>
      </c>
    </row>
    <row r="2145" ht="15.75" customHeight="1">
      <c r="A2145" s="3" t="s">
        <v>63</v>
      </c>
      <c r="B2145" s="3">
        <v>2023.0</v>
      </c>
      <c r="C2145" s="3" t="s">
        <v>13</v>
      </c>
      <c r="D2145" s="3">
        <v>432.1</v>
      </c>
      <c r="E2145" s="3">
        <v>995.9</v>
      </c>
      <c r="F2145" s="3">
        <v>454.6</v>
      </c>
      <c r="G2145" s="3">
        <v>10.0</v>
      </c>
      <c r="H2145" s="3">
        <v>15.7</v>
      </c>
    </row>
    <row r="2146" ht="15.75" customHeight="1">
      <c r="A2146" s="3" t="s">
        <v>63</v>
      </c>
      <c r="B2146" s="3">
        <v>2023.0</v>
      </c>
      <c r="C2146" s="3" t="s">
        <v>14</v>
      </c>
      <c r="D2146" s="3">
        <v>331.1</v>
      </c>
      <c r="E2146" s="3">
        <v>840.1</v>
      </c>
      <c r="F2146" s="3">
        <v>367.8</v>
      </c>
      <c r="G2146" s="3">
        <v>4.0</v>
      </c>
      <c r="H2146" s="3">
        <v>27.8</v>
      </c>
    </row>
    <row r="2147" ht="15.75" customHeight="1">
      <c r="A2147" s="3" t="s">
        <v>63</v>
      </c>
      <c r="B2147" s="3">
        <v>2024.0</v>
      </c>
      <c r="C2147" s="3" t="s">
        <v>9</v>
      </c>
      <c r="D2147" s="3">
        <v>392.9</v>
      </c>
      <c r="E2147" s="3">
        <v>1169.1</v>
      </c>
      <c r="F2147" s="3">
        <v>415.2</v>
      </c>
      <c r="G2147" s="3">
        <v>11.0</v>
      </c>
      <c r="H2147" s="3">
        <v>21.9</v>
      </c>
    </row>
    <row r="2148" ht="15.75" customHeight="1">
      <c r="A2148" s="3" t="s">
        <v>63</v>
      </c>
      <c r="B2148" s="3">
        <v>2024.0</v>
      </c>
      <c r="C2148" s="3" t="s">
        <v>10</v>
      </c>
      <c r="D2148" s="3">
        <v>423.3</v>
      </c>
      <c r="E2148" s="3">
        <v>910.3</v>
      </c>
      <c r="F2148" s="3">
        <v>533.9</v>
      </c>
      <c r="G2148" s="3">
        <v>9.0</v>
      </c>
      <c r="H2148" s="3">
        <v>46.5</v>
      </c>
    </row>
    <row r="2149" ht="15.75" customHeight="1">
      <c r="A2149" s="3" t="s">
        <v>63</v>
      </c>
      <c r="B2149" s="3">
        <v>2024.0</v>
      </c>
      <c r="C2149" s="3" t="s">
        <v>11</v>
      </c>
      <c r="D2149" s="3">
        <v>405.0</v>
      </c>
      <c r="E2149" s="3">
        <v>1044.5</v>
      </c>
      <c r="F2149" s="3">
        <v>336.0</v>
      </c>
      <c r="G2149" s="3">
        <v>11.0</v>
      </c>
      <c r="H2149" s="3">
        <v>13.1</v>
      </c>
    </row>
    <row r="2150" ht="15.75" customHeight="1">
      <c r="A2150" s="3" t="s">
        <v>63</v>
      </c>
      <c r="B2150" s="3">
        <v>2024.0</v>
      </c>
      <c r="C2150" s="3" t="s">
        <v>13</v>
      </c>
      <c r="D2150" s="3">
        <v>396.0</v>
      </c>
      <c r="E2150" s="3">
        <v>906.2</v>
      </c>
      <c r="F2150" s="3">
        <v>370.7</v>
      </c>
      <c r="G2150" s="3">
        <v>12.0</v>
      </c>
      <c r="H2150" s="3">
        <v>18.7</v>
      </c>
    </row>
    <row r="2151" ht="15.75" customHeight="1">
      <c r="A2151" s="3" t="s">
        <v>63</v>
      </c>
      <c r="B2151" s="3">
        <v>2024.0</v>
      </c>
      <c r="C2151" s="3" t="s">
        <v>14</v>
      </c>
      <c r="D2151" s="3">
        <v>359.0</v>
      </c>
      <c r="E2151" s="3">
        <v>963.1</v>
      </c>
      <c r="F2151" s="3">
        <v>299.1</v>
      </c>
      <c r="G2151" s="3">
        <v>11.0</v>
      </c>
      <c r="H2151" s="3">
        <v>34.0</v>
      </c>
    </row>
    <row r="2152" ht="15.75" customHeight="1">
      <c r="A2152" s="3" t="s">
        <v>64</v>
      </c>
      <c r="B2152" s="3">
        <v>2015.0</v>
      </c>
      <c r="C2152" s="3" t="s">
        <v>9</v>
      </c>
      <c r="D2152" s="3">
        <v>155.8</v>
      </c>
      <c r="E2152" s="3">
        <v>409.1</v>
      </c>
      <c r="F2152" s="3">
        <v>213.8</v>
      </c>
      <c r="G2152" s="3">
        <v>4.0</v>
      </c>
      <c r="H2152" s="3">
        <v>42.1</v>
      </c>
    </row>
    <row r="2153" ht="15.75" customHeight="1">
      <c r="A2153" s="3" t="s">
        <v>64</v>
      </c>
      <c r="B2153" s="3">
        <v>2015.0</v>
      </c>
      <c r="C2153" s="3" t="s">
        <v>10</v>
      </c>
      <c r="D2153" s="3">
        <v>132.8</v>
      </c>
      <c r="E2153" s="3">
        <v>313.0</v>
      </c>
      <c r="F2153" s="3">
        <v>124.1</v>
      </c>
      <c r="G2153" s="3">
        <v>4.0</v>
      </c>
      <c r="H2153" s="3">
        <v>5.9</v>
      </c>
    </row>
    <row r="2154" ht="15.75" customHeight="1">
      <c r="A2154" s="3" t="s">
        <v>64</v>
      </c>
      <c r="B2154" s="3">
        <v>2015.0</v>
      </c>
      <c r="C2154" s="3" t="s">
        <v>11</v>
      </c>
      <c r="D2154" s="3">
        <v>86.5</v>
      </c>
      <c r="E2154" s="3">
        <v>194.8</v>
      </c>
      <c r="F2154" s="3">
        <v>128.2</v>
      </c>
      <c r="G2154" s="3">
        <v>3.0</v>
      </c>
      <c r="H2154" s="3">
        <v>45.4</v>
      </c>
    </row>
    <row r="2155" ht="15.75" customHeight="1">
      <c r="A2155" s="3" t="s">
        <v>64</v>
      </c>
      <c r="B2155" s="3">
        <v>2015.0</v>
      </c>
      <c r="C2155" s="3" t="s">
        <v>13</v>
      </c>
      <c r="D2155" s="3">
        <v>154.9</v>
      </c>
      <c r="E2155" s="3">
        <v>426.8</v>
      </c>
      <c r="F2155" s="3">
        <v>147.2</v>
      </c>
      <c r="G2155" s="3">
        <v>9.0</v>
      </c>
      <c r="H2155" s="3">
        <v>3.6</v>
      </c>
    </row>
    <row r="2156" ht="15.75" customHeight="1">
      <c r="A2156" s="3" t="s">
        <v>64</v>
      </c>
      <c r="B2156" s="3">
        <v>2015.0</v>
      </c>
      <c r="C2156" s="3" t="s">
        <v>14</v>
      </c>
      <c r="D2156" s="3">
        <v>184.5</v>
      </c>
      <c r="E2156" s="3">
        <v>510.4</v>
      </c>
      <c r="F2156" s="3">
        <v>196.0</v>
      </c>
      <c r="G2156" s="3">
        <v>2.0</v>
      </c>
      <c r="H2156" s="3">
        <v>20.0</v>
      </c>
    </row>
    <row r="2157" ht="15.75" customHeight="1">
      <c r="A2157" s="3" t="s">
        <v>64</v>
      </c>
      <c r="B2157" s="3">
        <v>2016.0</v>
      </c>
      <c r="C2157" s="3" t="s">
        <v>9</v>
      </c>
      <c r="D2157" s="3">
        <v>135.7</v>
      </c>
      <c r="E2157" s="3">
        <v>380.4</v>
      </c>
      <c r="F2157" s="3">
        <v>198.6</v>
      </c>
      <c r="G2157" s="3">
        <v>2.0</v>
      </c>
      <c r="H2157" s="3">
        <v>11.9</v>
      </c>
    </row>
    <row r="2158" ht="15.75" customHeight="1">
      <c r="A2158" s="3" t="s">
        <v>64</v>
      </c>
      <c r="B2158" s="3">
        <v>2016.0</v>
      </c>
      <c r="C2158" s="3" t="s">
        <v>10</v>
      </c>
      <c r="D2158" s="3">
        <v>110.7</v>
      </c>
      <c r="E2158" s="3">
        <v>302.0</v>
      </c>
      <c r="F2158" s="3">
        <v>132.5</v>
      </c>
      <c r="G2158" s="3">
        <v>5.0</v>
      </c>
      <c r="H2158" s="3">
        <v>33.1</v>
      </c>
    </row>
    <row r="2159" ht="15.75" customHeight="1">
      <c r="A2159" s="3" t="s">
        <v>64</v>
      </c>
      <c r="B2159" s="3">
        <v>2016.0</v>
      </c>
      <c r="C2159" s="3" t="s">
        <v>11</v>
      </c>
      <c r="D2159" s="3">
        <v>105.8</v>
      </c>
      <c r="E2159" s="3">
        <v>233.3</v>
      </c>
      <c r="F2159" s="3">
        <v>133.1</v>
      </c>
      <c r="G2159" s="3">
        <v>4.0</v>
      </c>
      <c r="H2159" s="3">
        <v>4.3</v>
      </c>
    </row>
    <row r="2160" ht="15.75" customHeight="1">
      <c r="A2160" s="3" t="s">
        <v>64</v>
      </c>
      <c r="B2160" s="3">
        <v>2016.0</v>
      </c>
      <c r="C2160" s="3" t="s">
        <v>13</v>
      </c>
      <c r="D2160" s="3">
        <v>163.4</v>
      </c>
      <c r="E2160" s="3">
        <v>441.6</v>
      </c>
      <c r="F2160" s="3">
        <v>153.8</v>
      </c>
      <c r="G2160" s="3">
        <v>9.0</v>
      </c>
      <c r="H2160" s="3">
        <v>31.1</v>
      </c>
    </row>
    <row r="2161" ht="15.75" customHeight="1">
      <c r="A2161" s="3" t="s">
        <v>64</v>
      </c>
      <c r="B2161" s="3">
        <v>2016.0</v>
      </c>
      <c r="C2161" s="3" t="s">
        <v>14</v>
      </c>
      <c r="D2161" s="3">
        <v>73.7</v>
      </c>
      <c r="E2161" s="3">
        <v>166.9</v>
      </c>
      <c r="F2161" s="3">
        <v>95.6</v>
      </c>
      <c r="G2161" s="3">
        <v>4.0</v>
      </c>
      <c r="H2161" s="3">
        <v>47.0</v>
      </c>
    </row>
    <row r="2162" ht="15.75" customHeight="1">
      <c r="A2162" s="3" t="s">
        <v>64</v>
      </c>
      <c r="B2162" s="3">
        <v>2017.0</v>
      </c>
      <c r="C2162" s="3" t="s">
        <v>9</v>
      </c>
      <c r="D2162" s="3">
        <v>134.8</v>
      </c>
      <c r="E2162" s="3">
        <v>284.7</v>
      </c>
      <c r="F2162" s="3">
        <v>176.4</v>
      </c>
      <c r="G2162" s="3">
        <v>10.0</v>
      </c>
      <c r="H2162" s="3">
        <v>19.2</v>
      </c>
    </row>
    <row r="2163" ht="15.75" customHeight="1">
      <c r="A2163" s="3" t="s">
        <v>64</v>
      </c>
      <c r="B2163" s="3">
        <v>2017.0</v>
      </c>
      <c r="C2163" s="3" t="s">
        <v>10</v>
      </c>
      <c r="D2163" s="3">
        <v>180.3</v>
      </c>
      <c r="E2163" s="3">
        <v>498.0</v>
      </c>
      <c r="F2163" s="3">
        <v>177.4</v>
      </c>
      <c r="G2163" s="3">
        <v>5.0</v>
      </c>
      <c r="H2163" s="3">
        <v>15.7</v>
      </c>
    </row>
    <row r="2164" ht="15.75" customHeight="1">
      <c r="A2164" s="3" t="s">
        <v>64</v>
      </c>
      <c r="B2164" s="3">
        <v>2017.0</v>
      </c>
      <c r="C2164" s="3" t="s">
        <v>11</v>
      </c>
      <c r="D2164" s="3">
        <v>118.7</v>
      </c>
      <c r="E2164" s="3">
        <v>244.8</v>
      </c>
      <c r="F2164" s="3">
        <v>109.9</v>
      </c>
      <c r="G2164" s="3">
        <v>9.0</v>
      </c>
      <c r="H2164" s="3">
        <v>13.9</v>
      </c>
    </row>
    <row r="2165" ht="15.75" customHeight="1">
      <c r="A2165" s="3" t="s">
        <v>64</v>
      </c>
      <c r="B2165" s="3">
        <v>2017.0</v>
      </c>
      <c r="C2165" s="3" t="s">
        <v>13</v>
      </c>
      <c r="D2165" s="3">
        <v>132.4</v>
      </c>
      <c r="E2165" s="3">
        <v>283.5</v>
      </c>
      <c r="F2165" s="3">
        <v>155.8</v>
      </c>
      <c r="G2165" s="3">
        <v>9.0</v>
      </c>
      <c r="H2165" s="3">
        <v>38.2</v>
      </c>
    </row>
    <row r="2166" ht="15.75" customHeight="1">
      <c r="A2166" s="3" t="s">
        <v>64</v>
      </c>
      <c r="B2166" s="3">
        <v>2017.0</v>
      </c>
      <c r="C2166" s="3" t="s">
        <v>14</v>
      </c>
      <c r="D2166" s="3">
        <v>181.2</v>
      </c>
      <c r="E2166" s="3">
        <v>371.6</v>
      </c>
      <c r="F2166" s="3">
        <v>195.1</v>
      </c>
      <c r="G2166" s="3">
        <v>3.0</v>
      </c>
      <c r="H2166" s="3">
        <v>28.5</v>
      </c>
    </row>
    <row r="2167" ht="15.75" customHeight="1">
      <c r="A2167" s="3" t="s">
        <v>64</v>
      </c>
      <c r="B2167" s="3">
        <v>2018.0</v>
      </c>
      <c r="C2167" s="3" t="s">
        <v>9</v>
      </c>
      <c r="D2167" s="3">
        <v>162.4</v>
      </c>
      <c r="E2167" s="3">
        <v>416.2</v>
      </c>
      <c r="F2167" s="3">
        <v>205.1</v>
      </c>
      <c r="G2167" s="3">
        <v>4.0</v>
      </c>
      <c r="H2167" s="3">
        <v>36.6</v>
      </c>
    </row>
    <row r="2168" ht="15.75" customHeight="1">
      <c r="A2168" s="3" t="s">
        <v>64</v>
      </c>
      <c r="B2168" s="3">
        <v>2018.0</v>
      </c>
      <c r="C2168" s="3" t="s">
        <v>10</v>
      </c>
      <c r="D2168" s="3">
        <v>247.5</v>
      </c>
      <c r="E2168" s="3">
        <v>682.5</v>
      </c>
      <c r="F2168" s="3">
        <v>270.6</v>
      </c>
      <c r="G2168" s="3">
        <v>7.0</v>
      </c>
      <c r="H2168" s="3">
        <v>24.1</v>
      </c>
    </row>
    <row r="2169" ht="15.75" customHeight="1">
      <c r="A2169" s="3" t="s">
        <v>64</v>
      </c>
      <c r="B2169" s="3">
        <v>2018.0</v>
      </c>
      <c r="C2169" s="3" t="s">
        <v>11</v>
      </c>
      <c r="D2169" s="3">
        <v>181.2</v>
      </c>
      <c r="E2169" s="3">
        <v>426.1</v>
      </c>
      <c r="F2169" s="3">
        <v>217.6</v>
      </c>
      <c r="G2169" s="3">
        <v>9.0</v>
      </c>
      <c r="H2169" s="3">
        <v>10.2</v>
      </c>
    </row>
    <row r="2170" ht="15.75" customHeight="1">
      <c r="A2170" s="3" t="s">
        <v>64</v>
      </c>
      <c r="B2170" s="3">
        <v>2018.0</v>
      </c>
      <c r="C2170" s="3" t="s">
        <v>13</v>
      </c>
      <c r="D2170" s="3">
        <v>160.8</v>
      </c>
      <c r="E2170" s="3">
        <v>472.0</v>
      </c>
      <c r="F2170" s="3">
        <v>236.1</v>
      </c>
      <c r="G2170" s="3">
        <v>10.0</v>
      </c>
      <c r="H2170" s="3">
        <v>18.9</v>
      </c>
    </row>
    <row r="2171" ht="15.75" customHeight="1">
      <c r="A2171" s="3" t="s">
        <v>64</v>
      </c>
      <c r="B2171" s="3">
        <v>2018.0</v>
      </c>
      <c r="C2171" s="3" t="s">
        <v>14</v>
      </c>
      <c r="D2171" s="3">
        <v>230.4</v>
      </c>
      <c r="E2171" s="3">
        <v>650.1</v>
      </c>
      <c r="F2171" s="3">
        <v>197.4</v>
      </c>
      <c r="G2171" s="3">
        <v>6.0</v>
      </c>
      <c r="H2171" s="3">
        <v>48.3</v>
      </c>
    </row>
    <row r="2172" ht="15.75" customHeight="1">
      <c r="A2172" s="3" t="s">
        <v>64</v>
      </c>
      <c r="B2172" s="3">
        <v>2019.0</v>
      </c>
      <c r="C2172" s="3" t="s">
        <v>9</v>
      </c>
      <c r="D2172" s="3">
        <v>178.9</v>
      </c>
      <c r="E2172" s="3">
        <v>461.8</v>
      </c>
      <c r="F2172" s="3">
        <v>155.6</v>
      </c>
      <c r="G2172" s="3">
        <v>2.0</v>
      </c>
      <c r="H2172" s="3">
        <v>25.5</v>
      </c>
    </row>
    <row r="2173" ht="15.75" customHeight="1">
      <c r="A2173" s="3" t="s">
        <v>64</v>
      </c>
      <c r="B2173" s="3">
        <v>2019.0</v>
      </c>
      <c r="C2173" s="3" t="s">
        <v>10</v>
      </c>
      <c r="D2173" s="3">
        <v>257.1</v>
      </c>
      <c r="E2173" s="3">
        <v>675.6</v>
      </c>
      <c r="F2173" s="3">
        <v>356.9</v>
      </c>
      <c r="G2173" s="3">
        <v>9.0</v>
      </c>
      <c r="H2173" s="3">
        <v>45.3</v>
      </c>
    </row>
    <row r="2174" ht="15.75" customHeight="1">
      <c r="A2174" s="3" t="s">
        <v>64</v>
      </c>
      <c r="B2174" s="3">
        <v>2019.0</v>
      </c>
      <c r="C2174" s="3" t="s">
        <v>11</v>
      </c>
      <c r="D2174" s="3">
        <v>213.0</v>
      </c>
      <c r="E2174" s="3">
        <v>623.5</v>
      </c>
      <c r="F2174" s="3">
        <v>175.2</v>
      </c>
      <c r="G2174" s="3">
        <v>4.0</v>
      </c>
      <c r="H2174" s="3">
        <v>11.3</v>
      </c>
    </row>
    <row r="2175" ht="15.75" customHeight="1">
      <c r="A2175" s="3" t="s">
        <v>64</v>
      </c>
      <c r="B2175" s="3">
        <v>2019.0</v>
      </c>
      <c r="C2175" s="3" t="s">
        <v>13</v>
      </c>
      <c r="D2175" s="3">
        <v>226.2</v>
      </c>
      <c r="E2175" s="3">
        <v>602.9</v>
      </c>
      <c r="F2175" s="3">
        <v>314.0</v>
      </c>
      <c r="G2175" s="3">
        <v>3.0</v>
      </c>
      <c r="H2175" s="3">
        <v>35.1</v>
      </c>
    </row>
    <row r="2176" ht="15.75" customHeight="1">
      <c r="A2176" s="3" t="s">
        <v>64</v>
      </c>
      <c r="B2176" s="3">
        <v>2019.0</v>
      </c>
      <c r="C2176" s="3" t="s">
        <v>14</v>
      </c>
      <c r="D2176" s="3">
        <v>216.5</v>
      </c>
      <c r="E2176" s="3">
        <v>528.1</v>
      </c>
      <c r="F2176" s="3">
        <v>208.7</v>
      </c>
      <c r="G2176" s="3">
        <v>6.0</v>
      </c>
      <c r="H2176" s="3">
        <v>28.9</v>
      </c>
    </row>
    <row r="2177" ht="15.75" customHeight="1">
      <c r="A2177" s="3" t="s">
        <v>64</v>
      </c>
      <c r="B2177" s="3">
        <v>2020.0</v>
      </c>
      <c r="C2177" s="3" t="s">
        <v>9</v>
      </c>
      <c r="D2177" s="3">
        <v>276.4</v>
      </c>
      <c r="E2177" s="3">
        <v>583.0</v>
      </c>
      <c r="F2177" s="3">
        <v>273.4</v>
      </c>
      <c r="G2177" s="3">
        <v>8.0</v>
      </c>
      <c r="H2177" s="3">
        <v>30.6</v>
      </c>
    </row>
    <row r="2178" ht="15.75" customHeight="1">
      <c r="A2178" s="3" t="s">
        <v>64</v>
      </c>
      <c r="B2178" s="3">
        <v>2020.0</v>
      </c>
      <c r="C2178" s="3" t="s">
        <v>10</v>
      </c>
      <c r="D2178" s="3">
        <v>285.6</v>
      </c>
      <c r="E2178" s="3">
        <v>638.9</v>
      </c>
      <c r="F2178" s="3">
        <v>367.2</v>
      </c>
      <c r="G2178" s="3">
        <v>4.0</v>
      </c>
      <c r="H2178" s="3">
        <v>37.0</v>
      </c>
    </row>
    <row r="2179" ht="15.75" customHeight="1">
      <c r="A2179" s="3" t="s">
        <v>64</v>
      </c>
      <c r="B2179" s="3">
        <v>2020.0</v>
      </c>
      <c r="C2179" s="3" t="s">
        <v>11</v>
      </c>
      <c r="D2179" s="3">
        <v>283.9</v>
      </c>
      <c r="E2179" s="3">
        <v>634.5</v>
      </c>
      <c r="F2179" s="3">
        <v>247.1</v>
      </c>
      <c r="G2179" s="3">
        <v>3.0</v>
      </c>
      <c r="H2179" s="3">
        <v>20.5</v>
      </c>
    </row>
    <row r="2180" ht="15.75" customHeight="1">
      <c r="A2180" s="3" t="s">
        <v>64</v>
      </c>
      <c r="B2180" s="3">
        <v>2020.0</v>
      </c>
      <c r="C2180" s="3" t="s">
        <v>13</v>
      </c>
      <c r="D2180" s="3">
        <v>198.7</v>
      </c>
      <c r="E2180" s="3">
        <v>431.1</v>
      </c>
      <c r="F2180" s="3">
        <v>239.7</v>
      </c>
      <c r="G2180" s="3">
        <v>8.0</v>
      </c>
      <c r="H2180" s="3">
        <v>36.7</v>
      </c>
    </row>
    <row r="2181" ht="15.75" customHeight="1">
      <c r="A2181" s="3" t="s">
        <v>64</v>
      </c>
      <c r="B2181" s="3">
        <v>2020.0</v>
      </c>
      <c r="C2181" s="3" t="s">
        <v>14</v>
      </c>
      <c r="D2181" s="3">
        <v>304.5</v>
      </c>
      <c r="E2181" s="3">
        <v>882.0</v>
      </c>
      <c r="F2181" s="3">
        <v>421.8</v>
      </c>
      <c r="G2181" s="3">
        <v>10.0</v>
      </c>
      <c r="H2181" s="3">
        <v>18.0</v>
      </c>
    </row>
    <row r="2182" ht="15.75" customHeight="1">
      <c r="A2182" s="3" t="s">
        <v>64</v>
      </c>
      <c r="B2182" s="3">
        <v>2021.0</v>
      </c>
      <c r="C2182" s="3" t="s">
        <v>9</v>
      </c>
      <c r="D2182" s="3">
        <v>276.0</v>
      </c>
      <c r="E2182" s="3">
        <v>602.9</v>
      </c>
      <c r="F2182" s="3">
        <v>276.4</v>
      </c>
      <c r="G2182" s="3">
        <v>8.0</v>
      </c>
      <c r="H2182" s="3">
        <v>48.0</v>
      </c>
    </row>
    <row r="2183" ht="15.75" customHeight="1">
      <c r="A2183" s="3" t="s">
        <v>64</v>
      </c>
      <c r="B2183" s="3">
        <v>2021.0</v>
      </c>
      <c r="C2183" s="3" t="s">
        <v>10</v>
      </c>
      <c r="D2183" s="3">
        <v>291.1</v>
      </c>
      <c r="E2183" s="3">
        <v>797.1</v>
      </c>
      <c r="F2183" s="3">
        <v>428.2</v>
      </c>
      <c r="G2183" s="3">
        <v>4.0</v>
      </c>
      <c r="H2183" s="3">
        <v>17.0</v>
      </c>
    </row>
    <row r="2184" ht="15.75" customHeight="1">
      <c r="A2184" s="3" t="s">
        <v>64</v>
      </c>
      <c r="B2184" s="3">
        <v>2021.0</v>
      </c>
      <c r="C2184" s="3" t="s">
        <v>11</v>
      </c>
      <c r="D2184" s="3">
        <v>353.0</v>
      </c>
      <c r="E2184" s="3">
        <v>818.0</v>
      </c>
      <c r="F2184" s="3">
        <v>415.7</v>
      </c>
      <c r="G2184" s="3">
        <v>7.0</v>
      </c>
      <c r="H2184" s="3">
        <v>8.0</v>
      </c>
    </row>
    <row r="2185" ht="15.75" customHeight="1">
      <c r="A2185" s="3" t="s">
        <v>64</v>
      </c>
      <c r="B2185" s="3">
        <v>2021.0</v>
      </c>
      <c r="C2185" s="3" t="s">
        <v>13</v>
      </c>
      <c r="D2185" s="3">
        <v>310.5</v>
      </c>
      <c r="E2185" s="3">
        <v>675.1</v>
      </c>
      <c r="F2185" s="3">
        <v>325.1</v>
      </c>
      <c r="G2185" s="3">
        <v>12.0</v>
      </c>
      <c r="H2185" s="3">
        <v>31.4</v>
      </c>
    </row>
    <row r="2186" ht="15.75" customHeight="1">
      <c r="A2186" s="3" t="s">
        <v>64</v>
      </c>
      <c r="B2186" s="3">
        <v>2021.0</v>
      </c>
      <c r="C2186" s="3" t="s">
        <v>14</v>
      </c>
      <c r="D2186" s="3">
        <v>282.2</v>
      </c>
      <c r="E2186" s="3">
        <v>767.5</v>
      </c>
      <c r="F2186" s="3">
        <v>230.1</v>
      </c>
      <c r="G2186" s="3">
        <v>5.0</v>
      </c>
      <c r="H2186" s="3">
        <v>37.6</v>
      </c>
    </row>
    <row r="2187" ht="15.75" customHeight="1">
      <c r="A2187" s="3" t="s">
        <v>64</v>
      </c>
      <c r="B2187" s="3">
        <v>2022.0</v>
      </c>
      <c r="C2187" s="3" t="s">
        <v>9</v>
      </c>
      <c r="D2187" s="3">
        <v>340.5</v>
      </c>
      <c r="E2187" s="3">
        <v>862.3</v>
      </c>
      <c r="F2187" s="3">
        <v>299.6</v>
      </c>
      <c r="G2187" s="3">
        <v>10.0</v>
      </c>
      <c r="H2187" s="3">
        <v>1.1</v>
      </c>
    </row>
    <row r="2188" ht="15.75" customHeight="1">
      <c r="A2188" s="3" t="s">
        <v>64</v>
      </c>
      <c r="B2188" s="3">
        <v>2022.0</v>
      </c>
      <c r="C2188" s="3" t="s">
        <v>10</v>
      </c>
      <c r="D2188" s="3">
        <v>367.3</v>
      </c>
      <c r="E2188" s="3">
        <v>874.0</v>
      </c>
      <c r="F2188" s="3">
        <v>509.4</v>
      </c>
      <c r="G2188" s="3">
        <v>8.0</v>
      </c>
      <c r="H2188" s="3">
        <v>28.9</v>
      </c>
    </row>
    <row r="2189" ht="15.75" customHeight="1">
      <c r="A2189" s="3" t="s">
        <v>64</v>
      </c>
      <c r="B2189" s="3">
        <v>2022.0</v>
      </c>
      <c r="C2189" s="3" t="s">
        <v>11</v>
      </c>
      <c r="D2189" s="3">
        <v>321.5</v>
      </c>
      <c r="E2189" s="3">
        <v>711.7</v>
      </c>
      <c r="F2189" s="3">
        <v>377.9</v>
      </c>
      <c r="G2189" s="3">
        <v>9.0</v>
      </c>
      <c r="H2189" s="3">
        <v>32.1</v>
      </c>
    </row>
    <row r="2190" ht="15.75" customHeight="1">
      <c r="A2190" s="3" t="s">
        <v>64</v>
      </c>
      <c r="B2190" s="3">
        <v>2022.0</v>
      </c>
      <c r="C2190" s="3" t="s">
        <v>13</v>
      </c>
      <c r="D2190" s="3">
        <v>288.7</v>
      </c>
      <c r="E2190" s="3">
        <v>583.1</v>
      </c>
      <c r="F2190" s="3">
        <v>259.4</v>
      </c>
      <c r="G2190" s="3">
        <v>7.0</v>
      </c>
      <c r="H2190" s="3">
        <v>10.1</v>
      </c>
    </row>
    <row r="2191" ht="15.75" customHeight="1">
      <c r="A2191" s="3" t="s">
        <v>64</v>
      </c>
      <c r="B2191" s="3">
        <v>2022.0</v>
      </c>
      <c r="C2191" s="3" t="s">
        <v>14</v>
      </c>
      <c r="D2191" s="3">
        <v>253.8</v>
      </c>
      <c r="E2191" s="3">
        <v>565.5</v>
      </c>
      <c r="F2191" s="3">
        <v>220.6</v>
      </c>
      <c r="G2191" s="3">
        <v>5.0</v>
      </c>
      <c r="H2191" s="3">
        <v>10.7</v>
      </c>
    </row>
    <row r="2192" ht="15.75" customHeight="1">
      <c r="A2192" s="3" t="s">
        <v>64</v>
      </c>
      <c r="B2192" s="3">
        <v>2023.0</v>
      </c>
      <c r="C2192" s="3" t="s">
        <v>9</v>
      </c>
      <c r="D2192" s="3">
        <v>381.0</v>
      </c>
      <c r="E2192" s="3">
        <v>1021.6</v>
      </c>
      <c r="F2192" s="3">
        <v>395.2</v>
      </c>
      <c r="G2192" s="3">
        <v>12.0</v>
      </c>
      <c r="H2192" s="3">
        <v>46.5</v>
      </c>
    </row>
    <row r="2193" ht="15.75" customHeight="1">
      <c r="A2193" s="3" t="s">
        <v>64</v>
      </c>
      <c r="B2193" s="3">
        <v>2023.0</v>
      </c>
      <c r="C2193" s="3" t="s">
        <v>10</v>
      </c>
      <c r="D2193" s="3">
        <v>406.0</v>
      </c>
      <c r="E2193" s="3">
        <v>1079.6</v>
      </c>
      <c r="F2193" s="3">
        <v>339.2</v>
      </c>
      <c r="G2193" s="3">
        <v>7.0</v>
      </c>
      <c r="H2193" s="3">
        <v>13.0</v>
      </c>
    </row>
    <row r="2194" ht="15.75" customHeight="1">
      <c r="A2194" s="3" t="s">
        <v>64</v>
      </c>
      <c r="B2194" s="3">
        <v>2023.0</v>
      </c>
      <c r="C2194" s="3" t="s">
        <v>11</v>
      </c>
      <c r="D2194" s="3">
        <v>364.4</v>
      </c>
      <c r="E2194" s="3">
        <v>976.4</v>
      </c>
      <c r="F2194" s="3">
        <v>457.8</v>
      </c>
      <c r="G2194" s="3">
        <v>4.0</v>
      </c>
      <c r="H2194" s="3">
        <v>10.0</v>
      </c>
    </row>
    <row r="2195" ht="15.75" customHeight="1">
      <c r="A2195" s="3" t="s">
        <v>64</v>
      </c>
      <c r="B2195" s="3">
        <v>2023.0</v>
      </c>
      <c r="C2195" s="3" t="s">
        <v>13</v>
      </c>
      <c r="D2195" s="3">
        <v>412.7</v>
      </c>
      <c r="E2195" s="3">
        <v>1147.6</v>
      </c>
      <c r="F2195" s="3">
        <v>596.3</v>
      </c>
      <c r="G2195" s="3">
        <v>10.0</v>
      </c>
      <c r="H2195" s="3">
        <v>18.5</v>
      </c>
    </row>
    <row r="2196" ht="15.75" customHeight="1">
      <c r="A2196" s="3" t="s">
        <v>64</v>
      </c>
      <c r="B2196" s="3">
        <v>2023.0</v>
      </c>
      <c r="C2196" s="3" t="s">
        <v>14</v>
      </c>
      <c r="D2196" s="3">
        <v>391.9</v>
      </c>
      <c r="E2196" s="3">
        <v>1005.5</v>
      </c>
      <c r="F2196" s="3">
        <v>433.2</v>
      </c>
      <c r="G2196" s="3">
        <v>6.0</v>
      </c>
      <c r="H2196" s="3">
        <v>15.5</v>
      </c>
    </row>
    <row r="2197" ht="15.75" customHeight="1">
      <c r="A2197" s="3" t="s">
        <v>64</v>
      </c>
      <c r="B2197" s="3">
        <v>2024.0</v>
      </c>
      <c r="C2197" s="3" t="s">
        <v>9</v>
      </c>
      <c r="D2197" s="3">
        <v>362.8</v>
      </c>
      <c r="E2197" s="3">
        <v>882.0</v>
      </c>
      <c r="F2197" s="3">
        <v>417.7</v>
      </c>
      <c r="G2197" s="3">
        <v>5.0</v>
      </c>
      <c r="H2197" s="3">
        <v>13.8</v>
      </c>
    </row>
    <row r="2198" ht="15.75" customHeight="1">
      <c r="A2198" s="3" t="s">
        <v>64</v>
      </c>
      <c r="B2198" s="3">
        <v>2024.0</v>
      </c>
      <c r="C2198" s="3" t="s">
        <v>10</v>
      </c>
      <c r="D2198" s="3">
        <v>419.6</v>
      </c>
      <c r="E2198" s="3">
        <v>936.1</v>
      </c>
      <c r="F2198" s="3">
        <v>568.1</v>
      </c>
      <c r="G2198" s="3">
        <v>6.0</v>
      </c>
      <c r="H2198" s="3">
        <v>13.6</v>
      </c>
    </row>
    <row r="2199" ht="15.75" customHeight="1">
      <c r="A2199" s="3" t="s">
        <v>64</v>
      </c>
      <c r="B2199" s="3">
        <v>2024.0</v>
      </c>
      <c r="C2199" s="3" t="s">
        <v>11</v>
      </c>
      <c r="D2199" s="3">
        <v>369.7</v>
      </c>
      <c r="E2199" s="3">
        <v>871.0</v>
      </c>
      <c r="F2199" s="3">
        <v>392.1</v>
      </c>
      <c r="G2199" s="3">
        <v>7.0</v>
      </c>
      <c r="H2199" s="3">
        <v>44.9</v>
      </c>
    </row>
    <row r="2200" ht="15.75" customHeight="1">
      <c r="A2200" s="3" t="s">
        <v>64</v>
      </c>
      <c r="B2200" s="3">
        <v>2024.0</v>
      </c>
      <c r="C2200" s="3" t="s">
        <v>13</v>
      </c>
      <c r="D2200" s="3">
        <v>381.2</v>
      </c>
      <c r="E2200" s="3">
        <v>1072.1</v>
      </c>
      <c r="F2200" s="3">
        <v>432.1</v>
      </c>
      <c r="G2200" s="3">
        <v>7.0</v>
      </c>
      <c r="H2200" s="3">
        <v>39.5</v>
      </c>
    </row>
    <row r="2201" ht="15.75" customHeight="1">
      <c r="A2201" s="3" t="s">
        <v>64</v>
      </c>
      <c r="B2201" s="3">
        <v>2024.0</v>
      </c>
      <c r="C2201" s="3" t="s">
        <v>14</v>
      </c>
      <c r="D2201" s="3">
        <v>356.0</v>
      </c>
      <c r="E2201" s="3">
        <v>1025.8</v>
      </c>
      <c r="F2201" s="3">
        <v>345.7</v>
      </c>
      <c r="G2201" s="3">
        <v>12.0</v>
      </c>
      <c r="H2201" s="3">
        <v>45.1</v>
      </c>
    </row>
    <row r="2202" ht="15.75" customHeight="1">
      <c r="A2202" s="3" t="s">
        <v>65</v>
      </c>
      <c r="B2202" s="3">
        <v>2015.0</v>
      </c>
      <c r="C2202" s="3" t="s">
        <v>9</v>
      </c>
      <c r="D2202" s="3">
        <v>156.2</v>
      </c>
      <c r="E2202" s="3">
        <v>415.3</v>
      </c>
      <c r="F2202" s="3">
        <v>133.7</v>
      </c>
      <c r="G2202" s="3">
        <v>2.0</v>
      </c>
      <c r="H2202" s="3">
        <v>16.1</v>
      </c>
    </row>
    <row r="2203" ht="15.75" customHeight="1">
      <c r="A2203" s="3" t="s">
        <v>65</v>
      </c>
      <c r="B2203" s="3">
        <v>2015.0</v>
      </c>
      <c r="C2203" s="3" t="s">
        <v>10</v>
      </c>
      <c r="D2203" s="3">
        <v>69.2</v>
      </c>
      <c r="E2203" s="3">
        <v>199.0</v>
      </c>
      <c r="F2203" s="3">
        <v>89.3</v>
      </c>
      <c r="G2203" s="3">
        <v>5.0</v>
      </c>
      <c r="H2203" s="3">
        <v>37.0</v>
      </c>
    </row>
    <row r="2204" ht="15.75" customHeight="1">
      <c r="A2204" s="3" t="s">
        <v>65</v>
      </c>
      <c r="B2204" s="3">
        <v>2015.0</v>
      </c>
      <c r="C2204" s="3" t="s">
        <v>11</v>
      </c>
      <c r="D2204" s="3">
        <v>148.8</v>
      </c>
      <c r="E2204" s="3">
        <v>369.2</v>
      </c>
      <c r="F2204" s="3">
        <v>123.8</v>
      </c>
      <c r="G2204" s="3">
        <v>5.0</v>
      </c>
      <c r="H2204" s="3">
        <v>34.7</v>
      </c>
    </row>
    <row r="2205" ht="15.75" customHeight="1">
      <c r="A2205" s="3" t="s">
        <v>65</v>
      </c>
      <c r="B2205" s="3">
        <v>2015.0</v>
      </c>
      <c r="C2205" s="3" t="s">
        <v>13</v>
      </c>
      <c r="D2205" s="3">
        <v>105.3</v>
      </c>
      <c r="E2205" s="3">
        <v>238.8</v>
      </c>
      <c r="F2205" s="3">
        <v>109.7</v>
      </c>
      <c r="G2205" s="3">
        <v>2.0</v>
      </c>
      <c r="H2205" s="3">
        <v>44.3</v>
      </c>
    </row>
    <row r="2206" ht="15.75" customHeight="1">
      <c r="A2206" s="3" t="s">
        <v>65</v>
      </c>
      <c r="B2206" s="3">
        <v>2015.0</v>
      </c>
      <c r="C2206" s="3" t="s">
        <v>14</v>
      </c>
      <c r="D2206" s="3">
        <v>136.1</v>
      </c>
      <c r="E2206" s="3">
        <v>359.0</v>
      </c>
      <c r="F2206" s="3">
        <v>183.9</v>
      </c>
      <c r="G2206" s="3">
        <v>2.0</v>
      </c>
      <c r="H2206" s="3">
        <v>7.9</v>
      </c>
    </row>
    <row r="2207" ht="15.75" customHeight="1">
      <c r="A2207" s="3" t="s">
        <v>65</v>
      </c>
      <c r="B2207" s="3">
        <v>2016.0</v>
      </c>
      <c r="C2207" s="3" t="s">
        <v>9</v>
      </c>
      <c r="D2207" s="3">
        <v>110.8</v>
      </c>
      <c r="E2207" s="3">
        <v>229.5</v>
      </c>
      <c r="F2207" s="3">
        <v>144.9</v>
      </c>
      <c r="G2207" s="3">
        <v>6.0</v>
      </c>
      <c r="H2207" s="3">
        <v>44.1</v>
      </c>
    </row>
    <row r="2208" ht="15.75" customHeight="1">
      <c r="A2208" s="3" t="s">
        <v>65</v>
      </c>
      <c r="B2208" s="3">
        <v>2016.0</v>
      </c>
      <c r="C2208" s="3" t="s">
        <v>10</v>
      </c>
      <c r="D2208" s="3">
        <v>126.2</v>
      </c>
      <c r="E2208" s="3">
        <v>344.5</v>
      </c>
      <c r="F2208" s="3">
        <v>125.4</v>
      </c>
      <c r="G2208" s="3">
        <v>3.0</v>
      </c>
      <c r="H2208" s="3">
        <v>40.0</v>
      </c>
    </row>
    <row r="2209" ht="15.75" customHeight="1">
      <c r="A2209" s="3" t="s">
        <v>65</v>
      </c>
      <c r="B2209" s="3">
        <v>2016.0</v>
      </c>
      <c r="C2209" s="3" t="s">
        <v>11</v>
      </c>
      <c r="D2209" s="3">
        <v>92.4</v>
      </c>
      <c r="E2209" s="3">
        <v>198.1</v>
      </c>
      <c r="F2209" s="3">
        <v>87.2</v>
      </c>
      <c r="G2209" s="3">
        <v>9.0</v>
      </c>
      <c r="H2209" s="3">
        <v>28.5</v>
      </c>
    </row>
    <row r="2210" ht="15.75" customHeight="1">
      <c r="A2210" s="3" t="s">
        <v>65</v>
      </c>
      <c r="B2210" s="3">
        <v>2016.0</v>
      </c>
      <c r="C2210" s="3" t="s">
        <v>13</v>
      </c>
      <c r="D2210" s="3">
        <v>44.6</v>
      </c>
      <c r="E2210" s="3">
        <v>132.0</v>
      </c>
      <c r="F2210" s="3">
        <v>46.1</v>
      </c>
      <c r="G2210" s="3">
        <v>2.0</v>
      </c>
      <c r="H2210" s="3">
        <v>15.5</v>
      </c>
    </row>
    <row r="2211" ht="15.75" customHeight="1">
      <c r="A2211" s="3" t="s">
        <v>65</v>
      </c>
      <c r="B2211" s="3">
        <v>2016.0</v>
      </c>
      <c r="C2211" s="3" t="s">
        <v>14</v>
      </c>
      <c r="D2211" s="3">
        <v>184.7</v>
      </c>
      <c r="E2211" s="3">
        <v>450.0</v>
      </c>
      <c r="F2211" s="3">
        <v>196.7</v>
      </c>
      <c r="G2211" s="3">
        <v>6.0</v>
      </c>
      <c r="H2211" s="3">
        <v>45.7</v>
      </c>
    </row>
    <row r="2212" ht="15.75" customHeight="1">
      <c r="A2212" s="3" t="s">
        <v>65</v>
      </c>
      <c r="B2212" s="3">
        <v>2017.0</v>
      </c>
      <c r="C2212" s="3" t="s">
        <v>9</v>
      </c>
      <c r="D2212" s="3">
        <v>243.4</v>
      </c>
      <c r="E2212" s="3">
        <v>597.7</v>
      </c>
      <c r="F2212" s="3">
        <v>331.0</v>
      </c>
      <c r="G2212" s="3">
        <v>9.0</v>
      </c>
      <c r="H2212" s="3">
        <v>30.2</v>
      </c>
    </row>
    <row r="2213" ht="15.75" customHeight="1">
      <c r="A2213" s="3" t="s">
        <v>65</v>
      </c>
      <c r="B2213" s="3">
        <v>2017.0</v>
      </c>
      <c r="C2213" s="3" t="s">
        <v>10</v>
      </c>
      <c r="D2213" s="3">
        <v>191.6</v>
      </c>
      <c r="E2213" s="3">
        <v>477.9</v>
      </c>
      <c r="F2213" s="3">
        <v>236.3</v>
      </c>
      <c r="G2213" s="3">
        <v>3.0</v>
      </c>
      <c r="H2213" s="3">
        <v>41.8</v>
      </c>
    </row>
    <row r="2214" ht="15.75" customHeight="1">
      <c r="A2214" s="3" t="s">
        <v>65</v>
      </c>
      <c r="B2214" s="3">
        <v>2017.0</v>
      </c>
      <c r="C2214" s="3" t="s">
        <v>11</v>
      </c>
      <c r="D2214" s="3">
        <v>135.4</v>
      </c>
      <c r="E2214" s="3">
        <v>372.8</v>
      </c>
      <c r="F2214" s="3">
        <v>170.7</v>
      </c>
      <c r="G2214" s="3">
        <v>2.0</v>
      </c>
      <c r="H2214" s="3">
        <v>11.2</v>
      </c>
    </row>
    <row r="2215" ht="15.75" customHeight="1">
      <c r="A2215" s="3" t="s">
        <v>65</v>
      </c>
      <c r="B2215" s="3">
        <v>2017.0</v>
      </c>
      <c r="C2215" s="3" t="s">
        <v>13</v>
      </c>
      <c r="D2215" s="3">
        <v>117.7</v>
      </c>
      <c r="E2215" s="3">
        <v>334.7</v>
      </c>
      <c r="F2215" s="3">
        <v>113.5</v>
      </c>
      <c r="G2215" s="3">
        <v>10.0</v>
      </c>
      <c r="H2215" s="3">
        <v>17.4</v>
      </c>
    </row>
    <row r="2216" ht="15.75" customHeight="1">
      <c r="A2216" s="3" t="s">
        <v>65</v>
      </c>
      <c r="B2216" s="3">
        <v>2017.0</v>
      </c>
      <c r="C2216" s="3" t="s">
        <v>14</v>
      </c>
      <c r="D2216" s="3">
        <v>121.5</v>
      </c>
      <c r="E2216" s="3">
        <v>349.4</v>
      </c>
      <c r="F2216" s="3">
        <v>145.8</v>
      </c>
      <c r="G2216" s="3">
        <v>3.0</v>
      </c>
      <c r="H2216" s="3">
        <v>43.4</v>
      </c>
    </row>
    <row r="2217" ht="15.75" customHeight="1">
      <c r="A2217" s="3" t="s">
        <v>65</v>
      </c>
      <c r="B2217" s="3">
        <v>2018.0</v>
      </c>
      <c r="C2217" s="3" t="s">
        <v>9</v>
      </c>
      <c r="D2217" s="3">
        <v>217.5</v>
      </c>
      <c r="E2217" s="3">
        <v>648.6</v>
      </c>
      <c r="F2217" s="3">
        <v>305.7</v>
      </c>
      <c r="G2217" s="3">
        <v>5.0</v>
      </c>
      <c r="H2217" s="3">
        <v>39.3</v>
      </c>
    </row>
    <row r="2218" ht="15.75" customHeight="1">
      <c r="A2218" s="3" t="s">
        <v>65</v>
      </c>
      <c r="B2218" s="3">
        <v>2018.0</v>
      </c>
      <c r="C2218" s="3" t="s">
        <v>10</v>
      </c>
      <c r="D2218" s="3">
        <v>192.0</v>
      </c>
      <c r="E2218" s="3">
        <v>430.2</v>
      </c>
      <c r="F2218" s="3">
        <v>220.4</v>
      </c>
      <c r="G2218" s="3">
        <v>10.0</v>
      </c>
      <c r="H2218" s="3">
        <v>42.9</v>
      </c>
    </row>
    <row r="2219" ht="15.75" customHeight="1">
      <c r="A2219" s="3" t="s">
        <v>65</v>
      </c>
      <c r="B2219" s="3">
        <v>2018.0</v>
      </c>
      <c r="C2219" s="3" t="s">
        <v>11</v>
      </c>
      <c r="D2219" s="3">
        <v>191.8</v>
      </c>
      <c r="E2219" s="3">
        <v>434.6</v>
      </c>
      <c r="F2219" s="3">
        <v>213.3</v>
      </c>
      <c r="G2219" s="3">
        <v>10.0</v>
      </c>
      <c r="H2219" s="3">
        <v>2.7</v>
      </c>
    </row>
    <row r="2220" ht="15.75" customHeight="1">
      <c r="A2220" s="3" t="s">
        <v>65</v>
      </c>
      <c r="B2220" s="3">
        <v>2018.0</v>
      </c>
      <c r="C2220" s="3" t="s">
        <v>13</v>
      </c>
      <c r="D2220" s="3">
        <v>261.0</v>
      </c>
      <c r="E2220" s="3">
        <v>581.0</v>
      </c>
      <c r="F2220" s="3">
        <v>328.8</v>
      </c>
      <c r="G2220" s="3">
        <v>10.0</v>
      </c>
      <c r="H2220" s="3">
        <v>2.6</v>
      </c>
    </row>
    <row r="2221" ht="15.75" customHeight="1">
      <c r="A2221" s="3" t="s">
        <v>65</v>
      </c>
      <c r="B2221" s="3">
        <v>2018.0</v>
      </c>
      <c r="C2221" s="3" t="s">
        <v>14</v>
      </c>
      <c r="D2221" s="3">
        <v>174.4</v>
      </c>
      <c r="E2221" s="3">
        <v>369.9</v>
      </c>
      <c r="F2221" s="3">
        <v>253.1</v>
      </c>
      <c r="G2221" s="3">
        <v>3.0</v>
      </c>
      <c r="H2221" s="3">
        <v>46.6</v>
      </c>
    </row>
    <row r="2222" ht="15.75" customHeight="1">
      <c r="A2222" s="3" t="s">
        <v>65</v>
      </c>
      <c r="B2222" s="3">
        <v>2019.0</v>
      </c>
      <c r="C2222" s="3" t="s">
        <v>9</v>
      </c>
      <c r="D2222" s="3">
        <v>287.5</v>
      </c>
      <c r="E2222" s="3">
        <v>717.3</v>
      </c>
      <c r="F2222" s="3">
        <v>420.3</v>
      </c>
      <c r="G2222" s="3">
        <v>6.0</v>
      </c>
      <c r="H2222" s="3">
        <v>36.8</v>
      </c>
    </row>
    <row r="2223" ht="15.75" customHeight="1">
      <c r="A2223" s="3" t="s">
        <v>65</v>
      </c>
      <c r="B2223" s="3">
        <v>2019.0</v>
      </c>
      <c r="C2223" s="3" t="s">
        <v>10</v>
      </c>
      <c r="D2223" s="3">
        <v>174.5</v>
      </c>
      <c r="E2223" s="3">
        <v>430.6</v>
      </c>
      <c r="F2223" s="3">
        <v>253.0</v>
      </c>
      <c r="G2223" s="3">
        <v>5.0</v>
      </c>
      <c r="H2223" s="3">
        <v>21.2</v>
      </c>
    </row>
    <row r="2224" ht="15.75" customHeight="1">
      <c r="A2224" s="3" t="s">
        <v>65</v>
      </c>
      <c r="B2224" s="3">
        <v>2019.0</v>
      </c>
      <c r="C2224" s="3" t="s">
        <v>11</v>
      </c>
      <c r="D2224" s="3">
        <v>286.5</v>
      </c>
      <c r="E2224" s="3">
        <v>608.1</v>
      </c>
      <c r="F2224" s="3">
        <v>404.6</v>
      </c>
      <c r="G2224" s="3">
        <v>5.0</v>
      </c>
      <c r="H2224" s="3">
        <v>5.1</v>
      </c>
    </row>
    <row r="2225" ht="15.75" customHeight="1">
      <c r="A2225" s="3" t="s">
        <v>65</v>
      </c>
      <c r="B2225" s="3">
        <v>2019.0</v>
      </c>
      <c r="C2225" s="3" t="s">
        <v>13</v>
      </c>
      <c r="D2225" s="3">
        <v>243.0</v>
      </c>
      <c r="E2225" s="3">
        <v>588.7</v>
      </c>
      <c r="F2225" s="3">
        <v>216.7</v>
      </c>
      <c r="G2225" s="3">
        <v>7.0</v>
      </c>
      <c r="H2225" s="3">
        <v>23.6</v>
      </c>
    </row>
    <row r="2226" ht="15.75" customHeight="1">
      <c r="A2226" s="3" t="s">
        <v>65</v>
      </c>
      <c r="B2226" s="3">
        <v>2019.0</v>
      </c>
      <c r="C2226" s="3" t="s">
        <v>14</v>
      </c>
      <c r="D2226" s="3">
        <v>195.0</v>
      </c>
      <c r="E2226" s="3">
        <v>464.4</v>
      </c>
      <c r="F2226" s="3">
        <v>191.9</v>
      </c>
      <c r="G2226" s="3">
        <v>10.0</v>
      </c>
      <c r="H2226" s="3">
        <v>14.1</v>
      </c>
    </row>
    <row r="2227" ht="15.75" customHeight="1">
      <c r="A2227" s="3" t="s">
        <v>65</v>
      </c>
      <c r="B2227" s="3">
        <v>2020.0</v>
      </c>
      <c r="C2227" s="3" t="s">
        <v>9</v>
      </c>
      <c r="D2227" s="3">
        <v>325.0</v>
      </c>
      <c r="E2227" s="3">
        <v>950.3</v>
      </c>
      <c r="F2227" s="3">
        <v>410.5</v>
      </c>
      <c r="G2227" s="3">
        <v>7.0</v>
      </c>
      <c r="H2227" s="3">
        <v>29.5</v>
      </c>
    </row>
    <row r="2228" ht="15.75" customHeight="1">
      <c r="A2228" s="3" t="s">
        <v>65</v>
      </c>
      <c r="B2228" s="3">
        <v>2020.0</v>
      </c>
      <c r="C2228" s="3" t="s">
        <v>10</v>
      </c>
      <c r="D2228" s="3">
        <v>245.6</v>
      </c>
      <c r="E2228" s="3">
        <v>690.6</v>
      </c>
      <c r="F2228" s="3">
        <v>233.7</v>
      </c>
      <c r="G2228" s="3">
        <v>11.0</v>
      </c>
      <c r="H2228" s="3">
        <v>3.6</v>
      </c>
    </row>
    <row r="2229" ht="15.75" customHeight="1">
      <c r="A2229" s="3" t="s">
        <v>65</v>
      </c>
      <c r="B2229" s="3">
        <v>2020.0</v>
      </c>
      <c r="C2229" s="3" t="s">
        <v>11</v>
      </c>
      <c r="D2229" s="3">
        <v>198.5</v>
      </c>
      <c r="E2229" s="3">
        <v>515.7</v>
      </c>
      <c r="F2229" s="3">
        <v>244.8</v>
      </c>
      <c r="G2229" s="3">
        <v>9.0</v>
      </c>
      <c r="H2229" s="3">
        <v>20.4</v>
      </c>
    </row>
    <row r="2230" ht="15.75" customHeight="1">
      <c r="A2230" s="3" t="s">
        <v>65</v>
      </c>
      <c r="B2230" s="3">
        <v>2020.0</v>
      </c>
      <c r="C2230" s="3" t="s">
        <v>13</v>
      </c>
      <c r="D2230" s="3">
        <v>289.3</v>
      </c>
      <c r="E2230" s="3">
        <v>739.6</v>
      </c>
      <c r="F2230" s="3">
        <v>313.4</v>
      </c>
      <c r="G2230" s="3">
        <v>9.0</v>
      </c>
      <c r="H2230" s="3">
        <v>47.7</v>
      </c>
    </row>
    <row r="2231" ht="15.75" customHeight="1">
      <c r="A2231" s="3" t="s">
        <v>65</v>
      </c>
      <c r="B2231" s="3">
        <v>2020.0</v>
      </c>
      <c r="C2231" s="3" t="s">
        <v>14</v>
      </c>
      <c r="D2231" s="3">
        <v>185.8</v>
      </c>
      <c r="E2231" s="3">
        <v>456.3</v>
      </c>
      <c r="F2231" s="3">
        <v>272.6</v>
      </c>
      <c r="G2231" s="3">
        <v>4.0</v>
      </c>
      <c r="H2231" s="3">
        <v>31.0</v>
      </c>
    </row>
    <row r="2232" ht="15.75" customHeight="1">
      <c r="A2232" s="3" t="s">
        <v>65</v>
      </c>
      <c r="B2232" s="3">
        <v>2021.0</v>
      </c>
      <c r="C2232" s="3" t="s">
        <v>9</v>
      </c>
      <c r="D2232" s="3">
        <v>385.6</v>
      </c>
      <c r="E2232" s="3">
        <v>1072.1</v>
      </c>
      <c r="F2232" s="3">
        <v>393.4</v>
      </c>
      <c r="G2232" s="3">
        <v>6.0</v>
      </c>
      <c r="H2232" s="3">
        <v>49.8</v>
      </c>
    </row>
    <row r="2233" ht="15.75" customHeight="1">
      <c r="A2233" s="3" t="s">
        <v>65</v>
      </c>
      <c r="B2233" s="3">
        <v>2021.0</v>
      </c>
      <c r="C2233" s="3" t="s">
        <v>10</v>
      </c>
      <c r="D2233" s="3">
        <v>360.4</v>
      </c>
      <c r="E2233" s="3">
        <v>950.9</v>
      </c>
      <c r="F2233" s="3">
        <v>511.8</v>
      </c>
      <c r="G2233" s="3">
        <v>5.0</v>
      </c>
      <c r="H2233" s="3">
        <v>38.9</v>
      </c>
    </row>
    <row r="2234" ht="15.75" customHeight="1">
      <c r="A2234" s="3" t="s">
        <v>65</v>
      </c>
      <c r="B2234" s="3">
        <v>2021.0</v>
      </c>
      <c r="C2234" s="3" t="s">
        <v>11</v>
      </c>
      <c r="D2234" s="3">
        <v>238.0</v>
      </c>
      <c r="E2234" s="3">
        <v>576.4</v>
      </c>
      <c r="F2234" s="3">
        <v>343.7</v>
      </c>
      <c r="G2234" s="3">
        <v>9.0</v>
      </c>
      <c r="H2234" s="3">
        <v>8.7</v>
      </c>
    </row>
    <row r="2235" ht="15.75" customHeight="1">
      <c r="A2235" s="3" t="s">
        <v>65</v>
      </c>
      <c r="B2235" s="3">
        <v>2021.0</v>
      </c>
      <c r="C2235" s="3" t="s">
        <v>13</v>
      </c>
      <c r="D2235" s="3">
        <v>256.2</v>
      </c>
      <c r="E2235" s="3">
        <v>617.6</v>
      </c>
      <c r="F2235" s="3">
        <v>304.4</v>
      </c>
      <c r="G2235" s="3">
        <v>6.0</v>
      </c>
      <c r="H2235" s="3">
        <v>18.6</v>
      </c>
    </row>
    <row r="2236" ht="15.75" customHeight="1">
      <c r="A2236" s="3" t="s">
        <v>65</v>
      </c>
      <c r="B2236" s="3">
        <v>2021.0</v>
      </c>
      <c r="C2236" s="3" t="s">
        <v>14</v>
      </c>
      <c r="D2236" s="3">
        <v>265.1</v>
      </c>
      <c r="E2236" s="3">
        <v>660.6</v>
      </c>
      <c r="F2236" s="3">
        <v>215.5</v>
      </c>
      <c r="G2236" s="3">
        <v>7.0</v>
      </c>
      <c r="H2236" s="3">
        <v>34.5</v>
      </c>
    </row>
    <row r="2237" ht="15.75" customHeight="1">
      <c r="A2237" s="3" t="s">
        <v>65</v>
      </c>
      <c r="B2237" s="3">
        <v>2022.0</v>
      </c>
      <c r="C2237" s="3" t="s">
        <v>9</v>
      </c>
      <c r="D2237" s="3">
        <v>312.7</v>
      </c>
      <c r="E2237" s="3">
        <v>722.1</v>
      </c>
      <c r="F2237" s="3">
        <v>444.0</v>
      </c>
      <c r="G2237" s="3">
        <v>11.0</v>
      </c>
      <c r="H2237" s="3">
        <v>44.5</v>
      </c>
    </row>
    <row r="2238" ht="15.75" customHeight="1">
      <c r="A2238" s="3" t="s">
        <v>65</v>
      </c>
      <c r="B2238" s="3">
        <v>2022.0</v>
      </c>
      <c r="C2238" s="3" t="s">
        <v>10</v>
      </c>
      <c r="D2238" s="3">
        <v>386.7</v>
      </c>
      <c r="E2238" s="3">
        <v>1156.4</v>
      </c>
      <c r="F2238" s="3">
        <v>410.8</v>
      </c>
      <c r="G2238" s="3">
        <v>7.0</v>
      </c>
      <c r="H2238" s="3">
        <v>2.6</v>
      </c>
    </row>
    <row r="2239" ht="15.75" customHeight="1">
      <c r="A2239" s="3" t="s">
        <v>65</v>
      </c>
      <c r="B2239" s="3">
        <v>2022.0</v>
      </c>
      <c r="C2239" s="3" t="s">
        <v>11</v>
      </c>
      <c r="D2239" s="3">
        <v>342.0</v>
      </c>
      <c r="E2239" s="3">
        <v>785.9</v>
      </c>
      <c r="F2239" s="3">
        <v>475.9</v>
      </c>
      <c r="G2239" s="3">
        <v>9.0</v>
      </c>
      <c r="H2239" s="3">
        <v>43.8</v>
      </c>
    </row>
    <row r="2240" ht="15.75" customHeight="1">
      <c r="A2240" s="3" t="s">
        <v>65</v>
      </c>
      <c r="B2240" s="3">
        <v>2022.0</v>
      </c>
      <c r="C2240" s="3" t="s">
        <v>13</v>
      </c>
      <c r="D2240" s="3">
        <v>293.7</v>
      </c>
      <c r="E2240" s="3">
        <v>599.2</v>
      </c>
      <c r="F2240" s="3">
        <v>418.5</v>
      </c>
      <c r="G2240" s="3">
        <v>10.0</v>
      </c>
      <c r="H2240" s="3">
        <v>9.9</v>
      </c>
    </row>
    <row r="2241" ht="15.75" customHeight="1">
      <c r="A2241" s="3" t="s">
        <v>65</v>
      </c>
      <c r="B2241" s="3">
        <v>2022.0</v>
      </c>
      <c r="C2241" s="3" t="s">
        <v>14</v>
      </c>
      <c r="D2241" s="3">
        <v>214.0</v>
      </c>
      <c r="E2241" s="3">
        <v>432.7</v>
      </c>
      <c r="F2241" s="3">
        <v>311.4</v>
      </c>
      <c r="G2241" s="3">
        <v>10.0</v>
      </c>
      <c r="H2241" s="3">
        <v>27.6</v>
      </c>
    </row>
    <row r="2242" ht="15.75" customHeight="1">
      <c r="A2242" s="3" t="s">
        <v>65</v>
      </c>
      <c r="B2242" s="3">
        <v>2023.0</v>
      </c>
      <c r="C2242" s="3" t="s">
        <v>9</v>
      </c>
      <c r="D2242" s="3">
        <v>350.9</v>
      </c>
      <c r="E2242" s="3">
        <v>779.8</v>
      </c>
      <c r="F2242" s="3">
        <v>446.3</v>
      </c>
      <c r="G2242" s="3">
        <v>9.0</v>
      </c>
      <c r="H2242" s="3">
        <v>32.6</v>
      </c>
    </row>
    <row r="2243" ht="15.75" customHeight="1">
      <c r="A2243" s="3" t="s">
        <v>65</v>
      </c>
      <c r="B2243" s="3">
        <v>2023.0</v>
      </c>
      <c r="C2243" s="3" t="s">
        <v>10</v>
      </c>
      <c r="D2243" s="3">
        <v>380.1</v>
      </c>
      <c r="E2243" s="3">
        <v>830.5</v>
      </c>
      <c r="F2243" s="3">
        <v>398.6</v>
      </c>
      <c r="G2243" s="3">
        <v>6.0</v>
      </c>
      <c r="H2243" s="3">
        <v>26.5</v>
      </c>
    </row>
    <row r="2244" ht="15.75" customHeight="1">
      <c r="A2244" s="3" t="s">
        <v>65</v>
      </c>
      <c r="B2244" s="3">
        <v>2023.0</v>
      </c>
      <c r="C2244" s="3" t="s">
        <v>11</v>
      </c>
      <c r="D2244" s="3">
        <v>367.4</v>
      </c>
      <c r="E2244" s="3">
        <v>935.6</v>
      </c>
      <c r="F2244" s="3">
        <v>437.1</v>
      </c>
      <c r="G2244" s="3">
        <v>10.0</v>
      </c>
      <c r="H2244" s="3">
        <v>4.5</v>
      </c>
    </row>
    <row r="2245" ht="15.75" customHeight="1">
      <c r="A2245" s="3" t="s">
        <v>65</v>
      </c>
      <c r="B2245" s="3">
        <v>2023.0</v>
      </c>
      <c r="C2245" s="3" t="s">
        <v>13</v>
      </c>
      <c r="D2245" s="3">
        <v>277.9</v>
      </c>
      <c r="E2245" s="3">
        <v>625.2</v>
      </c>
      <c r="F2245" s="3">
        <v>340.8</v>
      </c>
      <c r="G2245" s="3">
        <v>4.0</v>
      </c>
      <c r="H2245" s="3">
        <v>13.5</v>
      </c>
    </row>
    <row r="2246" ht="15.75" customHeight="1">
      <c r="A2246" s="3" t="s">
        <v>65</v>
      </c>
      <c r="B2246" s="3">
        <v>2023.0</v>
      </c>
      <c r="C2246" s="3" t="s">
        <v>14</v>
      </c>
      <c r="D2246" s="3">
        <v>341.5</v>
      </c>
      <c r="E2246" s="3">
        <v>726.9</v>
      </c>
      <c r="F2246" s="3">
        <v>421.9</v>
      </c>
      <c r="G2246" s="3">
        <v>12.0</v>
      </c>
      <c r="H2246" s="3">
        <v>44.4</v>
      </c>
    </row>
    <row r="2247" ht="15.75" customHeight="1">
      <c r="A2247" s="3" t="s">
        <v>65</v>
      </c>
      <c r="B2247" s="3">
        <v>2024.0</v>
      </c>
      <c r="C2247" s="3" t="s">
        <v>9</v>
      </c>
      <c r="D2247" s="3">
        <v>388.4</v>
      </c>
      <c r="E2247" s="3">
        <v>1142.4</v>
      </c>
      <c r="F2247" s="3">
        <v>541.7</v>
      </c>
      <c r="G2247" s="3">
        <v>6.0</v>
      </c>
      <c r="H2247" s="3">
        <v>27.2</v>
      </c>
    </row>
    <row r="2248" ht="15.75" customHeight="1">
      <c r="A2248" s="3" t="s">
        <v>65</v>
      </c>
      <c r="B2248" s="3">
        <v>2024.0</v>
      </c>
      <c r="C2248" s="3" t="s">
        <v>10</v>
      </c>
      <c r="D2248" s="3">
        <v>345.0</v>
      </c>
      <c r="E2248" s="3">
        <v>887.7</v>
      </c>
      <c r="F2248" s="3">
        <v>513.5</v>
      </c>
      <c r="G2248" s="3">
        <v>11.0</v>
      </c>
      <c r="H2248" s="3">
        <v>39.9</v>
      </c>
    </row>
    <row r="2249" ht="15.75" customHeight="1">
      <c r="A2249" s="3" t="s">
        <v>65</v>
      </c>
      <c r="B2249" s="3">
        <v>2024.0</v>
      </c>
      <c r="C2249" s="3" t="s">
        <v>11</v>
      </c>
      <c r="D2249" s="3">
        <v>421.4</v>
      </c>
      <c r="E2249" s="3">
        <v>1031.8</v>
      </c>
      <c r="F2249" s="3">
        <v>444.3</v>
      </c>
      <c r="G2249" s="3">
        <v>6.0</v>
      </c>
      <c r="H2249" s="3">
        <v>5.2</v>
      </c>
    </row>
    <row r="2250" ht="15.75" customHeight="1">
      <c r="A2250" s="3" t="s">
        <v>65</v>
      </c>
      <c r="B2250" s="3">
        <v>2024.0</v>
      </c>
      <c r="C2250" s="3" t="s">
        <v>13</v>
      </c>
      <c r="D2250" s="3">
        <v>402.4</v>
      </c>
      <c r="E2250" s="3">
        <v>961.5</v>
      </c>
      <c r="F2250" s="3">
        <v>534.9</v>
      </c>
      <c r="G2250" s="3">
        <v>9.0</v>
      </c>
      <c r="H2250" s="3">
        <v>43.4</v>
      </c>
    </row>
    <row r="2251" ht="15.75" customHeight="1">
      <c r="A2251" s="3" t="s">
        <v>65</v>
      </c>
      <c r="B2251" s="3">
        <v>2024.0</v>
      </c>
      <c r="C2251" s="3" t="s">
        <v>14</v>
      </c>
      <c r="D2251" s="3">
        <v>351.9</v>
      </c>
      <c r="E2251" s="3">
        <v>980.1</v>
      </c>
      <c r="F2251" s="3">
        <v>444.0</v>
      </c>
      <c r="G2251" s="3">
        <v>5.0</v>
      </c>
      <c r="H2251" s="3">
        <v>28.4</v>
      </c>
    </row>
    <row r="2252" ht="15.75" customHeight="1">
      <c r="A2252" s="3" t="s">
        <v>66</v>
      </c>
      <c r="B2252" s="3">
        <v>2015.0</v>
      </c>
      <c r="C2252" s="3" t="s">
        <v>9</v>
      </c>
      <c r="D2252" s="3">
        <v>114.3</v>
      </c>
      <c r="E2252" s="3">
        <v>245.9</v>
      </c>
      <c r="F2252" s="3">
        <v>154.3</v>
      </c>
      <c r="G2252" s="3">
        <v>10.0</v>
      </c>
      <c r="H2252" s="3">
        <v>10.3</v>
      </c>
    </row>
    <row r="2253" ht="15.75" customHeight="1">
      <c r="A2253" s="3" t="s">
        <v>66</v>
      </c>
      <c r="B2253" s="3">
        <v>2015.0</v>
      </c>
      <c r="C2253" s="3" t="s">
        <v>10</v>
      </c>
      <c r="D2253" s="3">
        <v>182.9</v>
      </c>
      <c r="E2253" s="3">
        <v>467.7</v>
      </c>
      <c r="F2253" s="3">
        <v>247.1</v>
      </c>
      <c r="G2253" s="3">
        <v>3.0</v>
      </c>
      <c r="H2253" s="3">
        <v>45.1</v>
      </c>
    </row>
    <row r="2254" ht="15.75" customHeight="1">
      <c r="A2254" s="3" t="s">
        <v>66</v>
      </c>
      <c r="B2254" s="3">
        <v>2015.0</v>
      </c>
      <c r="C2254" s="3" t="s">
        <v>11</v>
      </c>
      <c r="D2254" s="3">
        <v>102.2</v>
      </c>
      <c r="E2254" s="3">
        <v>256.5</v>
      </c>
      <c r="F2254" s="3">
        <v>111.5</v>
      </c>
      <c r="G2254" s="3">
        <v>6.0</v>
      </c>
      <c r="H2254" s="3">
        <v>40.6</v>
      </c>
    </row>
    <row r="2255" ht="15.75" customHeight="1">
      <c r="A2255" s="3" t="s">
        <v>66</v>
      </c>
      <c r="B2255" s="3">
        <v>2015.0</v>
      </c>
      <c r="C2255" s="3" t="s">
        <v>13</v>
      </c>
      <c r="D2255" s="3">
        <v>114.4</v>
      </c>
      <c r="E2255" s="3">
        <v>252.9</v>
      </c>
      <c r="F2255" s="3">
        <v>118.7</v>
      </c>
      <c r="G2255" s="3">
        <v>4.0</v>
      </c>
      <c r="H2255" s="3">
        <v>13.3</v>
      </c>
    </row>
    <row r="2256" ht="15.75" customHeight="1">
      <c r="A2256" s="3" t="s">
        <v>66</v>
      </c>
      <c r="B2256" s="3">
        <v>2015.0</v>
      </c>
      <c r="C2256" s="3" t="s">
        <v>14</v>
      </c>
      <c r="D2256" s="3">
        <v>110.3</v>
      </c>
      <c r="E2256" s="3">
        <v>316.6</v>
      </c>
      <c r="F2256" s="3">
        <v>109.2</v>
      </c>
      <c r="G2256" s="3">
        <v>6.0</v>
      </c>
      <c r="H2256" s="3">
        <v>34.3</v>
      </c>
    </row>
    <row r="2257" ht="15.75" customHeight="1">
      <c r="A2257" s="3" t="s">
        <v>66</v>
      </c>
      <c r="B2257" s="3">
        <v>2016.0</v>
      </c>
      <c r="C2257" s="3" t="s">
        <v>9</v>
      </c>
      <c r="D2257" s="3">
        <v>126.5</v>
      </c>
      <c r="E2257" s="3">
        <v>293.3</v>
      </c>
      <c r="F2257" s="3">
        <v>189.1</v>
      </c>
      <c r="G2257" s="3">
        <v>9.0</v>
      </c>
      <c r="H2257" s="3">
        <v>7.4</v>
      </c>
    </row>
    <row r="2258" ht="15.75" customHeight="1">
      <c r="A2258" s="3" t="s">
        <v>66</v>
      </c>
      <c r="B2258" s="3">
        <v>2016.0</v>
      </c>
      <c r="C2258" s="3" t="s">
        <v>10</v>
      </c>
      <c r="D2258" s="3">
        <v>84.5</v>
      </c>
      <c r="E2258" s="3">
        <v>249.7</v>
      </c>
      <c r="F2258" s="3">
        <v>72.1</v>
      </c>
      <c r="G2258" s="3">
        <v>3.0</v>
      </c>
      <c r="H2258" s="3">
        <v>10.0</v>
      </c>
    </row>
    <row r="2259" ht="15.75" customHeight="1">
      <c r="A2259" s="3" t="s">
        <v>66</v>
      </c>
      <c r="B2259" s="3">
        <v>2016.0</v>
      </c>
      <c r="C2259" s="3" t="s">
        <v>11</v>
      </c>
      <c r="D2259" s="3">
        <v>134.9</v>
      </c>
      <c r="E2259" s="3">
        <v>380.4</v>
      </c>
      <c r="F2259" s="3">
        <v>181.1</v>
      </c>
      <c r="G2259" s="3">
        <v>6.0</v>
      </c>
      <c r="H2259" s="3">
        <v>3.7</v>
      </c>
    </row>
    <row r="2260" ht="15.75" customHeight="1">
      <c r="A2260" s="3" t="s">
        <v>66</v>
      </c>
      <c r="B2260" s="3">
        <v>2016.0</v>
      </c>
      <c r="C2260" s="3" t="s">
        <v>13</v>
      </c>
      <c r="D2260" s="3">
        <v>82.7</v>
      </c>
      <c r="E2260" s="3">
        <v>236.6</v>
      </c>
      <c r="F2260" s="3">
        <v>94.4</v>
      </c>
      <c r="G2260" s="3">
        <v>5.0</v>
      </c>
      <c r="H2260" s="3">
        <v>35.7</v>
      </c>
    </row>
    <row r="2261" ht="15.75" customHeight="1">
      <c r="A2261" s="3" t="s">
        <v>66</v>
      </c>
      <c r="B2261" s="3">
        <v>2016.0</v>
      </c>
      <c r="C2261" s="3" t="s">
        <v>14</v>
      </c>
      <c r="D2261" s="3">
        <v>97.3</v>
      </c>
      <c r="E2261" s="3">
        <v>246.3</v>
      </c>
      <c r="F2261" s="3">
        <v>138.7</v>
      </c>
      <c r="G2261" s="3">
        <v>3.0</v>
      </c>
      <c r="H2261" s="3">
        <v>40.3</v>
      </c>
    </row>
    <row r="2262" ht="15.75" customHeight="1">
      <c r="A2262" s="3" t="s">
        <v>66</v>
      </c>
      <c r="B2262" s="3">
        <v>2017.0</v>
      </c>
      <c r="C2262" s="3" t="s">
        <v>9</v>
      </c>
      <c r="D2262" s="3">
        <v>140.8</v>
      </c>
      <c r="E2262" s="3">
        <v>296.6</v>
      </c>
      <c r="F2262" s="3">
        <v>181.3</v>
      </c>
      <c r="G2262" s="3">
        <v>2.0</v>
      </c>
      <c r="H2262" s="3">
        <v>35.2</v>
      </c>
    </row>
    <row r="2263" ht="15.75" customHeight="1">
      <c r="A2263" s="3" t="s">
        <v>66</v>
      </c>
      <c r="B2263" s="3">
        <v>2017.0</v>
      </c>
      <c r="C2263" s="3" t="s">
        <v>10</v>
      </c>
      <c r="D2263" s="3">
        <v>126.1</v>
      </c>
      <c r="E2263" s="3">
        <v>296.9</v>
      </c>
      <c r="F2263" s="3">
        <v>125.7</v>
      </c>
      <c r="G2263" s="3">
        <v>8.0</v>
      </c>
      <c r="H2263" s="3">
        <v>11.9</v>
      </c>
    </row>
    <row r="2264" ht="15.75" customHeight="1">
      <c r="A2264" s="3" t="s">
        <v>66</v>
      </c>
      <c r="B2264" s="3">
        <v>2017.0</v>
      </c>
      <c r="C2264" s="3" t="s">
        <v>11</v>
      </c>
      <c r="D2264" s="3">
        <v>192.0</v>
      </c>
      <c r="E2264" s="3">
        <v>432.1</v>
      </c>
      <c r="F2264" s="3">
        <v>187.6</v>
      </c>
      <c r="G2264" s="3">
        <v>5.0</v>
      </c>
      <c r="H2264" s="3">
        <v>49.7</v>
      </c>
    </row>
    <row r="2265" ht="15.75" customHeight="1">
      <c r="A2265" s="3" t="s">
        <v>66</v>
      </c>
      <c r="B2265" s="3">
        <v>2017.0</v>
      </c>
      <c r="C2265" s="3" t="s">
        <v>13</v>
      </c>
      <c r="D2265" s="3">
        <v>186.4</v>
      </c>
      <c r="E2265" s="3">
        <v>531.8</v>
      </c>
      <c r="F2265" s="3">
        <v>275.1</v>
      </c>
      <c r="G2265" s="3">
        <v>5.0</v>
      </c>
      <c r="H2265" s="3">
        <v>37.5</v>
      </c>
    </row>
    <row r="2266" ht="15.75" customHeight="1">
      <c r="A2266" s="3" t="s">
        <v>66</v>
      </c>
      <c r="B2266" s="3">
        <v>2017.0</v>
      </c>
      <c r="C2266" s="3" t="s">
        <v>14</v>
      </c>
      <c r="D2266" s="3">
        <v>237.7</v>
      </c>
      <c r="E2266" s="3">
        <v>477.6</v>
      </c>
      <c r="F2266" s="3">
        <v>196.3</v>
      </c>
      <c r="G2266" s="3">
        <v>11.0</v>
      </c>
      <c r="H2266" s="3">
        <v>7.2</v>
      </c>
    </row>
    <row r="2267" ht="15.75" customHeight="1">
      <c r="A2267" s="3" t="s">
        <v>66</v>
      </c>
      <c r="B2267" s="3">
        <v>2018.0</v>
      </c>
      <c r="C2267" s="3" t="s">
        <v>9</v>
      </c>
      <c r="D2267" s="3">
        <v>230.9</v>
      </c>
      <c r="E2267" s="3">
        <v>561.5</v>
      </c>
      <c r="F2267" s="3">
        <v>270.0</v>
      </c>
      <c r="G2267" s="3">
        <v>10.0</v>
      </c>
      <c r="H2267" s="3">
        <v>45.5</v>
      </c>
    </row>
    <row r="2268" ht="15.75" customHeight="1">
      <c r="A2268" s="3" t="s">
        <v>66</v>
      </c>
      <c r="B2268" s="3">
        <v>2018.0</v>
      </c>
      <c r="C2268" s="3" t="s">
        <v>10</v>
      </c>
      <c r="D2268" s="3">
        <v>207.2</v>
      </c>
      <c r="E2268" s="3">
        <v>536.5</v>
      </c>
      <c r="F2268" s="3">
        <v>202.6</v>
      </c>
      <c r="G2268" s="3">
        <v>6.0</v>
      </c>
      <c r="H2268" s="3">
        <v>24.9</v>
      </c>
    </row>
    <row r="2269" ht="15.75" customHeight="1">
      <c r="A2269" s="3" t="s">
        <v>66</v>
      </c>
      <c r="B2269" s="3">
        <v>2018.0</v>
      </c>
      <c r="C2269" s="3" t="s">
        <v>11</v>
      </c>
      <c r="D2269" s="3">
        <v>171.0</v>
      </c>
      <c r="E2269" s="3">
        <v>362.7</v>
      </c>
      <c r="F2269" s="3">
        <v>157.8</v>
      </c>
      <c r="G2269" s="3">
        <v>10.0</v>
      </c>
      <c r="H2269" s="3">
        <v>32.3</v>
      </c>
    </row>
    <row r="2270" ht="15.75" customHeight="1">
      <c r="A2270" s="3" t="s">
        <v>66</v>
      </c>
      <c r="B2270" s="3">
        <v>2018.0</v>
      </c>
      <c r="C2270" s="3" t="s">
        <v>13</v>
      </c>
      <c r="D2270" s="3">
        <v>231.6</v>
      </c>
      <c r="E2270" s="3">
        <v>519.1</v>
      </c>
      <c r="F2270" s="3">
        <v>264.8</v>
      </c>
      <c r="G2270" s="3">
        <v>5.0</v>
      </c>
      <c r="H2270" s="3">
        <v>2.7</v>
      </c>
    </row>
    <row r="2271" ht="15.75" customHeight="1">
      <c r="A2271" s="3" t="s">
        <v>66</v>
      </c>
      <c r="B2271" s="3">
        <v>2018.0</v>
      </c>
      <c r="C2271" s="3" t="s">
        <v>14</v>
      </c>
      <c r="D2271" s="3">
        <v>175.6</v>
      </c>
      <c r="E2271" s="3">
        <v>352.5</v>
      </c>
      <c r="F2271" s="3">
        <v>240.9</v>
      </c>
      <c r="G2271" s="3">
        <v>8.0</v>
      </c>
      <c r="H2271" s="3">
        <v>34.7</v>
      </c>
    </row>
    <row r="2272" ht="15.75" customHeight="1">
      <c r="A2272" s="3" t="s">
        <v>66</v>
      </c>
      <c r="B2272" s="3">
        <v>2019.0</v>
      </c>
      <c r="C2272" s="3" t="s">
        <v>9</v>
      </c>
      <c r="D2272" s="3">
        <v>293.8</v>
      </c>
      <c r="E2272" s="3">
        <v>870.4</v>
      </c>
      <c r="F2272" s="3">
        <v>406.0</v>
      </c>
      <c r="G2272" s="3">
        <v>5.0</v>
      </c>
      <c r="H2272" s="3">
        <v>11.8</v>
      </c>
    </row>
    <row r="2273" ht="15.75" customHeight="1">
      <c r="A2273" s="3" t="s">
        <v>66</v>
      </c>
      <c r="B2273" s="3">
        <v>2019.0</v>
      </c>
      <c r="C2273" s="3" t="s">
        <v>10</v>
      </c>
      <c r="D2273" s="3">
        <v>161.1</v>
      </c>
      <c r="E2273" s="3">
        <v>342.9</v>
      </c>
      <c r="F2273" s="3">
        <v>186.7</v>
      </c>
      <c r="G2273" s="3">
        <v>2.0</v>
      </c>
      <c r="H2273" s="3">
        <v>19.5</v>
      </c>
    </row>
    <row r="2274" ht="15.75" customHeight="1">
      <c r="A2274" s="3" t="s">
        <v>66</v>
      </c>
      <c r="B2274" s="3">
        <v>2019.0</v>
      </c>
      <c r="C2274" s="3" t="s">
        <v>11</v>
      </c>
      <c r="D2274" s="3">
        <v>174.6</v>
      </c>
      <c r="E2274" s="3">
        <v>471.3</v>
      </c>
      <c r="F2274" s="3">
        <v>195.5</v>
      </c>
      <c r="G2274" s="3">
        <v>4.0</v>
      </c>
      <c r="H2274" s="3">
        <v>8.2</v>
      </c>
    </row>
    <row r="2275" ht="15.75" customHeight="1">
      <c r="A2275" s="3" t="s">
        <v>66</v>
      </c>
      <c r="B2275" s="3">
        <v>2019.0</v>
      </c>
      <c r="C2275" s="3" t="s">
        <v>13</v>
      </c>
      <c r="D2275" s="3">
        <v>229.7</v>
      </c>
      <c r="E2275" s="3">
        <v>593.5</v>
      </c>
      <c r="F2275" s="3">
        <v>342.2</v>
      </c>
      <c r="G2275" s="3">
        <v>7.0</v>
      </c>
      <c r="H2275" s="3">
        <v>30.4</v>
      </c>
    </row>
    <row r="2276" ht="15.75" customHeight="1">
      <c r="A2276" s="3" t="s">
        <v>66</v>
      </c>
      <c r="B2276" s="3">
        <v>2019.0</v>
      </c>
      <c r="C2276" s="3" t="s">
        <v>14</v>
      </c>
      <c r="D2276" s="3">
        <v>242.1</v>
      </c>
      <c r="E2276" s="3">
        <v>582.9</v>
      </c>
      <c r="F2276" s="3">
        <v>246.1</v>
      </c>
      <c r="G2276" s="3">
        <v>10.0</v>
      </c>
      <c r="H2276" s="3">
        <v>41.8</v>
      </c>
    </row>
    <row r="2277" ht="15.75" customHeight="1">
      <c r="A2277" s="3" t="s">
        <v>66</v>
      </c>
      <c r="B2277" s="3">
        <v>2020.0</v>
      </c>
      <c r="C2277" s="3" t="s">
        <v>9</v>
      </c>
      <c r="D2277" s="3">
        <v>273.9</v>
      </c>
      <c r="E2277" s="3">
        <v>684.8</v>
      </c>
      <c r="F2277" s="3">
        <v>221.8</v>
      </c>
      <c r="G2277" s="3">
        <v>8.0</v>
      </c>
      <c r="H2277" s="3">
        <v>28.9</v>
      </c>
    </row>
    <row r="2278" ht="15.75" customHeight="1">
      <c r="A2278" s="3" t="s">
        <v>66</v>
      </c>
      <c r="B2278" s="3">
        <v>2020.0</v>
      </c>
      <c r="C2278" s="3" t="s">
        <v>10</v>
      </c>
      <c r="D2278" s="3">
        <v>241.3</v>
      </c>
      <c r="E2278" s="3">
        <v>537.9</v>
      </c>
      <c r="F2278" s="3">
        <v>227.0</v>
      </c>
      <c r="G2278" s="3">
        <v>10.0</v>
      </c>
      <c r="H2278" s="3">
        <v>47.6</v>
      </c>
    </row>
    <row r="2279" ht="15.75" customHeight="1">
      <c r="A2279" s="3" t="s">
        <v>66</v>
      </c>
      <c r="B2279" s="3">
        <v>2020.0</v>
      </c>
      <c r="C2279" s="3" t="s">
        <v>11</v>
      </c>
      <c r="D2279" s="3">
        <v>352.6</v>
      </c>
      <c r="E2279" s="3">
        <v>754.4</v>
      </c>
      <c r="F2279" s="3">
        <v>407.3</v>
      </c>
      <c r="G2279" s="3">
        <v>10.0</v>
      </c>
      <c r="H2279" s="3">
        <v>39.5</v>
      </c>
    </row>
    <row r="2280" ht="15.75" customHeight="1">
      <c r="A2280" s="3" t="s">
        <v>66</v>
      </c>
      <c r="B2280" s="3">
        <v>2020.0</v>
      </c>
      <c r="C2280" s="3" t="s">
        <v>13</v>
      </c>
      <c r="D2280" s="3">
        <v>278.7</v>
      </c>
      <c r="E2280" s="3">
        <v>568.1</v>
      </c>
      <c r="F2280" s="3">
        <v>226.4</v>
      </c>
      <c r="G2280" s="3">
        <v>3.0</v>
      </c>
      <c r="H2280" s="3">
        <v>34.5</v>
      </c>
    </row>
    <row r="2281" ht="15.75" customHeight="1">
      <c r="A2281" s="3" t="s">
        <v>66</v>
      </c>
      <c r="B2281" s="3">
        <v>2020.0</v>
      </c>
      <c r="C2281" s="3" t="s">
        <v>14</v>
      </c>
      <c r="D2281" s="3">
        <v>219.2</v>
      </c>
      <c r="E2281" s="3">
        <v>642.4</v>
      </c>
      <c r="F2281" s="3">
        <v>260.2</v>
      </c>
      <c r="G2281" s="3">
        <v>3.0</v>
      </c>
      <c r="H2281" s="3">
        <v>3.4</v>
      </c>
    </row>
    <row r="2282" ht="15.75" customHeight="1">
      <c r="A2282" s="3" t="s">
        <v>66</v>
      </c>
      <c r="B2282" s="3">
        <v>2021.0</v>
      </c>
      <c r="C2282" s="3" t="s">
        <v>9</v>
      </c>
      <c r="D2282" s="3">
        <v>259.4</v>
      </c>
      <c r="E2282" s="3">
        <v>729.7</v>
      </c>
      <c r="F2282" s="3">
        <v>319.8</v>
      </c>
      <c r="G2282" s="3">
        <v>10.0</v>
      </c>
      <c r="H2282" s="3">
        <v>26.6</v>
      </c>
    </row>
    <row r="2283" ht="15.75" customHeight="1">
      <c r="A2283" s="3" t="s">
        <v>66</v>
      </c>
      <c r="B2283" s="3">
        <v>2021.0</v>
      </c>
      <c r="C2283" s="3" t="s">
        <v>10</v>
      </c>
      <c r="D2283" s="3">
        <v>267.6</v>
      </c>
      <c r="E2283" s="3">
        <v>545.0</v>
      </c>
      <c r="F2283" s="3">
        <v>374.5</v>
      </c>
      <c r="G2283" s="3">
        <v>5.0</v>
      </c>
      <c r="H2283" s="3">
        <v>35.8</v>
      </c>
    </row>
    <row r="2284" ht="15.75" customHeight="1">
      <c r="A2284" s="3" t="s">
        <v>66</v>
      </c>
      <c r="B2284" s="3">
        <v>2021.0</v>
      </c>
      <c r="C2284" s="3" t="s">
        <v>11</v>
      </c>
      <c r="D2284" s="3">
        <v>314.9</v>
      </c>
      <c r="E2284" s="3">
        <v>868.5</v>
      </c>
      <c r="F2284" s="3">
        <v>325.6</v>
      </c>
      <c r="G2284" s="3">
        <v>8.0</v>
      </c>
      <c r="H2284" s="3">
        <v>46.3</v>
      </c>
    </row>
    <row r="2285" ht="15.75" customHeight="1">
      <c r="A2285" s="3" t="s">
        <v>66</v>
      </c>
      <c r="B2285" s="3">
        <v>2021.0</v>
      </c>
      <c r="C2285" s="3" t="s">
        <v>13</v>
      </c>
      <c r="D2285" s="3">
        <v>260.5</v>
      </c>
      <c r="E2285" s="3">
        <v>566.1</v>
      </c>
      <c r="F2285" s="3">
        <v>217.1</v>
      </c>
      <c r="G2285" s="3">
        <v>3.0</v>
      </c>
      <c r="H2285" s="3">
        <v>37.6</v>
      </c>
    </row>
    <row r="2286" ht="15.75" customHeight="1">
      <c r="A2286" s="3" t="s">
        <v>66</v>
      </c>
      <c r="B2286" s="3">
        <v>2021.0</v>
      </c>
      <c r="C2286" s="3" t="s">
        <v>14</v>
      </c>
      <c r="D2286" s="3">
        <v>283.1</v>
      </c>
      <c r="E2286" s="3">
        <v>774.2</v>
      </c>
      <c r="F2286" s="3">
        <v>238.7</v>
      </c>
      <c r="G2286" s="3">
        <v>8.0</v>
      </c>
      <c r="H2286" s="3">
        <v>2.2</v>
      </c>
    </row>
    <row r="2287" ht="15.75" customHeight="1">
      <c r="A2287" s="3" t="s">
        <v>66</v>
      </c>
      <c r="B2287" s="3">
        <v>2022.0</v>
      </c>
      <c r="C2287" s="3" t="s">
        <v>9</v>
      </c>
      <c r="D2287" s="3">
        <v>302.4</v>
      </c>
      <c r="E2287" s="3">
        <v>668.6</v>
      </c>
      <c r="F2287" s="3">
        <v>389.4</v>
      </c>
      <c r="G2287" s="3">
        <v>12.0</v>
      </c>
      <c r="H2287" s="3">
        <v>31.2</v>
      </c>
    </row>
    <row r="2288" ht="15.75" customHeight="1">
      <c r="A2288" s="3" t="s">
        <v>66</v>
      </c>
      <c r="B2288" s="3">
        <v>2022.0</v>
      </c>
      <c r="C2288" s="3" t="s">
        <v>10</v>
      </c>
      <c r="D2288" s="3">
        <v>362.3</v>
      </c>
      <c r="E2288" s="3">
        <v>880.2</v>
      </c>
      <c r="F2288" s="3">
        <v>508.4</v>
      </c>
      <c r="G2288" s="3">
        <v>8.0</v>
      </c>
      <c r="H2288" s="3">
        <v>14.7</v>
      </c>
    </row>
    <row r="2289" ht="15.75" customHeight="1">
      <c r="A2289" s="3" t="s">
        <v>66</v>
      </c>
      <c r="B2289" s="3">
        <v>2022.0</v>
      </c>
      <c r="C2289" s="3" t="s">
        <v>11</v>
      </c>
      <c r="D2289" s="3">
        <v>322.7</v>
      </c>
      <c r="E2289" s="3">
        <v>760.5</v>
      </c>
      <c r="F2289" s="3">
        <v>405.4</v>
      </c>
      <c r="G2289" s="3">
        <v>5.0</v>
      </c>
      <c r="H2289" s="3">
        <v>46.0</v>
      </c>
    </row>
    <row r="2290" ht="15.75" customHeight="1">
      <c r="A2290" s="3" t="s">
        <v>66</v>
      </c>
      <c r="B2290" s="3">
        <v>2022.0</v>
      </c>
      <c r="C2290" s="3" t="s">
        <v>13</v>
      </c>
      <c r="D2290" s="3">
        <v>317.6</v>
      </c>
      <c r="E2290" s="3">
        <v>695.5</v>
      </c>
      <c r="F2290" s="3">
        <v>443.2</v>
      </c>
      <c r="G2290" s="3">
        <v>6.0</v>
      </c>
      <c r="H2290" s="3">
        <v>5.3</v>
      </c>
    </row>
    <row r="2291" ht="15.75" customHeight="1">
      <c r="A2291" s="3" t="s">
        <v>66</v>
      </c>
      <c r="B2291" s="3">
        <v>2022.0</v>
      </c>
      <c r="C2291" s="3" t="s">
        <v>14</v>
      </c>
      <c r="D2291" s="3">
        <v>332.0</v>
      </c>
      <c r="E2291" s="3">
        <v>925.4</v>
      </c>
      <c r="F2291" s="3">
        <v>489.5</v>
      </c>
      <c r="G2291" s="3">
        <v>4.0</v>
      </c>
      <c r="H2291" s="3">
        <v>45.9</v>
      </c>
    </row>
    <row r="2292" ht="15.75" customHeight="1">
      <c r="A2292" s="3" t="s">
        <v>66</v>
      </c>
      <c r="B2292" s="3">
        <v>2023.0</v>
      </c>
      <c r="C2292" s="3" t="s">
        <v>9</v>
      </c>
      <c r="D2292" s="3">
        <v>388.9</v>
      </c>
      <c r="E2292" s="3">
        <v>914.2</v>
      </c>
      <c r="F2292" s="3">
        <v>385.5</v>
      </c>
      <c r="G2292" s="3">
        <v>4.0</v>
      </c>
      <c r="H2292" s="3">
        <v>39.4</v>
      </c>
    </row>
    <row r="2293" ht="15.75" customHeight="1">
      <c r="A2293" s="3" t="s">
        <v>66</v>
      </c>
      <c r="B2293" s="3">
        <v>2023.0</v>
      </c>
      <c r="C2293" s="3" t="s">
        <v>10</v>
      </c>
      <c r="D2293" s="3">
        <v>336.9</v>
      </c>
      <c r="E2293" s="3">
        <v>933.1</v>
      </c>
      <c r="F2293" s="3">
        <v>440.0</v>
      </c>
      <c r="G2293" s="3">
        <v>7.0</v>
      </c>
      <c r="H2293" s="3">
        <v>33.0</v>
      </c>
    </row>
    <row r="2294" ht="15.75" customHeight="1">
      <c r="A2294" s="3" t="s">
        <v>66</v>
      </c>
      <c r="B2294" s="3">
        <v>2023.0</v>
      </c>
      <c r="C2294" s="3" t="s">
        <v>11</v>
      </c>
      <c r="D2294" s="3">
        <v>328.7</v>
      </c>
      <c r="E2294" s="3">
        <v>724.6</v>
      </c>
      <c r="F2294" s="3">
        <v>388.5</v>
      </c>
      <c r="G2294" s="3">
        <v>5.0</v>
      </c>
      <c r="H2294" s="3">
        <v>37.5</v>
      </c>
    </row>
    <row r="2295" ht="15.75" customHeight="1">
      <c r="A2295" s="3" t="s">
        <v>66</v>
      </c>
      <c r="B2295" s="3">
        <v>2023.0</v>
      </c>
      <c r="C2295" s="3" t="s">
        <v>13</v>
      </c>
      <c r="D2295" s="3">
        <v>384.9</v>
      </c>
      <c r="E2295" s="3">
        <v>1073.9</v>
      </c>
      <c r="F2295" s="3">
        <v>360.6</v>
      </c>
      <c r="G2295" s="3">
        <v>9.0</v>
      </c>
      <c r="H2295" s="3">
        <v>30.8</v>
      </c>
    </row>
    <row r="2296" ht="15.75" customHeight="1">
      <c r="A2296" s="3" t="s">
        <v>66</v>
      </c>
      <c r="B2296" s="3">
        <v>2023.0</v>
      </c>
      <c r="C2296" s="3" t="s">
        <v>14</v>
      </c>
      <c r="D2296" s="3">
        <v>353.7</v>
      </c>
      <c r="E2296" s="3">
        <v>1046.8</v>
      </c>
      <c r="F2296" s="3">
        <v>376.8</v>
      </c>
      <c r="G2296" s="3">
        <v>6.0</v>
      </c>
      <c r="H2296" s="3">
        <v>42.2</v>
      </c>
    </row>
    <row r="2297" ht="15.75" customHeight="1">
      <c r="A2297" s="3" t="s">
        <v>66</v>
      </c>
      <c r="B2297" s="3">
        <v>2024.0</v>
      </c>
      <c r="C2297" s="3" t="s">
        <v>9</v>
      </c>
      <c r="D2297" s="3">
        <v>327.5</v>
      </c>
      <c r="E2297" s="3">
        <v>694.0</v>
      </c>
      <c r="F2297" s="3">
        <v>285.5</v>
      </c>
      <c r="G2297" s="3">
        <v>6.0</v>
      </c>
      <c r="H2297" s="3">
        <v>2.5</v>
      </c>
    </row>
    <row r="2298" ht="15.75" customHeight="1">
      <c r="A2298" s="3" t="s">
        <v>66</v>
      </c>
      <c r="B2298" s="3">
        <v>2024.0</v>
      </c>
      <c r="C2298" s="3" t="s">
        <v>10</v>
      </c>
      <c r="D2298" s="3">
        <v>371.8</v>
      </c>
      <c r="E2298" s="3">
        <v>1064.1</v>
      </c>
      <c r="F2298" s="3">
        <v>407.9</v>
      </c>
      <c r="G2298" s="3">
        <v>8.0</v>
      </c>
      <c r="H2298" s="3">
        <v>28.1</v>
      </c>
    </row>
    <row r="2299" ht="15.75" customHeight="1">
      <c r="A2299" s="3" t="s">
        <v>66</v>
      </c>
      <c r="B2299" s="3">
        <v>2024.0</v>
      </c>
      <c r="C2299" s="3" t="s">
        <v>11</v>
      </c>
      <c r="D2299" s="3">
        <v>325.0</v>
      </c>
      <c r="E2299" s="3">
        <v>743.3</v>
      </c>
      <c r="F2299" s="3">
        <v>467.1</v>
      </c>
      <c r="G2299" s="3">
        <v>6.0</v>
      </c>
      <c r="H2299" s="3">
        <v>32.9</v>
      </c>
    </row>
    <row r="2300" ht="15.75" customHeight="1">
      <c r="A2300" s="3" t="s">
        <v>66</v>
      </c>
      <c r="B2300" s="3">
        <v>2024.0</v>
      </c>
      <c r="C2300" s="3" t="s">
        <v>13</v>
      </c>
      <c r="D2300" s="3">
        <v>397.8</v>
      </c>
      <c r="E2300" s="3">
        <v>1185.8</v>
      </c>
      <c r="F2300" s="3">
        <v>577.7</v>
      </c>
      <c r="G2300" s="3">
        <v>4.0</v>
      </c>
      <c r="H2300" s="3">
        <v>35.0</v>
      </c>
    </row>
    <row r="2301" ht="15.75" customHeight="1">
      <c r="A2301" s="3" t="s">
        <v>66</v>
      </c>
      <c r="B2301" s="3">
        <v>2024.0</v>
      </c>
      <c r="C2301" s="3" t="s">
        <v>14</v>
      </c>
      <c r="D2301" s="3">
        <v>349.6</v>
      </c>
      <c r="E2301" s="3">
        <v>927.3</v>
      </c>
      <c r="F2301" s="3">
        <v>387.3</v>
      </c>
      <c r="G2301" s="3">
        <v>11.0</v>
      </c>
      <c r="H2301" s="3">
        <v>47.7</v>
      </c>
    </row>
    <row r="2302" ht="15.75" customHeight="1">
      <c r="A2302" s="3" t="s">
        <v>67</v>
      </c>
      <c r="B2302" s="3">
        <v>2015.0</v>
      </c>
      <c r="C2302" s="3" t="s">
        <v>9</v>
      </c>
      <c r="D2302" s="3">
        <v>114.3</v>
      </c>
      <c r="E2302" s="3">
        <v>260.1</v>
      </c>
      <c r="F2302" s="3">
        <v>119.5</v>
      </c>
      <c r="G2302" s="3">
        <v>4.0</v>
      </c>
      <c r="H2302" s="3">
        <v>27.5</v>
      </c>
    </row>
    <row r="2303" ht="15.75" customHeight="1">
      <c r="A2303" s="3" t="s">
        <v>67</v>
      </c>
      <c r="B2303" s="3">
        <v>2015.0</v>
      </c>
      <c r="C2303" s="3" t="s">
        <v>10</v>
      </c>
      <c r="D2303" s="3">
        <v>94.8</v>
      </c>
      <c r="E2303" s="3">
        <v>222.7</v>
      </c>
      <c r="F2303" s="3">
        <v>119.5</v>
      </c>
      <c r="G2303" s="3">
        <v>1.0</v>
      </c>
      <c r="H2303" s="3">
        <v>23.7</v>
      </c>
    </row>
    <row r="2304" ht="15.75" customHeight="1">
      <c r="A2304" s="3" t="s">
        <v>67</v>
      </c>
      <c r="B2304" s="3">
        <v>2015.0</v>
      </c>
      <c r="C2304" s="3" t="s">
        <v>11</v>
      </c>
      <c r="D2304" s="3">
        <v>30.2</v>
      </c>
      <c r="E2304" s="3">
        <v>62.7</v>
      </c>
      <c r="F2304" s="3">
        <v>28.2</v>
      </c>
      <c r="G2304" s="3">
        <v>9.0</v>
      </c>
      <c r="H2304" s="3">
        <v>29.1</v>
      </c>
    </row>
    <row r="2305" ht="15.75" customHeight="1">
      <c r="A2305" s="3" t="s">
        <v>67</v>
      </c>
      <c r="B2305" s="3">
        <v>2015.0</v>
      </c>
      <c r="C2305" s="3" t="s">
        <v>13</v>
      </c>
      <c r="D2305" s="3">
        <v>62.7</v>
      </c>
      <c r="E2305" s="3">
        <v>179.6</v>
      </c>
      <c r="F2305" s="3">
        <v>57.2</v>
      </c>
      <c r="G2305" s="3">
        <v>2.0</v>
      </c>
      <c r="H2305" s="3">
        <v>7.6</v>
      </c>
    </row>
    <row r="2306" ht="15.75" customHeight="1">
      <c r="A2306" s="3" t="s">
        <v>67</v>
      </c>
      <c r="B2306" s="3">
        <v>2015.0</v>
      </c>
      <c r="C2306" s="3" t="s">
        <v>14</v>
      </c>
      <c r="D2306" s="3">
        <v>152.4</v>
      </c>
      <c r="E2306" s="3">
        <v>431.9</v>
      </c>
      <c r="F2306" s="3">
        <v>207.6</v>
      </c>
      <c r="G2306" s="3">
        <v>4.0</v>
      </c>
      <c r="H2306" s="3">
        <v>17.6</v>
      </c>
    </row>
    <row r="2307" ht="15.75" customHeight="1">
      <c r="A2307" s="3" t="s">
        <v>67</v>
      </c>
      <c r="B2307" s="3">
        <v>2016.0</v>
      </c>
      <c r="C2307" s="3" t="s">
        <v>9</v>
      </c>
      <c r="D2307" s="3">
        <v>83.6</v>
      </c>
      <c r="E2307" s="3">
        <v>183.3</v>
      </c>
      <c r="F2307" s="3">
        <v>120.3</v>
      </c>
      <c r="G2307" s="3">
        <v>8.0</v>
      </c>
      <c r="H2307" s="3">
        <v>14.0</v>
      </c>
    </row>
    <row r="2308" ht="15.75" customHeight="1">
      <c r="A2308" s="3" t="s">
        <v>67</v>
      </c>
      <c r="B2308" s="3">
        <v>2016.0</v>
      </c>
      <c r="C2308" s="3" t="s">
        <v>10</v>
      </c>
      <c r="D2308" s="3">
        <v>112.3</v>
      </c>
      <c r="E2308" s="3">
        <v>226.8</v>
      </c>
      <c r="F2308" s="3">
        <v>134.0</v>
      </c>
      <c r="G2308" s="3">
        <v>6.0</v>
      </c>
      <c r="H2308" s="3">
        <v>41.3</v>
      </c>
    </row>
    <row r="2309" ht="15.75" customHeight="1">
      <c r="A2309" s="3" t="s">
        <v>67</v>
      </c>
      <c r="B2309" s="3">
        <v>2016.0</v>
      </c>
      <c r="C2309" s="3" t="s">
        <v>11</v>
      </c>
      <c r="D2309" s="3">
        <v>132.8</v>
      </c>
      <c r="E2309" s="3">
        <v>285.0</v>
      </c>
      <c r="F2309" s="3">
        <v>184.4</v>
      </c>
      <c r="G2309" s="3">
        <v>3.0</v>
      </c>
      <c r="H2309" s="3">
        <v>44.7</v>
      </c>
    </row>
    <row r="2310" ht="15.75" customHeight="1">
      <c r="A2310" s="3" t="s">
        <v>67</v>
      </c>
      <c r="B2310" s="3">
        <v>2016.0</v>
      </c>
      <c r="C2310" s="3" t="s">
        <v>13</v>
      </c>
      <c r="D2310" s="3">
        <v>130.7</v>
      </c>
      <c r="E2310" s="3">
        <v>387.5</v>
      </c>
      <c r="F2310" s="3">
        <v>134.3</v>
      </c>
      <c r="G2310" s="3">
        <v>2.0</v>
      </c>
      <c r="H2310" s="3">
        <v>11.3</v>
      </c>
    </row>
    <row r="2311" ht="15.75" customHeight="1">
      <c r="A2311" s="3" t="s">
        <v>67</v>
      </c>
      <c r="B2311" s="3">
        <v>2016.0</v>
      </c>
      <c r="C2311" s="3" t="s">
        <v>14</v>
      </c>
      <c r="D2311" s="3">
        <v>158.9</v>
      </c>
      <c r="E2311" s="3">
        <v>361.5</v>
      </c>
      <c r="F2311" s="3">
        <v>223.3</v>
      </c>
      <c r="G2311" s="3">
        <v>6.0</v>
      </c>
      <c r="H2311" s="3">
        <v>1.0</v>
      </c>
    </row>
    <row r="2312" ht="15.75" customHeight="1">
      <c r="A2312" s="3" t="s">
        <v>67</v>
      </c>
      <c r="B2312" s="3">
        <v>2017.0</v>
      </c>
      <c r="C2312" s="3" t="s">
        <v>9</v>
      </c>
      <c r="D2312" s="3">
        <v>162.0</v>
      </c>
      <c r="E2312" s="3">
        <v>376.9</v>
      </c>
      <c r="F2312" s="3">
        <v>193.5</v>
      </c>
      <c r="G2312" s="3">
        <v>9.0</v>
      </c>
      <c r="H2312" s="3">
        <v>31.8</v>
      </c>
    </row>
    <row r="2313" ht="15.75" customHeight="1">
      <c r="A2313" s="3" t="s">
        <v>67</v>
      </c>
      <c r="B2313" s="3">
        <v>2017.0</v>
      </c>
      <c r="C2313" s="3" t="s">
        <v>10</v>
      </c>
      <c r="D2313" s="3">
        <v>193.1</v>
      </c>
      <c r="E2313" s="3">
        <v>573.5</v>
      </c>
      <c r="F2313" s="3">
        <v>253.1</v>
      </c>
      <c r="G2313" s="3">
        <v>7.0</v>
      </c>
      <c r="H2313" s="3">
        <v>37.6</v>
      </c>
    </row>
    <row r="2314" ht="15.75" customHeight="1">
      <c r="A2314" s="3" t="s">
        <v>67</v>
      </c>
      <c r="B2314" s="3">
        <v>2017.0</v>
      </c>
      <c r="C2314" s="3" t="s">
        <v>11</v>
      </c>
      <c r="D2314" s="3">
        <v>150.3</v>
      </c>
      <c r="E2314" s="3">
        <v>319.5</v>
      </c>
      <c r="F2314" s="3">
        <v>171.1</v>
      </c>
      <c r="G2314" s="3">
        <v>9.0</v>
      </c>
      <c r="H2314" s="3">
        <v>34.8</v>
      </c>
    </row>
    <row r="2315" ht="15.75" customHeight="1">
      <c r="A2315" s="3" t="s">
        <v>67</v>
      </c>
      <c r="B2315" s="3">
        <v>2017.0</v>
      </c>
      <c r="C2315" s="3" t="s">
        <v>13</v>
      </c>
      <c r="D2315" s="3">
        <v>157.0</v>
      </c>
      <c r="E2315" s="3">
        <v>423.8</v>
      </c>
      <c r="F2315" s="3">
        <v>206.4</v>
      </c>
      <c r="G2315" s="3">
        <v>5.0</v>
      </c>
      <c r="H2315" s="3">
        <v>8.7</v>
      </c>
    </row>
    <row r="2316" ht="15.75" customHeight="1">
      <c r="A2316" s="3" t="s">
        <v>67</v>
      </c>
      <c r="B2316" s="3">
        <v>2017.0</v>
      </c>
      <c r="C2316" s="3" t="s">
        <v>14</v>
      </c>
      <c r="D2316" s="3">
        <v>169.6</v>
      </c>
      <c r="E2316" s="3">
        <v>370.6</v>
      </c>
      <c r="F2316" s="3">
        <v>171.6</v>
      </c>
      <c r="G2316" s="3">
        <v>6.0</v>
      </c>
      <c r="H2316" s="3">
        <v>10.2</v>
      </c>
    </row>
    <row r="2317" ht="15.75" customHeight="1">
      <c r="A2317" s="3" t="s">
        <v>67</v>
      </c>
      <c r="B2317" s="3">
        <v>2018.0</v>
      </c>
      <c r="C2317" s="3" t="s">
        <v>9</v>
      </c>
      <c r="D2317" s="3">
        <v>182.0</v>
      </c>
      <c r="E2317" s="3">
        <v>534.7</v>
      </c>
      <c r="F2317" s="3">
        <v>151.2</v>
      </c>
      <c r="G2317" s="3">
        <v>7.0</v>
      </c>
      <c r="H2317" s="3">
        <v>4.5</v>
      </c>
    </row>
    <row r="2318" ht="15.75" customHeight="1">
      <c r="A2318" s="3" t="s">
        <v>67</v>
      </c>
      <c r="B2318" s="3">
        <v>2018.0</v>
      </c>
      <c r="C2318" s="3" t="s">
        <v>10</v>
      </c>
      <c r="D2318" s="3">
        <v>145.0</v>
      </c>
      <c r="E2318" s="3">
        <v>383.8</v>
      </c>
      <c r="F2318" s="3">
        <v>152.2</v>
      </c>
      <c r="G2318" s="3">
        <v>8.0</v>
      </c>
      <c r="H2318" s="3">
        <v>49.0</v>
      </c>
    </row>
    <row r="2319" ht="15.75" customHeight="1">
      <c r="A2319" s="3" t="s">
        <v>67</v>
      </c>
      <c r="B2319" s="3">
        <v>2018.0</v>
      </c>
      <c r="C2319" s="3" t="s">
        <v>11</v>
      </c>
      <c r="D2319" s="3">
        <v>228.1</v>
      </c>
      <c r="E2319" s="3">
        <v>606.1</v>
      </c>
      <c r="F2319" s="3">
        <v>227.2</v>
      </c>
      <c r="G2319" s="3">
        <v>3.0</v>
      </c>
      <c r="H2319" s="3">
        <v>26.5</v>
      </c>
    </row>
    <row r="2320" ht="15.75" customHeight="1">
      <c r="A2320" s="3" t="s">
        <v>67</v>
      </c>
      <c r="B2320" s="3">
        <v>2018.0</v>
      </c>
      <c r="C2320" s="3" t="s">
        <v>13</v>
      </c>
      <c r="D2320" s="3">
        <v>241.6</v>
      </c>
      <c r="E2320" s="3">
        <v>557.7</v>
      </c>
      <c r="F2320" s="3">
        <v>246.6</v>
      </c>
      <c r="G2320" s="3">
        <v>8.0</v>
      </c>
      <c r="H2320" s="3">
        <v>34.7</v>
      </c>
    </row>
    <row r="2321" ht="15.75" customHeight="1">
      <c r="A2321" s="3" t="s">
        <v>67</v>
      </c>
      <c r="B2321" s="3">
        <v>2018.0</v>
      </c>
      <c r="C2321" s="3" t="s">
        <v>14</v>
      </c>
      <c r="D2321" s="3">
        <v>166.1</v>
      </c>
      <c r="E2321" s="3">
        <v>453.8</v>
      </c>
      <c r="F2321" s="3">
        <v>198.1</v>
      </c>
      <c r="G2321" s="3">
        <v>6.0</v>
      </c>
      <c r="H2321" s="3">
        <v>24.0</v>
      </c>
    </row>
    <row r="2322" ht="15.75" customHeight="1">
      <c r="A2322" s="3" t="s">
        <v>67</v>
      </c>
      <c r="B2322" s="3">
        <v>2019.0</v>
      </c>
      <c r="C2322" s="3" t="s">
        <v>9</v>
      </c>
      <c r="D2322" s="3">
        <v>279.5</v>
      </c>
      <c r="E2322" s="3">
        <v>639.8</v>
      </c>
      <c r="F2322" s="3">
        <v>251.1</v>
      </c>
      <c r="G2322" s="3">
        <v>11.0</v>
      </c>
      <c r="H2322" s="3">
        <v>46.4</v>
      </c>
    </row>
    <row r="2323" ht="15.75" customHeight="1">
      <c r="A2323" s="3" t="s">
        <v>67</v>
      </c>
      <c r="B2323" s="3">
        <v>2019.0</v>
      </c>
      <c r="C2323" s="3" t="s">
        <v>10</v>
      </c>
      <c r="D2323" s="3">
        <v>292.2</v>
      </c>
      <c r="E2323" s="3">
        <v>656.8</v>
      </c>
      <c r="F2323" s="3">
        <v>255.1</v>
      </c>
      <c r="G2323" s="3">
        <v>9.0</v>
      </c>
      <c r="H2323" s="3">
        <v>38.1</v>
      </c>
    </row>
    <row r="2324" ht="15.75" customHeight="1">
      <c r="A2324" s="3" t="s">
        <v>67</v>
      </c>
      <c r="B2324" s="3">
        <v>2019.0</v>
      </c>
      <c r="C2324" s="3" t="s">
        <v>11</v>
      </c>
      <c r="D2324" s="3">
        <v>271.3</v>
      </c>
      <c r="E2324" s="3">
        <v>723.9</v>
      </c>
      <c r="F2324" s="3">
        <v>343.5</v>
      </c>
      <c r="G2324" s="3">
        <v>3.0</v>
      </c>
      <c r="H2324" s="3">
        <v>6.3</v>
      </c>
    </row>
    <row r="2325" ht="15.75" customHeight="1">
      <c r="A2325" s="3" t="s">
        <v>67</v>
      </c>
      <c r="B2325" s="3">
        <v>2019.0</v>
      </c>
      <c r="C2325" s="3" t="s">
        <v>13</v>
      </c>
      <c r="D2325" s="3">
        <v>264.6</v>
      </c>
      <c r="E2325" s="3">
        <v>631.5</v>
      </c>
      <c r="F2325" s="3">
        <v>338.1</v>
      </c>
      <c r="G2325" s="3">
        <v>4.0</v>
      </c>
      <c r="H2325" s="3">
        <v>25.3</v>
      </c>
    </row>
    <row r="2326" ht="15.75" customHeight="1">
      <c r="A2326" s="3" t="s">
        <v>67</v>
      </c>
      <c r="B2326" s="3">
        <v>2019.0</v>
      </c>
      <c r="C2326" s="3" t="s">
        <v>14</v>
      </c>
      <c r="D2326" s="3">
        <v>223.4</v>
      </c>
      <c r="E2326" s="3">
        <v>475.2</v>
      </c>
      <c r="F2326" s="3">
        <v>306.3</v>
      </c>
      <c r="G2326" s="3">
        <v>9.0</v>
      </c>
      <c r="H2326" s="3">
        <v>39.1</v>
      </c>
    </row>
    <row r="2327" ht="15.75" customHeight="1">
      <c r="A2327" s="3" t="s">
        <v>67</v>
      </c>
      <c r="B2327" s="3">
        <v>2020.0</v>
      </c>
      <c r="C2327" s="3" t="s">
        <v>9</v>
      </c>
      <c r="D2327" s="3">
        <v>233.1</v>
      </c>
      <c r="E2327" s="3">
        <v>499.0</v>
      </c>
      <c r="F2327" s="3">
        <v>271.4</v>
      </c>
      <c r="G2327" s="3">
        <v>7.0</v>
      </c>
      <c r="H2327" s="3">
        <v>4.8</v>
      </c>
    </row>
    <row r="2328" ht="15.75" customHeight="1">
      <c r="A2328" s="3" t="s">
        <v>67</v>
      </c>
      <c r="B2328" s="3">
        <v>2020.0</v>
      </c>
      <c r="C2328" s="3" t="s">
        <v>10</v>
      </c>
      <c r="D2328" s="3">
        <v>284.9</v>
      </c>
      <c r="E2328" s="3">
        <v>700.2</v>
      </c>
      <c r="F2328" s="3">
        <v>377.9</v>
      </c>
      <c r="G2328" s="3">
        <v>6.0</v>
      </c>
      <c r="H2328" s="3">
        <v>23.5</v>
      </c>
    </row>
    <row r="2329" ht="15.75" customHeight="1">
      <c r="A2329" s="3" t="s">
        <v>67</v>
      </c>
      <c r="B2329" s="3">
        <v>2020.0</v>
      </c>
      <c r="C2329" s="3" t="s">
        <v>11</v>
      </c>
      <c r="D2329" s="3">
        <v>272.0</v>
      </c>
      <c r="E2329" s="3">
        <v>797.0</v>
      </c>
      <c r="F2329" s="3">
        <v>382.8</v>
      </c>
      <c r="G2329" s="3">
        <v>9.0</v>
      </c>
      <c r="H2329" s="3">
        <v>4.0</v>
      </c>
    </row>
    <row r="2330" ht="15.75" customHeight="1">
      <c r="A2330" s="3" t="s">
        <v>67</v>
      </c>
      <c r="B2330" s="3">
        <v>2020.0</v>
      </c>
      <c r="C2330" s="3" t="s">
        <v>13</v>
      </c>
      <c r="D2330" s="3">
        <v>309.6</v>
      </c>
      <c r="E2330" s="3">
        <v>647.0</v>
      </c>
      <c r="F2330" s="3">
        <v>387.5</v>
      </c>
      <c r="G2330" s="3">
        <v>7.0</v>
      </c>
      <c r="H2330" s="3">
        <v>38.5</v>
      </c>
    </row>
    <row r="2331" ht="15.75" customHeight="1">
      <c r="A2331" s="3" t="s">
        <v>67</v>
      </c>
      <c r="B2331" s="3">
        <v>2020.0</v>
      </c>
      <c r="C2331" s="3" t="s">
        <v>14</v>
      </c>
      <c r="D2331" s="3">
        <v>263.8</v>
      </c>
      <c r="E2331" s="3">
        <v>676.6</v>
      </c>
      <c r="F2331" s="3">
        <v>297.5</v>
      </c>
      <c r="G2331" s="3">
        <v>3.0</v>
      </c>
      <c r="H2331" s="3">
        <v>29.1</v>
      </c>
    </row>
    <row r="2332" ht="15.75" customHeight="1">
      <c r="A2332" s="3" t="s">
        <v>67</v>
      </c>
      <c r="B2332" s="3">
        <v>2021.0</v>
      </c>
      <c r="C2332" s="3" t="s">
        <v>9</v>
      </c>
      <c r="D2332" s="3">
        <v>295.9</v>
      </c>
      <c r="E2332" s="3">
        <v>782.0</v>
      </c>
      <c r="F2332" s="3">
        <v>331.6</v>
      </c>
      <c r="G2332" s="3">
        <v>5.0</v>
      </c>
      <c r="H2332" s="3">
        <v>46.4</v>
      </c>
    </row>
    <row r="2333" ht="15.75" customHeight="1">
      <c r="A2333" s="3" t="s">
        <v>67</v>
      </c>
      <c r="B2333" s="3">
        <v>2021.0</v>
      </c>
      <c r="C2333" s="3" t="s">
        <v>10</v>
      </c>
      <c r="D2333" s="3">
        <v>330.9</v>
      </c>
      <c r="E2333" s="3">
        <v>674.5</v>
      </c>
      <c r="F2333" s="3">
        <v>486.4</v>
      </c>
      <c r="G2333" s="3">
        <v>9.0</v>
      </c>
      <c r="H2333" s="3">
        <v>44.2</v>
      </c>
    </row>
    <row r="2334" ht="15.75" customHeight="1">
      <c r="A2334" s="3" t="s">
        <v>67</v>
      </c>
      <c r="B2334" s="3">
        <v>2021.0</v>
      </c>
      <c r="C2334" s="3" t="s">
        <v>11</v>
      </c>
      <c r="D2334" s="3">
        <v>250.3</v>
      </c>
      <c r="E2334" s="3">
        <v>520.8</v>
      </c>
      <c r="F2334" s="3">
        <v>227.7</v>
      </c>
      <c r="G2334" s="3">
        <v>11.0</v>
      </c>
      <c r="H2334" s="3">
        <v>43.0</v>
      </c>
    </row>
    <row r="2335" ht="15.75" customHeight="1">
      <c r="A2335" s="3" t="s">
        <v>67</v>
      </c>
      <c r="B2335" s="3">
        <v>2021.0</v>
      </c>
      <c r="C2335" s="3" t="s">
        <v>13</v>
      </c>
      <c r="D2335" s="3">
        <v>306.9</v>
      </c>
      <c r="E2335" s="3">
        <v>829.1</v>
      </c>
      <c r="F2335" s="3">
        <v>457.5</v>
      </c>
      <c r="G2335" s="3">
        <v>4.0</v>
      </c>
      <c r="H2335" s="3">
        <v>49.1</v>
      </c>
    </row>
    <row r="2336" ht="15.75" customHeight="1">
      <c r="A2336" s="3" t="s">
        <v>67</v>
      </c>
      <c r="B2336" s="3">
        <v>2021.0</v>
      </c>
      <c r="C2336" s="3" t="s">
        <v>14</v>
      </c>
      <c r="D2336" s="3">
        <v>325.7</v>
      </c>
      <c r="E2336" s="3">
        <v>876.2</v>
      </c>
      <c r="F2336" s="3">
        <v>417.5</v>
      </c>
      <c r="G2336" s="3">
        <v>9.0</v>
      </c>
      <c r="H2336" s="3">
        <v>5.8</v>
      </c>
    </row>
    <row r="2337" ht="15.75" customHeight="1">
      <c r="A2337" s="3" t="s">
        <v>67</v>
      </c>
      <c r="B2337" s="3">
        <v>2022.0</v>
      </c>
      <c r="C2337" s="3" t="s">
        <v>9</v>
      </c>
      <c r="D2337" s="3">
        <v>345.3</v>
      </c>
      <c r="E2337" s="3">
        <v>889.5</v>
      </c>
      <c r="F2337" s="3">
        <v>419.9</v>
      </c>
      <c r="G2337" s="3">
        <v>8.0</v>
      </c>
      <c r="H2337" s="3">
        <v>44.8</v>
      </c>
    </row>
    <row r="2338" ht="15.75" customHeight="1">
      <c r="A2338" s="3" t="s">
        <v>67</v>
      </c>
      <c r="B2338" s="3">
        <v>2022.0</v>
      </c>
      <c r="C2338" s="3" t="s">
        <v>10</v>
      </c>
      <c r="D2338" s="3">
        <v>300.3</v>
      </c>
      <c r="E2338" s="3">
        <v>653.2</v>
      </c>
      <c r="F2338" s="3">
        <v>409.7</v>
      </c>
      <c r="G2338" s="3">
        <v>9.0</v>
      </c>
      <c r="H2338" s="3">
        <v>22.2</v>
      </c>
    </row>
    <row r="2339" ht="15.75" customHeight="1">
      <c r="A2339" s="3" t="s">
        <v>67</v>
      </c>
      <c r="B2339" s="3">
        <v>2022.0</v>
      </c>
      <c r="C2339" s="3" t="s">
        <v>11</v>
      </c>
      <c r="D2339" s="3">
        <v>270.9</v>
      </c>
      <c r="E2339" s="3">
        <v>567.8</v>
      </c>
      <c r="F2339" s="3">
        <v>300.3</v>
      </c>
      <c r="G2339" s="3">
        <v>5.0</v>
      </c>
      <c r="H2339" s="3">
        <v>9.6</v>
      </c>
    </row>
    <row r="2340" ht="15.75" customHeight="1">
      <c r="A2340" s="3" t="s">
        <v>67</v>
      </c>
      <c r="B2340" s="3">
        <v>2022.0</v>
      </c>
      <c r="C2340" s="3" t="s">
        <v>13</v>
      </c>
      <c r="D2340" s="3">
        <v>297.0</v>
      </c>
      <c r="E2340" s="3">
        <v>839.8</v>
      </c>
      <c r="F2340" s="3">
        <v>407.5</v>
      </c>
      <c r="G2340" s="3">
        <v>10.0</v>
      </c>
      <c r="H2340" s="3">
        <v>15.2</v>
      </c>
    </row>
    <row r="2341" ht="15.75" customHeight="1">
      <c r="A2341" s="3" t="s">
        <v>67</v>
      </c>
      <c r="B2341" s="3">
        <v>2022.0</v>
      </c>
      <c r="C2341" s="3" t="s">
        <v>14</v>
      </c>
      <c r="D2341" s="3">
        <v>393.9</v>
      </c>
      <c r="E2341" s="3">
        <v>1161.9</v>
      </c>
      <c r="F2341" s="3">
        <v>356.9</v>
      </c>
      <c r="G2341" s="3">
        <v>12.0</v>
      </c>
      <c r="H2341" s="3">
        <v>22.1</v>
      </c>
    </row>
    <row r="2342" ht="15.75" customHeight="1">
      <c r="A2342" s="3" t="s">
        <v>67</v>
      </c>
      <c r="B2342" s="3">
        <v>2023.0</v>
      </c>
      <c r="C2342" s="3" t="s">
        <v>9</v>
      </c>
      <c r="D2342" s="3">
        <v>383.1</v>
      </c>
      <c r="E2342" s="3">
        <v>852.4</v>
      </c>
      <c r="F2342" s="3">
        <v>351.0</v>
      </c>
      <c r="G2342" s="3">
        <v>10.0</v>
      </c>
      <c r="H2342" s="3">
        <v>4.0</v>
      </c>
    </row>
    <row r="2343" ht="15.75" customHeight="1">
      <c r="A2343" s="3" t="s">
        <v>67</v>
      </c>
      <c r="B2343" s="3">
        <v>2023.0</v>
      </c>
      <c r="C2343" s="3" t="s">
        <v>10</v>
      </c>
      <c r="D2343" s="3">
        <v>379.9</v>
      </c>
      <c r="E2343" s="3">
        <v>932.7</v>
      </c>
      <c r="F2343" s="3">
        <v>311.4</v>
      </c>
      <c r="G2343" s="3">
        <v>9.0</v>
      </c>
      <c r="H2343" s="3">
        <v>38.8</v>
      </c>
    </row>
    <row r="2344" ht="15.75" customHeight="1">
      <c r="A2344" s="3" t="s">
        <v>67</v>
      </c>
      <c r="B2344" s="3">
        <v>2023.0</v>
      </c>
      <c r="C2344" s="3" t="s">
        <v>11</v>
      </c>
      <c r="D2344" s="3">
        <v>296.9</v>
      </c>
      <c r="E2344" s="3">
        <v>654.4</v>
      </c>
      <c r="F2344" s="3">
        <v>276.4</v>
      </c>
      <c r="G2344" s="3">
        <v>10.0</v>
      </c>
      <c r="H2344" s="3">
        <v>13.1</v>
      </c>
    </row>
    <row r="2345" ht="15.75" customHeight="1">
      <c r="A2345" s="3" t="s">
        <v>67</v>
      </c>
      <c r="B2345" s="3">
        <v>2023.0</v>
      </c>
      <c r="C2345" s="3" t="s">
        <v>13</v>
      </c>
      <c r="D2345" s="3">
        <v>371.3</v>
      </c>
      <c r="E2345" s="3">
        <v>1095.2</v>
      </c>
      <c r="F2345" s="3">
        <v>304.2</v>
      </c>
      <c r="G2345" s="3">
        <v>12.0</v>
      </c>
      <c r="H2345" s="3">
        <v>33.7</v>
      </c>
    </row>
    <row r="2346" ht="15.75" customHeight="1">
      <c r="A2346" s="3" t="s">
        <v>67</v>
      </c>
      <c r="B2346" s="3">
        <v>2023.0</v>
      </c>
      <c r="C2346" s="3" t="s">
        <v>14</v>
      </c>
      <c r="D2346" s="3">
        <v>310.4</v>
      </c>
      <c r="E2346" s="3">
        <v>859.3</v>
      </c>
      <c r="F2346" s="3">
        <v>251.1</v>
      </c>
      <c r="G2346" s="3">
        <v>10.0</v>
      </c>
      <c r="H2346" s="3">
        <v>19.3</v>
      </c>
    </row>
    <row r="2347" ht="15.75" customHeight="1">
      <c r="A2347" s="3" t="s">
        <v>67</v>
      </c>
      <c r="B2347" s="3">
        <v>2024.0</v>
      </c>
      <c r="C2347" s="3" t="s">
        <v>9</v>
      </c>
      <c r="D2347" s="3">
        <v>373.5</v>
      </c>
      <c r="E2347" s="3">
        <v>1038.4</v>
      </c>
      <c r="F2347" s="3">
        <v>496.4</v>
      </c>
      <c r="G2347" s="3">
        <v>4.0</v>
      </c>
      <c r="H2347" s="3">
        <v>1.2</v>
      </c>
    </row>
    <row r="2348" ht="15.75" customHeight="1">
      <c r="A2348" s="3" t="s">
        <v>67</v>
      </c>
      <c r="B2348" s="3">
        <v>2024.0</v>
      </c>
      <c r="C2348" s="3" t="s">
        <v>10</v>
      </c>
      <c r="D2348" s="3">
        <v>367.8</v>
      </c>
      <c r="E2348" s="3">
        <v>894.2</v>
      </c>
      <c r="F2348" s="3">
        <v>406.0</v>
      </c>
      <c r="G2348" s="3">
        <v>11.0</v>
      </c>
      <c r="H2348" s="3">
        <v>40.4</v>
      </c>
    </row>
    <row r="2349" ht="15.75" customHeight="1">
      <c r="A2349" s="3" t="s">
        <v>67</v>
      </c>
      <c r="B2349" s="3">
        <v>2024.0</v>
      </c>
      <c r="C2349" s="3" t="s">
        <v>11</v>
      </c>
      <c r="D2349" s="3">
        <v>397.2</v>
      </c>
      <c r="E2349" s="3">
        <v>875.7</v>
      </c>
      <c r="F2349" s="3">
        <v>384.2</v>
      </c>
      <c r="G2349" s="3">
        <v>12.0</v>
      </c>
      <c r="H2349" s="3">
        <v>20.4</v>
      </c>
    </row>
    <row r="2350" ht="15.75" customHeight="1">
      <c r="A2350" s="3" t="s">
        <v>67</v>
      </c>
      <c r="B2350" s="3">
        <v>2024.0</v>
      </c>
      <c r="C2350" s="3" t="s">
        <v>13</v>
      </c>
      <c r="D2350" s="3">
        <v>450.2</v>
      </c>
      <c r="E2350" s="3">
        <v>909.3</v>
      </c>
      <c r="F2350" s="3">
        <v>577.7</v>
      </c>
      <c r="G2350" s="3">
        <v>7.0</v>
      </c>
      <c r="H2350" s="3">
        <v>3.4</v>
      </c>
    </row>
    <row r="2351" ht="15.75" customHeight="1">
      <c r="A2351" s="3" t="s">
        <v>67</v>
      </c>
      <c r="B2351" s="3">
        <v>2024.0</v>
      </c>
      <c r="C2351" s="3" t="s">
        <v>14</v>
      </c>
      <c r="D2351" s="3">
        <v>347.3</v>
      </c>
      <c r="E2351" s="3">
        <v>901.2</v>
      </c>
      <c r="F2351" s="3">
        <v>518.0</v>
      </c>
      <c r="G2351" s="3">
        <v>8.0</v>
      </c>
      <c r="H2351" s="3">
        <v>31.8</v>
      </c>
    </row>
    <row r="2352" ht="15.75" customHeight="1">
      <c r="A2352" s="3" t="s">
        <v>68</v>
      </c>
      <c r="B2352" s="3">
        <v>2015.0</v>
      </c>
      <c r="C2352" s="3" t="s">
        <v>9</v>
      </c>
      <c r="D2352" s="3">
        <v>117.2</v>
      </c>
      <c r="E2352" s="3">
        <v>248.8</v>
      </c>
      <c r="F2352" s="3">
        <v>163.1</v>
      </c>
      <c r="G2352" s="3">
        <v>9.0</v>
      </c>
      <c r="H2352" s="3">
        <v>15.5</v>
      </c>
    </row>
    <row r="2353" ht="15.75" customHeight="1">
      <c r="A2353" s="3" t="s">
        <v>68</v>
      </c>
      <c r="B2353" s="3">
        <v>2015.0</v>
      </c>
      <c r="C2353" s="3" t="s">
        <v>10</v>
      </c>
      <c r="D2353" s="3">
        <v>82.0</v>
      </c>
      <c r="E2353" s="3">
        <v>189.2</v>
      </c>
      <c r="F2353" s="3">
        <v>120.8</v>
      </c>
      <c r="G2353" s="3">
        <v>7.0</v>
      </c>
      <c r="H2353" s="3">
        <v>23.5</v>
      </c>
    </row>
    <row r="2354" ht="15.75" customHeight="1">
      <c r="A2354" s="3" t="s">
        <v>68</v>
      </c>
      <c r="B2354" s="3">
        <v>2015.0</v>
      </c>
      <c r="C2354" s="3" t="s">
        <v>11</v>
      </c>
      <c r="D2354" s="3">
        <v>28.1</v>
      </c>
      <c r="E2354" s="3">
        <v>61.4</v>
      </c>
      <c r="F2354" s="3">
        <v>25.3</v>
      </c>
      <c r="G2354" s="3">
        <v>3.0</v>
      </c>
      <c r="H2354" s="3">
        <v>35.8</v>
      </c>
    </row>
    <row r="2355" ht="15.75" customHeight="1">
      <c r="A2355" s="3" t="s">
        <v>68</v>
      </c>
      <c r="B2355" s="3">
        <v>2015.0</v>
      </c>
      <c r="C2355" s="3" t="s">
        <v>13</v>
      </c>
      <c r="D2355" s="3">
        <v>74.8</v>
      </c>
      <c r="E2355" s="3">
        <v>160.8</v>
      </c>
      <c r="F2355" s="3">
        <v>82.0</v>
      </c>
      <c r="G2355" s="3">
        <v>4.0</v>
      </c>
      <c r="H2355" s="3">
        <v>35.1</v>
      </c>
    </row>
    <row r="2356" ht="15.75" customHeight="1">
      <c r="A2356" s="3" t="s">
        <v>68</v>
      </c>
      <c r="B2356" s="3">
        <v>2015.0</v>
      </c>
      <c r="C2356" s="3" t="s">
        <v>14</v>
      </c>
      <c r="D2356" s="3">
        <v>45.4</v>
      </c>
      <c r="E2356" s="3">
        <v>106.8</v>
      </c>
      <c r="F2356" s="3">
        <v>39.3</v>
      </c>
      <c r="G2356" s="3">
        <v>1.0</v>
      </c>
      <c r="H2356" s="3">
        <v>13.7</v>
      </c>
    </row>
    <row r="2357" ht="15.75" customHeight="1">
      <c r="A2357" s="3" t="s">
        <v>68</v>
      </c>
      <c r="B2357" s="3">
        <v>2016.0</v>
      </c>
      <c r="C2357" s="3" t="s">
        <v>9</v>
      </c>
      <c r="D2357" s="3">
        <v>149.2</v>
      </c>
      <c r="E2357" s="3">
        <v>347.4</v>
      </c>
      <c r="F2357" s="3">
        <v>210.9</v>
      </c>
      <c r="G2357" s="3">
        <v>4.0</v>
      </c>
      <c r="H2357" s="3">
        <v>47.7</v>
      </c>
    </row>
    <row r="2358" ht="15.75" customHeight="1">
      <c r="A2358" s="3" t="s">
        <v>68</v>
      </c>
      <c r="B2358" s="3">
        <v>2016.0</v>
      </c>
      <c r="C2358" s="3" t="s">
        <v>10</v>
      </c>
      <c r="D2358" s="3">
        <v>185.2</v>
      </c>
      <c r="E2358" s="3">
        <v>384.4</v>
      </c>
      <c r="F2358" s="3">
        <v>208.2</v>
      </c>
      <c r="G2358" s="3">
        <v>4.0</v>
      </c>
      <c r="H2358" s="3">
        <v>39.0</v>
      </c>
    </row>
    <row r="2359" ht="15.75" customHeight="1">
      <c r="A2359" s="3" t="s">
        <v>68</v>
      </c>
      <c r="B2359" s="3">
        <v>2016.0</v>
      </c>
      <c r="C2359" s="3" t="s">
        <v>11</v>
      </c>
      <c r="D2359" s="3">
        <v>174.2</v>
      </c>
      <c r="E2359" s="3">
        <v>484.1</v>
      </c>
      <c r="F2359" s="3">
        <v>246.0</v>
      </c>
      <c r="G2359" s="3">
        <v>9.0</v>
      </c>
      <c r="H2359" s="3">
        <v>9.4</v>
      </c>
    </row>
    <row r="2360" ht="15.75" customHeight="1">
      <c r="A2360" s="3" t="s">
        <v>68</v>
      </c>
      <c r="B2360" s="3">
        <v>2016.0</v>
      </c>
      <c r="C2360" s="3" t="s">
        <v>13</v>
      </c>
      <c r="D2360" s="3">
        <v>160.8</v>
      </c>
      <c r="E2360" s="3">
        <v>370.6</v>
      </c>
      <c r="F2360" s="3">
        <v>132.6</v>
      </c>
      <c r="G2360" s="3">
        <v>2.0</v>
      </c>
      <c r="H2360" s="3">
        <v>33.4</v>
      </c>
    </row>
    <row r="2361" ht="15.75" customHeight="1">
      <c r="A2361" s="3" t="s">
        <v>68</v>
      </c>
      <c r="B2361" s="3">
        <v>2016.0</v>
      </c>
      <c r="C2361" s="3" t="s">
        <v>14</v>
      </c>
      <c r="D2361" s="3">
        <v>176.4</v>
      </c>
      <c r="E2361" s="3">
        <v>405.4</v>
      </c>
      <c r="F2361" s="3">
        <v>159.5</v>
      </c>
      <c r="G2361" s="3">
        <v>9.0</v>
      </c>
      <c r="H2361" s="3">
        <v>30.2</v>
      </c>
    </row>
    <row r="2362" ht="15.75" customHeight="1">
      <c r="A2362" s="3" t="s">
        <v>68</v>
      </c>
      <c r="B2362" s="3">
        <v>2017.0</v>
      </c>
      <c r="C2362" s="3" t="s">
        <v>9</v>
      </c>
      <c r="D2362" s="3">
        <v>161.2</v>
      </c>
      <c r="E2362" s="3">
        <v>381.5</v>
      </c>
      <c r="F2362" s="3">
        <v>163.3</v>
      </c>
      <c r="G2362" s="3">
        <v>4.0</v>
      </c>
      <c r="H2362" s="3">
        <v>40.6</v>
      </c>
    </row>
    <row r="2363" ht="15.75" customHeight="1">
      <c r="A2363" s="3" t="s">
        <v>68</v>
      </c>
      <c r="B2363" s="3">
        <v>2017.0</v>
      </c>
      <c r="C2363" s="3" t="s">
        <v>10</v>
      </c>
      <c r="D2363" s="3">
        <v>220.0</v>
      </c>
      <c r="E2363" s="3">
        <v>459.3</v>
      </c>
      <c r="F2363" s="3">
        <v>273.2</v>
      </c>
      <c r="G2363" s="3">
        <v>11.0</v>
      </c>
      <c r="H2363" s="3">
        <v>6.2</v>
      </c>
    </row>
    <row r="2364" ht="15.75" customHeight="1">
      <c r="A2364" s="3" t="s">
        <v>68</v>
      </c>
      <c r="B2364" s="3">
        <v>2017.0</v>
      </c>
      <c r="C2364" s="3" t="s">
        <v>11</v>
      </c>
      <c r="D2364" s="3">
        <v>168.9</v>
      </c>
      <c r="E2364" s="3">
        <v>378.8</v>
      </c>
      <c r="F2364" s="3">
        <v>211.5</v>
      </c>
      <c r="G2364" s="3">
        <v>2.0</v>
      </c>
      <c r="H2364" s="3">
        <v>22.1</v>
      </c>
    </row>
    <row r="2365" ht="15.75" customHeight="1">
      <c r="A2365" s="3" t="s">
        <v>68</v>
      </c>
      <c r="B2365" s="3">
        <v>2017.0</v>
      </c>
      <c r="C2365" s="3" t="s">
        <v>13</v>
      </c>
      <c r="D2365" s="3">
        <v>142.3</v>
      </c>
      <c r="E2365" s="3">
        <v>396.9</v>
      </c>
      <c r="F2365" s="3">
        <v>166.6</v>
      </c>
      <c r="G2365" s="3">
        <v>6.0</v>
      </c>
      <c r="H2365" s="3">
        <v>22.2</v>
      </c>
    </row>
    <row r="2366" ht="15.75" customHeight="1">
      <c r="A2366" s="3" t="s">
        <v>68</v>
      </c>
      <c r="B2366" s="3">
        <v>2017.0</v>
      </c>
      <c r="C2366" s="3" t="s">
        <v>14</v>
      </c>
      <c r="D2366" s="3">
        <v>215.8</v>
      </c>
      <c r="E2366" s="3">
        <v>526.1</v>
      </c>
      <c r="F2366" s="3">
        <v>256.4</v>
      </c>
      <c r="G2366" s="3">
        <v>11.0</v>
      </c>
      <c r="H2366" s="3">
        <v>30.9</v>
      </c>
    </row>
    <row r="2367" ht="15.75" customHeight="1">
      <c r="A2367" s="3" t="s">
        <v>68</v>
      </c>
      <c r="B2367" s="3">
        <v>2018.0</v>
      </c>
      <c r="C2367" s="3" t="s">
        <v>9</v>
      </c>
      <c r="D2367" s="3">
        <v>205.5</v>
      </c>
      <c r="E2367" s="3">
        <v>502.2</v>
      </c>
      <c r="F2367" s="3">
        <v>172.8</v>
      </c>
      <c r="G2367" s="3">
        <v>11.0</v>
      </c>
      <c r="H2367" s="3">
        <v>5.1</v>
      </c>
    </row>
    <row r="2368" ht="15.75" customHeight="1">
      <c r="A2368" s="3" t="s">
        <v>68</v>
      </c>
      <c r="B2368" s="3">
        <v>2018.0</v>
      </c>
      <c r="C2368" s="3" t="s">
        <v>10</v>
      </c>
      <c r="D2368" s="3">
        <v>217.6</v>
      </c>
      <c r="E2368" s="3">
        <v>464.1</v>
      </c>
      <c r="F2368" s="3">
        <v>217.8</v>
      </c>
      <c r="G2368" s="3">
        <v>7.0</v>
      </c>
      <c r="H2368" s="3">
        <v>10.0</v>
      </c>
    </row>
    <row r="2369" ht="15.75" customHeight="1">
      <c r="A2369" s="3" t="s">
        <v>68</v>
      </c>
      <c r="B2369" s="3">
        <v>2018.0</v>
      </c>
      <c r="C2369" s="3" t="s">
        <v>11</v>
      </c>
      <c r="D2369" s="3">
        <v>291.5</v>
      </c>
      <c r="E2369" s="3">
        <v>594.7</v>
      </c>
      <c r="F2369" s="3">
        <v>344.7</v>
      </c>
      <c r="G2369" s="3">
        <v>10.0</v>
      </c>
      <c r="H2369" s="3">
        <v>49.8</v>
      </c>
    </row>
    <row r="2370" ht="15.75" customHeight="1">
      <c r="A2370" s="3" t="s">
        <v>68</v>
      </c>
      <c r="B2370" s="3">
        <v>2018.0</v>
      </c>
      <c r="C2370" s="3" t="s">
        <v>13</v>
      </c>
      <c r="D2370" s="3">
        <v>161.4</v>
      </c>
      <c r="E2370" s="3">
        <v>424.2</v>
      </c>
      <c r="F2370" s="3">
        <v>134.0</v>
      </c>
      <c r="G2370" s="3">
        <v>4.0</v>
      </c>
      <c r="H2370" s="3">
        <v>22.7</v>
      </c>
    </row>
    <row r="2371" ht="15.75" customHeight="1">
      <c r="A2371" s="3" t="s">
        <v>68</v>
      </c>
      <c r="B2371" s="3">
        <v>2018.0</v>
      </c>
      <c r="C2371" s="3" t="s">
        <v>14</v>
      </c>
      <c r="D2371" s="3">
        <v>175.9</v>
      </c>
      <c r="E2371" s="3">
        <v>493.1</v>
      </c>
      <c r="F2371" s="3">
        <v>249.8</v>
      </c>
      <c r="G2371" s="3">
        <v>5.0</v>
      </c>
      <c r="H2371" s="3">
        <v>8.1</v>
      </c>
    </row>
    <row r="2372" ht="15.75" customHeight="1">
      <c r="A2372" s="3" t="s">
        <v>68</v>
      </c>
      <c r="B2372" s="3">
        <v>2019.0</v>
      </c>
      <c r="C2372" s="3" t="s">
        <v>9</v>
      </c>
      <c r="D2372" s="3">
        <v>207.7</v>
      </c>
      <c r="E2372" s="3">
        <v>601.1</v>
      </c>
      <c r="F2372" s="3">
        <v>238.4</v>
      </c>
      <c r="G2372" s="3">
        <v>9.0</v>
      </c>
      <c r="H2372" s="3">
        <v>9.2</v>
      </c>
    </row>
    <row r="2373" ht="15.75" customHeight="1">
      <c r="A2373" s="3" t="s">
        <v>68</v>
      </c>
      <c r="B2373" s="3">
        <v>2019.0</v>
      </c>
      <c r="C2373" s="3" t="s">
        <v>10</v>
      </c>
      <c r="D2373" s="3">
        <v>163.6</v>
      </c>
      <c r="E2373" s="3">
        <v>472.1</v>
      </c>
      <c r="F2373" s="3">
        <v>150.2</v>
      </c>
      <c r="G2373" s="3">
        <v>7.0</v>
      </c>
      <c r="H2373" s="3">
        <v>9.4</v>
      </c>
    </row>
    <row r="2374" ht="15.75" customHeight="1">
      <c r="A2374" s="3" t="s">
        <v>68</v>
      </c>
      <c r="B2374" s="3">
        <v>2019.0</v>
      </c>
      <c r="C2374" s="3" t="s">
        <v>11</v>
      </c>
      <c r="D2374" s="3">
        <v>203.1</v>
      </c>
      <c r="E2374" s="3">
        <v>445.8</v>
      </c>
      <c r="F2374" s="3">
        <v>178.7</v>
      </c>
      <c r="G2374" s="3">
        <v>4.0</v>
      </c>
      <c r="H2374" s="3">
        <v>38.7</v>
      </c>
    </row>
    <row r="2375" ht="15.75" customHeight="1">
      <c r="A2375" s="3" t="s">
        <v>68</v>
      </c>
      <c r="B2375" s="3">
        <v>2019.0</v>
      </c>
      <c r="C2375" s="3" t="s">
        <v>13</v>
      </c>
      <c r="D2375" s="3">
        <v>186.4</v>
      </c>
      <c r="E2375" s="3">
        <v>380.2</v>
      </c>
      <c r="F2375" s="3">
        <v>277.7</v>
      </c>
      <c r="G2375" s="3">
        <v>6.0</v>
      </c>
      <c r="H2375" s="3">
        <v>42.7</v>
      </c>
    </row>
    <row r="2376" ht="15.75" customHeight="1">
      <c r="A2376" s="3" t="s">
        <v>68</v>
      </c>
      <c r="B2376" s="3">
        <v>2019.0</v>
      </c>
      <c r="C2376" s="3" t="s">
        <v>14</v>
      </c>
      <c r="D2376" s="3">
        <v>233.3</v>
      </c>
      <c r="E2376" s="3">
        <v>516.8</v>
      </c>
      <c r="F2376" s="3">
        <v>331.9</v>
      </c>
      <c r="G2376" s="3">
        <v>5.0</v>
      </c>
      <c r="H2376" s="3">
        <v>3.4</v>
      </c>
    </row>
    <row r="2377" ht="15.75" customHeight="1">
      <c r="A2377" s="3" t="s">
        <v>68</v>
      </c>
      <c r="B2377" s="3">
        <v>2020.0</v>
      </c>
      <c r="C2377" s="3" t="s">
        <v>9</v>
      </c>
      <c r="D2377" s="3">
        <v>314.4</v>
      </c>
      <c r="E2377" s="3">
        <v>899.8</v>
      </c>
      <c r="F2377" s="3">
        <v>337.4</v>
      </c>
      <c r="G2377" s="3">
        <v>5.0</v>
      </c>
      <c r="H2377" s="3">
        <v>4.8</v>
      </c>
    </row>
    <row r="2378" ht="15.75" customHeight="1">
      <c r="A2378" s="3" t="s">
        <v>68</v>
      </c>
      <c r="B2378" s="3">
        <v>2020.0</v>
      </c>
      <c r="C2378" s="3" t="s">
        <v>10</v>
      </c>
      <c r="D2378" s="3">
        <v>222.7</v>
      </c>
      <c r="E2378" s="3">
        <v>537.1</v>
      </c>
      <c r="F2378" s="3">
        <v>189.6</v>
      </c>
      <c r="G2378" s="3">
        <v>11.0</v>
      </c>
      <c r="H2378" s="3">
        <v>3.0</v>
      </c>
    </row>
    <row r="2379" ht="15.75" customHeight="1">
      <c r="A2379" s="3" t="s">
        <v>68</v>
      </c>
      <c r="B2379" s="3">
        <v>2020.0</v>
      </c>
      <c r="C2379" s="3" t="s">
        <v>11</v>
      </c>
      <c r="D2379" s="3">
        <v>255.1</v>
      </c>
      <c r="E2379" s="3">
        <v>563.6</v>
      </c>
      <c r="F2379" s="3">
        <v>262.7</v>
      </c>
      <c r="G2379" s="3">
        <v>8.0</v>
      </c>
      <c r="H2379" s="3">
        <v>11.7</v>
      </c>
    </row>
    <row r="2380" ht="15.75" customHeight="1">
      <c r="A2380" s="3" t="s">
        <v>68</v>
      </c>
      <c r="B2380" s="3">
        <v>2020.0</v>
      </c>
      <c r="C2380" s="3" t="s">
        <v>13</v>
      </c>
      <c r="D2380" s="3">
        <v>201.7</v>
      </c>
      <c r="E2380" s="3">
        <v>540.1</v>
      </c>
      <c r="F2380" s="3">
        <v>295.2</v>
      </c>
      <c r="G2380" s="3">
        <v>6.0</v>
      </c>
      <c r="H2380" s="3">
        <v>18.0</v>
      </c>
    </row>
    <row r="2381" ht="15.75" customHeight="1">
      <c r="A2381" s="3" t="s">
        <v>68</v>
      </c>
      <c r="B2381" s="3">
        <v>2020.0</v>
      </c>
      <c r="C2381" s="3" t="s">
        <v>14</v>
      </c>
      <c r="D2381" s="3">
        <v>274.8</v>
      </c>
      <c r="E2381" s="3">
        <v>756.1</v>
      </c>
      <c r="F2381" s="3">
        <v>283.4</v>
      </c>
      <c r="G2381" s="3">
        <v>7.0</v>
      </c>
      <c r="H2381" s="3">
        <v>3.4</v>
      </c>
    </row>
    <row r="2382" ht="15.75" customHeight="1">
      <c r="A2382" s="3" t="s">
        <v>68</v>
      </c>
      <c r="B2382" s="3">
        <v>2021.0</v>
      </c>
      <c r="C2382" s="3" t="s">
        <v>9</v>
      </c>
      <c r="D2382" s="3">
        <v>291.2</v>
      </c>
      <c r="E2382" s="3">
        <v>846.3</v>
      </c>
      <c r="F2382" s="3">
        <v>428.4</v>
      </c>
      <c r="G2382" s="3">
        <v>10.0</v>
      </c>
      <c r="H2382" s="3">
        <v>46.7</v>
      </c>
    </row>
    <row r="2383" ht="15.75" customHeight="1">
      <c r="A2383" s="3" t="s">
        <v>68</v>
      </c>
      <c r="B2383" s="3">
        <v>2021.0</v>
      </c>
      <c r="C2383" s="3" t="s">
        <v>10</v>
      </c>
      <c r="D2383" s="3">
        <v>236.5</v>
      </c>
      <c r="E2383" s="3">
        <v>549.2</v>
      </c>
      <c r="F2383" s="3">
        <v>328.7</v>
      </c>
      <c r="G2383" s="3">
        <v>8.0</v>
      </c>
      <c r="H2383" s="3">
        <v>6.1</v>
      </c>
    </row>
    <row r="2384" ht="15.75" customHeight="1">
      <c r="A2384" s="3" t="s">
        <v>68</v>
      </c>
      <c r="B2384" s="3">
        <v>2021.0</v>
      </c>
      <c r="C2384" s="3" t="s">
        <v>11</v>
      </c>
      <c r="D2384" s="3">
        <v>276.4</v>
      </c>
      <c r="E2384" s="3">
        <v>689.6</v>
      </c>
      <c r="F2384" s="3">
        <v>312.3</v>
      </c>
      <c r="G2384" s="3">
        <v>7.0</v>
      </c>
      <c r="H2384" s="3">
        <v>47.0</v>
      </c>
    </row>
    <row r="2385" ht="15.75" customHeight="1">
      <c r="A2385" s="3" t="s">
        <v>68</v>
      </c>
      <c r="B2385" s="3">
        <v>2021.0</v>
      </c>
      <c r="C2385" s="3" t="s">
        <v>13</v>
      </c>
      <c r="D2385" s="3">
        <v>269.9</v>
      </c>
      <c r="E2385" s="3">
        <v>736.1</v>
      </c>
      <c r="F2385" s="3">
        <v>274.3</v>
      </c>
      <c r="G2385" s="3">
        <v>8.0</v>
      </c>
      <c r="H2385" s="3">
        <v>24.0</v>
      </c>
    </row>
    <row r="2386" ht="15.75" customHeight="1">
      <c r="A2386" s="3" t="s">
        <v>68</v>
      </c>
      <c r="B2386" s="3">
        <v>2021.0</v>
      </c>
      <c r="C2386" s="3" t="s">
        <v>14</v>
      </c>
      <c r="D2386" s="3">
        <v>289.6</v>
      </c>
      <c r="E2386" s="3">
        <v>782.5</v>
      </c>
      <c r="F2386" s="3">
        <v>377.4</v>
      </c>
      <c r="G2386" s="3">
        <v>7.0</v>
      </c>
      <c r="H2386" s="3">
        <v>49.1</v>
      </c>
    </row>
    <row r="2387" ht="15.75" customHeight="1">
      <c r="A2387" s="3" t="s">
        <v>68</v>
      </c>
      <c r="B2387" s="3">
        <v>2022.0</v>
      </c>
      <c r="C2387" s="3" t="s">
        <v>9</v>
      </c>
      <c r="D2387" s="3">
        <v>409.7</v>
      </c>
      <c r="E2387" s="3">
        <v>1081.8</v>
      </c>
      <c r="F2387" s="3">
        <v>549.4</v>
      </c>
      <c r="G2387" s="3">
        <v>5.0</v>
      </c>
      <c r="H2387" s="3">
        <v>31.0</v>
      </c>
    </row>
    <row r="2388" ht="15.75" customHeight="1">
      <c r="A2388" s="3" t="s">
        <v>68</v>
      </c>
      <c r="B2388" s="3">
        <v>2022.0</v>
      </c>
      <c r="C2388" s="3" t="s">
        <v>10</v>
      </c>
      <c r="D2388" s="3">
        <v>344.0</v>
      </c>
      <c r="E2388" s="3">
        <v>912.8</v>
      </c>
      <c r="F2388" s="3">
        <v>342.1</v>
      </c>
      <c r="G2388" s="3">
        <v>9.0</v>
      </c>
      <c r="H2388" s="3">
        <v>17.4</v>
      </c>
    </row>
    <row r="2389" ht="15.75" customHeight="1">
      <c r="A2389" s="3" t="s">
        <v>68</v>
      </c>
      <c r="B2389" s="3">
        <v>2022.0</v>
      </c>
      <c r="C2389" s="3" t="s">
        <v>11</v>
      </c>
      <c r="D2389" s="3">
        <v>327.9</v>
      </c>
      <c r="E2389" s="3">
        <v>903.3</v>
      </c>
      <c r="F2389" s="3">
        <v>302.3</v>
      </c>
      <c r="G2389" s="3">
        <v>6.0</v>
      </c>
      <c r="H2389" s="3">
        <v>16.1</v>
      </c>
    </row>
    <row r="2390" ht="15.75" customHeight="1">
      <c r="A2390" s="3" t="s">
        <v>68</v>
      </c>
      <c r="B2390" s="3">
        <v>2022.0</v>
      </c>
      <c r="C2390" s="3" t="s">
        <v>13</v>
      </c>
      <c r="D2390" s="3">
        <v>292.1</v>
      </c>
      <c r="E2390" s="3">
        <v>871.6</v>
      </c>
      <c r="F2390" s="3">
        <v>350.4</v>
      </c>
      <c r="G2390" s="3">
        <v>8.0</v>
      </c>
      <c r="H2390" s="3">
        <v>28.0</v>
      </c>
    </row>
    <row r="2391" ht="15.75" customHeight="1">
      <c r="A2391" s="3" t="s">
        <v>68</v>
      </c>
      <c r="B2391" s="3">
        <v>2022.0</v>
      </c>
      <c r="C2391" s="3" t="s">
        <v>14</v>
      </c>
      <c r="D2391" s="3">
        <v>301.4</v>
      </c>
      <c r="E2391" s="3">
        <v>723.9</v>
      </c>
      <c r="F2391" s="3">
        <v>337.8</v>
      </c>
      <c r="G2391" s="3">
        <v>11.0</v>
      </c>
      <c r="H2391" s="3">
        <v>4.0</v>
      </c>
    </row>
    <row r="2392" ht="15.75" customHeight="1">
      <c r="A2392" s="3" t="s">
        <v>68</v>
      </c>
      <c r="B2392" s="3">
        <v>2023.0</v>
      </c>
      <c r="C2392" s="3" t="s">
        <v>9</v>
      </c>
      <c r="D2392" s="3">
        <v>371.3</v>
      </c>
      <c r="E2392" s="3">
        <v>798.0</v>
      </c>
      <c r="F2392" s="3">
        <v>553.1</v>
      </c>
      <c r="G2392" s="3">
        <v>10.0</v>
      </c>
      <c r="H2392" s="3">
        <v>13.9</v>
      </c>
    </row>
    <row r="2393" ht="15.75" customHeight="1">
      <c r="A2393" s="3" t="s">
        <v>68</v>
      </c>
      <c r="B2393" s="3">
        <v>2023.0</v>
      </c>
      <c r="C2393" s="3" t="s">
        <v>10</v>
      </c>
      <c r="D2393" s="3">
        <v>363.1</v>
      </c>
      <c r="E2393" s="3">
        <v>866.6</v>
      </c>
      <c r="F2393" s="3">
        <v>485.0</v>
      </c>
      <c r="G2393" s="3">
        <v>7.0</v>
      </c>
      <c r="H2393" s="3">
        <v>35.3</v>
      </c>
    </row>
    <row r="2394" ht="15.75" customHeight="1">
      <c r="A2394" s="3" t="s">
        <v>68</v>
      </c>
      <c r="B2394" s="3">
        <v>2023.0</v>
      </c>
      <c r="C2394" s="3" t="s">
        <v>11</v>
      </c>
      <c r="D2394" s="3">
        <v>334.4</v>
      </c>
      <c r="E2394" s="3">
        <v>723.8</v>
      </c>
      <c r="F2394" s="3">
        <v>298.1</v>
      </c>
      <c r="G2394" s="3">
        <v>5.0</v>
      </c>
      <c r="H2394" s="3">
        <v>24.6</v>
      </c>
    </row>
    <row r="2395" ht="15.75" customHeight="1">
      <c r="A2395" s="3" t="s">
        <v>68</v>
      </c>
      <c r="B2395" s="3">
        <v>2023.0</v>
      </c>
      <c r="C2395" s="3" t="s">
        <v>13</v>
      </c>
      <c r="D2395" s="3">
        <v>373.9</v>
      </c>
      <c r="E2395" s="3">
        <v>789.7</v>
      </c>
      <c r="F2395" s="3">
        <v>466.7</v>
      </c>
      <c r="G2395" s="3">
        <v>8.0</v>
      </c>
      <c r="H2395" s="3">
        <v>39.2</v>
      </c>
    </row>
    <row r="2396" ht="15.75" customHeight="1">
      <c r="A2396" s="3" t="s">
        <v>68</v>
      </c>
      <c r="B2396" s="3">
        <v>2023.0</v>
      </c>
      <c r="C2396" s="3" t="s">
        <v>14</v>
      </c>
      <c r="D2396" s="3">
        <v>333.1</v>
      </c>
      <c r="E2396" s="3">
        <v>952.6</v>
      </c>
      <c r="F2396" s="3">
        <v>297.9</v>
      </c>
      <c r="G2396" s="3">
        <v>12.0</v>
      </c>
      <c r="H2396" s="3">
        <v>37.0</v>
      </c>
    </row>
    <row r="2397" ht="15.75" customHeight="1">
      <c r="A2397" s="3" t="s">
        <v>68</v>
      </c>
      <c r="B2397" s="3">
        <v>2024.0</v>
      </c>
      <c r="C2397" s="3" t="s">
        <v>9</v>
      </c>
      <c r="D2397" s="3">
        <v>343.1</v>
      </c>
      <c r="E2397" s="3">
        <v>852.5</v>
      </c>
      <c r="F2397" s="3">
        <v>475.0</v>
      </c>
      <c r="G2397" s="3">
        <v>5.0</v>
      </c>
      <c r="H2397" s="3">
        <v>6.7</v>
      </c>
    </row>
    <row r="2398" ht="15.75" customHeight="1">
      <c r="A2398" s="3" t="s">
        <v>68</v>
      </c>
      <c r="B2398" s="3">
        <v>2024.0</v>
      </c>
      <c r="C2398" s="3" t="s">
        <v>10</v>
      </c>
      <c r="D2398" s="3">
        <v>399.7</v>
      </c>
      <c r="E2398" s="3">
        <v>835.1</v>
      </c>
      <c r="F2398" s="3">
        <v>395.8</v>
      </c>
      <c r="G2398" s="3">
        <v>10.0</v>
      </c>
      <c r="H2398" s="3">
        <v>31.9</v>
      </c>
    </row>
    <row r="2399" ht="15.75" customHeight="1">
      <c r="A2399" s="3" t="s">
        <v>68</v>
      </c>
      <c r="B2399" s="3">
        <v>2024.0</v>
      </c>
      <c r="C2399" s="3" t="s">
        <v>11</v>
      </c>
      <c r="D2399" s="3">
        <v>384.1</v>
      </c>
      <c r="E2399" s="3">
        <v>990.5</v>
      </c>
      <c r="F2399" s="3">
        <v>447.6</v>
      </c>
      <c r="G2399" s="3">
        <v>5.0</v>
      </c>
      <c r="H2399" s="3">
        <v>42.0</v>
      </c>
    </row>
    <row r="2400" ht="15.75" customHeight="1">
      <c r="A2400" s="3" t="s">
        <v>68</v>
      </c>
      <c r="B2400" s="3">
        <v>2024.0</v>
      </c>
      <c r="C2400" s="3" t="s">
        <v>13</v>
      </c>
      <c r="D2400" s="3">
        <v>391.4</v>
      </c>
      <c r="E2400" s="3">
        <v>932.0</v>
      </c>
      <c r="F2400" s="3">
        <v>526.2</v>
      </c>
      <c r="G2400" s="3">
        <v>6.0</v>
      </c>
      <c r="H2400" s="3">
        <v>18.0</v>
      </c>
    </row>
    <row r="2401" ht="15.75" customHeight="1">
      <c r="A2401" s="3" t="s">
        <v>68</v>
      </c>
      <c r="B2401" s="3">
        <v>2024.0</v>
      </c>
      <c r="C2401" s="3" t="s">
        <v>14</v>
      </c>
      <c r="D2401" s="3">
        <v>345.0</v>
      </c>
      <c r="E2401" s="3">
        <v>845.4</v>
      </c>
      <c r="F2401" s="3">
        <v>438.6</v>
      </c>
      <c r="G2401" s="3">
        <v>5.0</v>
      </c>
      <c r="H2401" s="3">
        <v>26.3</v>
      </c>
    </row>
    <row r="2402" ht="15.75" customHeight="1">
      <c r="A2402" s="3" t="s">
        <v>69</v>
      </c>
      <c r="B2402" s="3">
        <v>2015.0</v>
      </c>
      <c r="C2402" s="3" t="s">
        <v>9</v>
      </c>
      <c r="D2402" s="3">
        <v>101.4</v>
      </c>
      <c r="E2402" s="3">
        <v>222.4</v>
      </c>
      <c r="F2402" s="3">
        <v>128.5</v>
      </c>
      <c r="G2402" s="3">
        <v>9.0</v>
      </c>
      <c r="H2402" s="3">
        <v>35.0</v>
      </c>
    </row>
    <row r="2403" ht="15.75" customHeight="1">
      <c r="A2403" s="3" t="s">
        <v>69</v>
      </c>
      <c r="B2403" s="3">
        <v>2015.0</v>
      </c>
      <c r="C2403" s="3" t="s">
        <v>10</v>
      </c>
      <c r="D2403" s="3">
        <v>165.6</v>
      </c>
      <c r="E2403" s="3">
        <v>416.2</v>
      </c>
      <c r="F2403" s="3">
        <v>161.0</v>
      </c>
      <c r="G2403" s="3">
        <v>8.0</v>
      </c>
      <c r="H2403" s="3">
        <v>21.0</v>
      </c>
    </row>
    <row r="2404" ht="15.75" customHeight="1">
      <c r="A2404" s="3" t="s">
        <v>69</v>
      </c>
      <c r="B2404" s="3">
        <v>2015.0</v>
      </c>
      <c r="C2404" s="3" t="s">
        <v>11</v>
      </c>
      <c r="D2404" s="3">
        <v>70.3</v>
      </c>
      <c r="E2404" s="3">
        <v>202.5</v>
      </c>
      <c r="F2404" s="3">
        <v>103.0</v>
      </c>
      <c r="G2404" s="3">
        <v>5.0</v>
      </c>
      <c r="H2404" s="3">
        <v>44.2</v>
      </c>
    </row>
    <row r="2405" ht="15.75" customHeight="1">
      <c r="A2405" s="3" t="s">
        <v>69</v>
      </c>
      <c r="B2405" s="3">
        <v>2015.0</v>
      </c>
      <c r="C2405" s="3" t="s">
        <v>13</v>
      </c>
      <c r="D2405" s="3">
        <v>49.7</v>
      </c>
      <c r="E2405" s="3">
        <v>140.2</v>
      </c>
      <c r="F2405" s="3">
        <v>58.7</v>
      </c>
      <c r="G2405" s="3">
        <v>9.0</v>
      </c>
      <c r="H2405" s="3">
        <v>19.2</v>
      </c>
    </row>
    <row r="2406" ht="15.75" customHeight="1">
      <c r="A2406" s="3" t="s">
        <v>69</v>
      </c>
      <c r="B2406" s="3">
        <v>2015.0</v>
      </c>
      <c r="C2406" s="3" t="s">
        <v>14</v>
      </c>
      <c r="D2406" s="3">
        <v>160.6</v>
      </c>
      <c r="E2406" s="3">
        <v>430.1</v>
      </c>
      <c r="F2406" s="3">
        <v>205.4</v>
      </c>
      <c r="G2406" s="3">
        <v>9.0</v>
      </c>
      <c r="H2406" s="3">
        <v>22.7</v>
      </c>
    </row>
    <row r="2407" ht="15.75" customHeight="1">
      <c r="A2407" s="3" t="s">
        <v>69</v>
      </c>
      <c r="B2407" s="3">
        <v>2016.0</v>
      </c>
      <c r="C2407" s="3" t="s">
        <v>9</v>
      </c>
      <c r="D2407" s="3">
        <v>115.3</v>
      </c>
      <c r="E2407" s="3">
        <v>321.6</v>
      </c>
      <c r="F2407" s="3">
        <v>118.9</v>
      </c>
      <c r="G2407" s="3">
        <v>8.0</v>
      </c>
      <c r="H2407" s="3">
        <v>7.7</v>
      </c>
    </row>
    <row r="2408" ht="15.75" customHeight="1">
      <c r="A2408" s="3" t="s">
        <v>69</v>
      </c>
      <c r="B2408" s="3">
        <v>2016.0</v>
      </c>
      <c r="C2408" s="3" t="s">
        <v>10</v>
      </c>
      <c r="D2408" s="3">
        <v>202.7</v>
      </c>
      <c r="E2408" s="3">
        <v>484.4</v>
      </c>
      <c r="F2408" s="3">
        <v>232.9</v>
      </c>
      <c r="G2408" s="3">
        <v>6.0</v>
      </c>
      <c r="H2408" s="3">
        <v>31.7</v>
      </c>
    </row>
    <row r="2409" ht="15.75" customHeight="1">
      <c r="A2409" s="3" t="s">
        <v>69</v>
      </c>
      <c r="B2409" s="3">
        <v>2016.0</v>
      </c>
      <c r="C2409" s="3" t="s">
        <v>11</v>
      </c>
      <c r="D2409" s="3">
        <v>175.6</v>
      </c>
      <c r="E2409" s="3">
        <v>383.9</v>
      </c>
      <c r="F2409" s="3">
        <v>234.6</v>
      </c>
      <c r="G2409" s="3">
        <v>5.0</v>
      </c>
      <c r="H2409" s="3">
        <v>6.7</v>
      </c>
    </row>
    <row r="2410" ht="15.75" customHeight="1">
      <c r="A2410" s="3" t="s">
        <v>69</v>
      </c>
      <c r="B2410" s="3">
        <v>2016.0</v>
      </c>
      <c r="C2410" s="3" t="s">
        <v>13</v>
      </c>
      <c r="D2410" s="3">
        <v>126.9</v>
      </c>
      <c r="E2410" s="3">
        <v>372.0</v>
      </c>
      <c r="F2410" s="3">
        <v>128.6</v>
      </c>
      <c r="G2410" s="3">
        <v>7.0</v>
      </c>
      <c r="H2410" s="3">
        <v>38.3</v>
      </c>
    </row>
    <row r="2411" ht="15.75" customHeight="1">
      <c r="A2411" s="3" t="s">
        <v>69</v>
      </c>
      <c r="B2411" s="3">
        <v>2016.0</v>
      </c>
      <c r="C2411" s="3" t="s">
        <v>14</v>
      </c>
      <c r="D2411" s="3">
        <v>81.3</v>
      </c>
      <c r="E2411" s="3">
        <v>226.7</v>
      </c>
      <c r="F2411" s="3">
        <v>119.6</v>
      </c>
      <c r="G2411" s="3">
        <v>3.0</v>
      </c>
      <c r="H2411" s="3">
        <v>20.2</v>
      </c>
    </row>
    <row r="2412" ht="15.75" customHeight="1">
      <c r="A2412" s="3" t="s">
        <v>69</v>
      </c>
      <c r="B2412" s="3">
        <v>2017.0</v>
      </c>
      <c r="C2412" s="3" t="s">
        <v>9</v>
      </c>
      <c r="D2412" s="3">
        <v>220.5</v>
      </c>
      <c r="E2412" s="3">
        <v>500.4</v>
      </c>
      <c r="F2412" s="3">
        <v>220.2</v>
      </c>
      <c r="G2412" s="3">
        <v>9.0</v>
      </c>
      <c r="H2412" s="3">
        <v>11.0</v>
      </c>
    </row>
    <row r="2413" ht="15.75" customHeight="1">
      <c r="A2413" s="3" t="s">
        <v>69</v>
      </c>
      <c r="B2413" s="3">
        <v>2017.0</v>
      </c>
      <c r="C2413" s="3" t="s">
        <v>10</v>
      </c>
      <c r="D2413" s="3">
        <v>188.7</v>
      </c>
      <c r="E2413" s="3">
        <v>447.1</v>
      </c>
      <c r="F2413" s="3">
        <v>197.5</v>
      </c>
      <c r="G2413" s="3">
        <v>2.0</v>
      </c>
      <c r="H2413" s="3">
        <v>25.8</v>
      </c>
    </row>
    <row r="2414" ht="15.75" customHeight="1">
      <c r="A2414" s="3" t="s">
        <v>69</v>
      </c>
      <c r="B2414" s="3">
        <v>2017.0</v>
      </c>
      <c r="C2414" s="3" t="s">
        <v>11</v>
      </c>
      <c r="D2414" s="3">
        <v>182.8</v>
      </c>
      <c r="E2414" s="3">
        <v>513.2</v>
      </c>
      <c r="F2414" s="3">
        <v>269.9</v>
      </c>
      <c r="G2414" s="3">
        <v>9.0</v>
      </c>
      <c r="H2414" s="3">
        <v>16.1</v>
      </c>
    </row>
    <row r="2415" ht="15.75" customHeight="1">
      <c r="A2415" s="3" t="s">
        <v>69</v>
      </c>
      <c r="B2415" s="3">
        <v>2017.0</v>
      </c>
      <c r="C2415" s="3" t="s">
        <v>13</v>
      </c>
      <c r="D2415" s="3">
        <v>128.8</v>
      </c>
      <c r="E2415" s="3">
        <v>384.8</v>
      </c>
      <c r="F2415" s="3">
        <v>142.5</v>
      </c>
      <c r="G2415" s="3">
        <v>2.0</v>
      </c>
      <c r="H2415" s="3">
        <v>44.8</v>
      </c>
    </row>
    <row r="2416" ht="15.75" customHeight="1">
      <c r="A2416" s="3" t="s">
        <v>69</v>
      </c>
      <c r="B2416" s="3">
        <v>2017.0</v>
      </c>
      <c r="C2416" s="3" t="s">
        <v>14</v>
      </c>
      <c r="D2416" s="3">
        <v>119.9</v>
      </c>
      <c r="E2416" s="3">
        <v>282.2</v>
      </c>
      <c r="F2416" s="3">
        <v>117.0</v>
      </c>
      <c r="G2416" s="3">
        <v>6.0</v>
      </c>
      <c r="H2416" s="3">
        <v>14.4</v>
      </c>
    </row>
    <row r="2417" ht="15.75" customHeight="1">
      <c r="A2417" s="3" t="s">
        <v>69</v>
      </c>
      <c r="B2417" s="3">
        <v>2018.0</v>
      </c>
      <c r="C2417" s="3" t="s">
        <v>9</v>
      </c>
      <c r="D2417" s="3">
        <v>227.8</v>
      </c>
      <c r="E2417" s="3">
        <v>587.6</v>
      </c>
      <c r="F2417" s="3">
        <v>265.2</v>
      </c>
      <c r="G2417" s="3">
        <v>4.0</v>
      </c>
      <c r="H2417" s="3">
        <v>27.2</v>
      </c>
    </row>
    <row r="2418" ht="15.75" customHeight="1">
      <c r="A2418" s="3" t="s">
        <v>69</v>
      </c>
      <c r="B2418" s="3">
        <v>2018.0</v>
      </c>
      <c r="C2418" s="3" t="s">
        <v>10</v>
      </c>
      <c r="D2418" s="3">
        <v>216.8</v>
      </c>
      <c r="E2418" s="3">
        <v>437.6</v>
      </c>
      <c r="F2418" s="3">
        <v>182.8</v>
      </c>
      <c r="G2418" s="3">
        <v>9.0</v>
      </c>
      <c r="H2418" s="3">
        <v>10.2</v>
      </c>
    </row>
    <row r="2419" ht="15.75" customHeight="1">
      <c r="A2419" s="3" t="s">
        <v>69</v>
      </c>
      <c r="B2419" s="3">
        <v>2018.0</v>
      </c>
      <c r="C2419" s="3" t="s">
        <v>11</v>
      </c>
      <c r="D2419" s="3">
        <v>276.8</v>
      </c>
      <c r="E2419" s="3">
        <v>647.0</v>
      </c>
      <c r="F2419" s="3">
        <v>348.5</v>
      </c>
      <c r="G2419" s="3">
        <v>6.0</v>
      </c>
      <c r="H2419" s="3">
        <v>6.6</v>
      </c>
    </row>
    <row r="2420" ht="15.75" customHeight="1">
      <c r="A2420" s="3" t="s">
        <v>69</v>
      </c>
      <c r="B2420" s="3">
        <v>2018.0</v>
      </c>
      <c r="C2420" s="3" t="s">
        <v>13</v>
      </c>
      <c r="D2420" s="3">
        <v>128.6</v>
      </c>
      <c r="E2420" s="3">
        <v>320.5</v>
      </c>
      <c r="F2420" s="3">
        <v>181.5</v>
      </c>
      <c r="G2420" s="3">
        <v>5.0</v>
      </c>
      <c r="H2420" s="3">
        <v>38.8</v>
      </c>
    </row>
    <row r="2421" ht="15.75" customHeight="1">
      <c r="A2421" s="3" t="s">
        <v>69</v>
      </c>
      <c r="B2421" s="3">
        <v>2018.0</v>
      </c>
      <c r="C2421" s="3" t="s">
        <v>14</v>
      </c>
      <c r="D2421" s="3">
        <v>280.1</v>
      </c>
      <c r="E2421" s="3">
        <v>731.1</v>
      </c>
      <c r="F2421" s="3">
        <v>366.0</v>
      </c>
      <c r="G2421" s="3">
        <v>9.0</v>
      </c>
      <c r="H2421" s="3">
        <v>14.5</v>
      </c>
    </row>
    <row r="2422" ht="15.75" customHeight="1">
      <c r="A2422" s="3" t="s">
        <v>69</v>
      </c>
      <c r="B2422" s="3">
        <v>2019.0</v>
      </c>
      <c r="C2422" s="3" t="s">
        <v>9</v>
      </c>
      <c r="D2422" s="3">
        <v>237.6</v>
      </c>
      <c r="E2422" s="3">
        <v>559.0</v>
      </c>
      <c r="F2422" s="3">
        <v>266.3</v>
      </c>
      <c r="G2422" s="3">
        <v>4.0</v>
      </c>
      <c r="H2422" s="3">
        <v>4.2</v>
      </c>
    </row>
    <row r="2423" ht="15.75" customHeight="1">
      <c r="A2423" s="3" t="s">
        <v>69</v>
      </c>
      <c r="B2423" s="3">
        <v>2019.0</v>
      </c>
      <c r="C2423" s="3" t="s">
        <v>10</v>
      </c>
      <c r="D2423" s="3">
        <v>208.2</v>
      </c>
      <c r="E2423" s="3">
        <v>613.0</v>
      </c>
      <c r="F2423" s="3">
        <v>226.3</v>
      </c>
      <c r="G2423" s="3">
        <v>11.0</v>
      </c>
      <c r="H2423" s="3">
        <v>37.2</v>
      </c>
    </row>
    <row r="2424" ht="15.75" customHeight="1">
      <c r="A2424" s="3" t="s">
        <v>69</v>
      </c>
      <c r="B2424" s="3">
        <v>2019.0</v>
      </c>
      <c r="C2424" s="3" t="s">
        <v>11</v>
      </c>
      <c r="D2424" s="3">
        <v>264.4</v>
      </c>
      <c r="E2424" s="3">
        <v>776.3</v>
      </c>
      <c r="F2424" s="3">
        <v>389.1</v>
      </c>
      <c r="G2424" s="3">
        <v>5.0</v>
      </c>
      <c r="H2424" s="3">
        <v>47.9</v>
      </c>
    </row>
    <row r="2425" ht="15.75" customHeight="1">
      <c r="A2425" s="3" t="s">
        <v>69</v>
      </c>
      <c r="B2425" s="3">
        <v>2019.0</v>
      </c>
      <c r="C2425" s="3" t="s">
        <v>13</v>
      </c>
      <c r="D2425" s="3">
        <v>248.2</v>
      </c>
      <c r="E2425" s="3">
        <v>529.4</v>
      </c>
      <c r="F2425" s="3">
        <v>265.5</v>
      </c>
      <c r="G2425" s="3">
        <v>8.0</v>
      </c>
      <c r="H2425" s="3">
        <v>44.6</v>
      </c>
    </row>
    <row r="2426" ht="15.75" customHeight="1">
      <c r="A2426" s="3" t="s">
        <v>69</v>
      </c>
      <c r="B2426" s="3">
        <v>2019.0</v>
      </c>
      <c r="C2426" s="3" t="s">
        <v>14</v>
      </c>
      <c r="D2426" s="3">
        <v>203.8</v>
      </c>
      <c r="E2426" s="3">
        <v>500.2</v>
      </c>
      <c r="F2426" s="3">
        <v>264.9</v>
      </c>
      <c r="G2426" s="3">
        <v>6.0</v>
      </c>
      <c r="H2426" s="3">
        <v>34.0</v>
      </c>
    </row>
    <row r="2427" ht="15.75" customHeight="1">
      <c r="A2427" s="3" t="s">
        <v>69</v>
      </c>
      <c r="B2427" s="3">
        <v>2020.0</v>
      </c>
      <c r="C2427" s="3" t="s">
        <v>9</v>
      </c>
      <c r="D2427" s="3">
        <v>283.1</v>
      </c>
      <c r="E2427" s="3">
        <v>719.3</v>
      </c>
      <c r="F2427" s="3">
        <v>271.1</v>
      </c>
      <c r="G2427" s="3">
        <v>11.0</v>
      </c>
      <c r="H2427" s="3">
        <v>10.1</v>
      </c>
    </row>
    <row r="2428" ht="15.75" customHeight="1">
      <c r="A2428" s="3" t="s">
        <v>69</v>
      </c>
      <c r="B2428" s="3">
        <v>2020.0</v>
      </c>
      <c r="C2428" s="3" t="s">
        <v>10</v>
      </c>
      <c r="D2428" s="3">
        <v>248.1</v>
      </c>
      <c r="E2428" s="3">
        <v>543.1</v>
      </c>
      <c r="F2428" s="3">
        <v>305.6</v>
      </c>
      <c r="G2428" s="3">
        <v>4.0</v>
      </c>
      <c r="H2428" s="3">
        <v>12.3</v>
      </c>
    </row>
    <row r="2429" ht="15.75" customHeight="1">
      <c r="A2429" s="3" t="s">
        <v>69</v>
      </c>
      <c r="B2429" s="3">
        <v>2020.0</v>
      </c>
      <c r="C2429" s="3" t="s">
        <v>11</v>
      </c>
      <c r="D2429" s="3">
        <v>244.9</v>
      </c>
      <c r="E2429" s="3">
        <v>641.2</v>
      </c>
      <c r="F2429" s="3">
        <v>218.4</v>
      </c>
      <c r="G2429" s="3">
        <v>8.0</v>
      </c>
      <c r="H2429" s="3">
        <v>48.6</v>
      </c>
    </row>
    <row r="2430" ht="15.75" customHeight="1">
      <c r="A2430" s="3" t="s">
        <v>69</v>
      </c>
      <c r="B2430" s="3">
        <v>2020.0</v>
      </c>
      <c r="C2430" s="3" t="s">
        <v>13</v>
      </c>
      <c r="D2430" s="3">
        <v>234.7</v>
      </c>
      <c r="E2430" s="3">
        <v>646.1</v>
      </c>
      <c r="F2430" s="3">
        <v>223.7</v>
      </c>
      <c r="G2430" s="3">
        <v>6.0</v>
      </c>
      <c r="H2430" s="3">
        <v>17.4</v>
      </c>
    </row>
    <row r="2431" ht="15.75" customHeight="1">
      <c r="A2431" s="3" t="s">
        <v>69</v>
      </c>
      <c r="B2431" s="3">
        <v>2020.0</v>
      </c>
      <c r="C2431" s="3" t="s">
        <v>14</v>
      </c>
      <c r="D2431" s="3">
        <v>305.4</v>
      </c>
      <c r="E2431" s="3">
        <v>860.0</v>
      </c>
      <c r="F2431" s="3">
        <v>414.1</v>
      </c>
      <c r="G2431" s="3">
        <v>4.0</v>
      </c>
      <c r="H2431" s="3">
        <v>20.3</v>
      </c>
    </row>
    <row r="2432" ht="15.75" customHeight="1">
      <c r="A2432" s="3" t="s">
        <v>69</v>
      </c>
      <c r="B2432" s="3">
        <v>2021.0</v>
      </c>
      <c r="C2432" s="3" t="s">
        <v>9</v>
      </c>
      <c r="D2432" s="3">
        <v>343.6</v>
      </c>
      <c r="E2432" s="3">
        <v>903.6</v>
      </c>
      <c r="F2432" s="3">
        <v>468.1</v>
      </c>
      <c r="G2432" s="3">
        <v>4.0</v>
      </c>
      <c r="H2432" s="3">
        <v>23.1</v>
      </c>
    </row>
    <row r="2433" ht="15.75" customHeight="1">
      <c r="A2433" s="3" t="s">
        <v>69</v>
      </c>
      <c r="B2433" s="3">
        <v>2021.0</v>
      </c>
      <c r="C2433" s="3" t="s">
        <v>10</v>
      </c>
      <c r="D2433" s="3">
        <v>314.3</v>
      </c>
      <c r="E2433" s="3">
        <v>883.4</v>
      </c>
      <c r="F2433" s="3">
        <v>345.6</v>
      </c>
      <c r="G2433" s="3">
        <v>7.0</v>
      </c>
      <c r="H2433" s="3">
        <v>22.3</v>
      </c>
    </row>
    <row r="2434" ht="15.75" customHeight="1">
      <c r="A2434" s="3" t="s">
        <v>69</v>
      </c>
      <c r="B2434" s="3">
        <v>2021.0</v>
      </c>
      <c r="C2434" s="3" t="s">
        <v>11</v>
      </c>
      <c r="D2434" s="3">
        <v>310.9</v>
      </c>
      <c r="E2434" s="3">
        <v>691.5</v>
      </c>
      <c r="F2434" s="3">
        <v>326.9</v>
      </c>
      <c r="G2434" s="3">
        <v>7.0</v>
      </c>
      <c r="H2434" s="3">
        <v>13.1</v>
      </c>
    </row>
    <row r="2435" ht="15.75" customHeight="1">
      <c r="A2435" s="3" t="s">
        <v>69</v>
      </c>
      <c r="B2435" s="3">
        <v>2021.0</v>
      </c>
      <c r="C2435" s="3" t="s">
        <v>13</v>
      </c>
      <c r="D2435" s="3">
        <v>233.6</v>
      </c>
      <c r="E2435" s="3">
        <v>653.6</v>
      </c>
      <c r="F2435" s="3">
        <v>315.5</v>
      </c>
      <c r="G2435" s="3">
        <v>7.0</v>
      </c>
      <c r="H2435" s="3">
        <v>11.6</v>
      </c>
    </row>
    <row r="2436" ht="15.75" customHeight="1">
      <c r="A2436" s="3" t="s">
        <v>69</v>
      </c>
      <c r="B2436" s="3">
        <v>2021.0</v>
      </c>
      <c r="C2436" s="3" t="s">
        <v>14</v>
      </c>
      <c r="D2436" s="3">
        <v>352.3</v>
      </c>
      <c r="E2436" s="3">
        <v>961.7</v>
      </c>
      <c r="F2436" s="3">
        <v>466.6</v>
      </c>
      <c r="G2436" s="3">
        <v>12.0</v>
      </c>
      <c r="H2436" s="3">
        <v>44.7</v>
      </c>
    </row>
    <row r="2437" ht="15.75" customHeight="1">
      <c r="A2437" s="3" t="s">
        <v>69</v>
      </c>
      <c r="B2437" s="3">
        <v>2022.0</v>
      </c>
      <c r="C2437" s="3" t="s">
        <v>9</v>
      </c>
      <c r="D2437" s="3">
        <v>332.7</v>
      </c>
      <c r="E2437" s="3">
        <v>880.3</v>
      </c>
      <c r="F2437" s="3">
        <v>315.0</v>
      </c>
      <c r="G2437" s="3">
        <v>10.0</v>
      </c>
      <c r="H2437" s="3">
        <v>29.8</v>
      </c>
    </row>
    <row r="2438" ht="15.75" customHeight="1">
      <c r="A2438" s="3" t="s">
        <v>69</v>
      </c>
      <c r="B2438" s="3">
        <v>2022.0</v>
      </c>
      <c r="C2438" s="3" t="s">
        <v>10</v>
      </c>
      <c r="D2438" s="3">
        <v>276.4</v>
      </c>
      <c r="E2438" s="3">
        <v>594.6</v>
      </c>
      <c r="F2438" s="3">
        <v>277.2</v>
      </c>
      <c r="G2438" s="3">
        <v>5.0</v>
      </c>
      <c r="H2438" s="3">
        <v>3.1</v>
      </c>
    </row>
    <row r="2439" ht="15.75" customHeight="1">
      <c r="A2439" s="3" t="s">
        <v>69</v>
      </c>
      <c r="B2439" s="3">
        <v>2022.0</v>
      </c>
      <c r="C2439" s="3" t="s">
        <v>11</v>
      </c>
      <c r="D2439" s="3">
        <v>309.4</v>
      </c>
      <c r="E2439" s="3">
        <v>747.0</v>
      </c>
      <c r="F2439" s="3">
        <v>274.4</v>
      </c>
      <c r="G2439" s="3">
        <v>10.0</v>
      </c>
      <c r="H2439" s="3">
        <v>10.5</v>
      </c>
    </row>
    <row r="2440" ht="15.75" customHeight="1">
      <c r="A2440" s="3" t="s">
        <v>69</v>
      </c>
      <c r="B2440" s="3">
        <v>2022.0</v>
      </c>
      <c r="C2440" s="3" t="s">
        <v>13</v>
      </c>
      <c r="D2440" s="3">
        <v>295.3</v>
      </c>
      <c r="E2440" s="3">
        <v>851.7</v>
      </c>
      <c r="F2440" s="3">
        <v>277.5</v>
      </c>
      <c r="G2440" s="3">
        <v>6.0</v>
      </c>
      <c r="H2440" s="3">
        <v>21.2</v>
      </c>
    </row>
    <row r="2441" ht="15.75" customHeight="1">
      <c r="A2441" s="3" t="s">
        <v>69</v>
      </c>
      <c r="B2441" s="3">
        <v>2022.0</v>
      </c>
      <c r="C2441" s="3" t="s">
        <v>14</v>
      </c>
      <c r="D2441" s="3">
        <v>291.5</v>
      </c>
      <c r="E2441" s="3">
        <v>593.0</v>
      </c>
      <c r="F2441" s="3">
        <v>400.3</v>
      </c>
      <c r="G2441" s="3">
        <v>11.0</v>
      </c>
      <c r="H2441" s="3">
        <v>14.8</v>
      </c>
    </row>
    <row r="2442" ht="15.75" customHeight="1">
      <c r="A2442" s="3" t="s">
        <v>69</v>
      </c>
      <c r="B2442" s="3">
        <v>2023.0</v>
      </c>
      <c r="C2442" s="3" t="s">
        <v>9</v>
      </c>
      <c r="D2442" s="3">
        <v>249.7</v>
      </c>
      <c r="E2442" s="3">
        <v>721.6</v>
      </c>
      <c r="F2442" s="3">
        <v>276.2</v>
      </c>
      <c r="G2442" s="3">
        <v>5.0</v>
      </c>
      <c r="H2442" s="3">
        <v>11.0</v>
      </c>
    </row>
    <row r="2443" ht="15.75" customHeight="1">
      <c r="A2443" s="3" t="s">
        <v>69</v>
      </c>
      <c r="B2443" s="3">
        <v>2023.0</v>
      </c>
      <c r="C2443" s="3" t="s">
        <v>10</v>
      </c>
      <c r="D2443" s="3">
        <v>320.5</v>
      </c>
      <c r="E2443" s="3">
        <v>860.3</v>
      </c>
      <c r="F2443" s="3">
        <v>361.4</v>
      </c>
      <c r="G2443" s="3">
        <v>4.0</v>
      </c>
      <c r="H2443" s="3">
        <v>44.9</v>
      </c>
    </row>
    <row r="2444" ht="15.75" customHeight="1">
      <c r="A2444" s="3" t="s">
        <v>69</v>
      </c>
      <c r="B2444" s="3">
        <v>2023.0</v>
      </c>
      <c r="C2444" s="3" t="s">
        <v>11</v>
      </c>
      <c r="D2444" s="3">
        <v>351.0</v>
      </c>
      <c r="E2444" s="3">
        <v>758.1</v>
      </c>
      <c r="F2444" s="3">
        <v>282.7</v>
      </c>
      <c r="G2444" s="3">
        <v>9.0</v>
      </c>
      <c r="H2444" s="3">
        <v>20.3</v>
      </c>
    </row>
    <row r="2445" ht="15.75" customHeight="1">
      <c r="A2445" s="3" t="s">
        <v>69</v>
      </c>
      <c r="B2445" s="3">
        <v>2023.0</v>
      </c>
      <c r="C2445" s="3" t="s">
        <v>13</v>
      </c>
      <c r="D2445" s="3">
        <v>356.3</v>
      </c>
      <c r="E2445" s="3">
        <v>769.9</v>
      </c>
      <c r="F2445" s="3">
        <v>304.2</v>
      </c>
      <c r="G2445" s="3">
        <v>10.0</v>
      </c>
      <c r="H2445" s="3">
        <v>36.1</v>
      </c>
    </row>
    <row r="2446" ht="15.75" customHeight="1">
      <c r="A2446" s="3" t="s">
        <v>69</v>
      </c>
      <c r="B2446" s="3">
        <v>2023.0</v>
      </c>
      <c r="C2446" s="3" t="s">
        <v>14</v>
      </c>
      <c r="D2446" s="3">
        <v>364.8</v>
      </c>
      <c r="E2446" s="3">
        <v>830.7</v>
      </c>
      <c r="F2446" s="3">
        <v>432.5</v>
      </c>
      <c r="G2446" s="3">
        <v>7.0</v>
      </c>
      <c r="H2446" s="3">
        <v>47.2</v>
      </c>
    </row>
    <row r="2447" ht="15.75" customHeight="1">
      <c r="A2447" s="3" t="s">
        <v>69</v>
      </c>
      <c r="B2447" s="3">
        <v>2024.0</v>
      </c>
      <c r="C2447" s="3" t="s">
        <v>9</v>
      </c>
      <c r="D2447" s="3">
        <v>323.8</v>
      </c>
      <c r="E2447" s="3">
        <v>753.2</v>
      </c>
      <c r="F2447" s="3">
        <v>436.3</v>
      </c>
      <c r="G2447" s="3">
        <v>4.0</v>
      </c>
      <c r="H2447" s="3">
        <v>39.3</v>
      </c>
    </row>
    <row r="2448" ht="15.75" customHeight="1">
      <c r="A2448" s="3" t="s">
        <v>69</v>
      </c>
      <c r="B2448" s="3">
        <v>2024.0</v>
      </c>
      <c r="C2448" s="3" t="s">
        <v>10</v>
      </c>
      <c r="D2448" s="3">
        <v>416.2</v>
      </c>
      <c r="E2448" s="3">
        <v>1112.8</v>
      </c>
      <c r="F2448" s="3">
        <v>504.5</v>
      </c>
      <c r="G2448" s="3">
        <v>12.0</v>
      </c>
      <c r="H2448" s="3">
        <v>46.1</v>
      </c>
    </row>
    <row r="2449" ht="15.75" customHeight="1">
      <c r="A2449" s="3" t="s">
        <v>69</v>
      </c>
      <c r="B2449" s="3">
        <v>2024.0</v>
      </c>
      <c r="C2449" s="3" t="s">
        <v>11</v>
      </c>
      <c r="D2449" s="3">
        <v>295.9</v>
      </c>
      <c r="E2449" s="3">
        <v>665.4</v>
      </c>
      <c r="F2449" s="3">
        <v>355.1</v>
      </c>
      <c r="G2449" s="3">
        <v>8.0</v>
      </c>
      <c r="H2449" s="3">
        <v>12.2</v>
      </c>
    </row>
    <row r="2450" ht="15.75" customHeight="1">
      <c r="A2450" s="3" t="s">
        <v>69</v>
      </c>
      <c r="B2450" s="3">
        <v>2024.0</v>
      </c>
      <c r="C2450" s="3" t="s">
        <v>13</v>
      </c>
      <c r="D2450" s="3">
        <v>464.8</v>
      </c>
      <c r="E2450" s="3">
        <v>1086.7</v>
      </c>
      <c r="F2450" s="3">
        <v>395.2</v>
      </c>
      <c r="G2450" s="3">
        <v>6.0</v>
      </c>
      <c r="H2450" s="3">
        <v>38.9</v>
      </c>
    </row>
    <row r="2451" ht="15.75" customHeight="1">
      <c r="A2451" s="3" t="s">
        <v>69</v>
      </c>
      <c r="B2451" s="3">
        <v>2024.0</v>
      </c>
      <c r="C2451" s="3" t="s">
        <v>14</v>
      </c>
      <c r="D2451" s="3">
        <v>344.4</v>
      </c>
      <c r="E2451" s="3">
        <v>1004.0</v>
      </c>
      <c r="F2451" s="3">
        <v>392.0</v>
      </c>
      <c r="G2451" s="3">
        <v>7.0</v>
      </c>
      <c r="H2451" s="3">
        <v>24.8</v>
      </c>
    </row>
    <row r="2452" ht="15.75" customHeight="1">
      <c r="A2452" s="3" t="s">
        <v>70</v>
      </c>
      <c r="B2452" s="3">
        <v>2015.0</v>
      </c>
      <c r="C2452" s="3" t="s">
        <v>9</v>
      </c>
      <c r="D2452" s="3">
        <v>111.7</v>
      </c>
      <c r="E2452" s="3">
        <v>326.1</v>
      </c>
      <c r="F2452" s="3">
        <v>129.4</v>
      </c>
      <c r="G2452" s="3">
        <v>6.0</v>
      </c>
      <c r="H2452" s="3">
        <v>23.2</v>
      </c>
    </row>
    <row r="2453" ht="15.75" customHeight="1">
      <c r="A2453" s="3" t="s">
        <v>70</v>
      </c>
      <c r="B2453" s="3">
        <v>2015.0</v>
      </c>
      <c r="C2453" s="3" t="s">
        <v>10</v>
      </c>
      <c r="D2453" s="3">
        <v>125.4</v>
      </c>
      <c r="E2453" s="3">
        <v>255.6</v>
      </c>
      <c r="F2453" s="3">
        <v>138.4</v>
      </c>
      <c r="G2453" s="3">
        <v>6.0</v>
      </c>
      <c r="H2453" s="3">
        <v>17.3</v>
      </c>
    </row>
    <row r="2454" ht="15.75" customHeight="1">
      <c r="A2454" s="3" t="s">
        <v>70</v>
      </c>
      <c r="B2454" s="3">
        <v>2015.0</v>
      </c>
      <c r="C2454" s="3" t="s">
        <v>11</v>
      </c>
      <c r="D2454" s="3">
        <v>102.9</v>
      </c>
      <c r="E2454" s="3">
        <v>291.9</v>
      </c>
      <c r="F2454" s="3">
        <v>126.2</v>
      </c>
      <c r="G2454" s="3">
        <v>3.0</v>
      </c>
      <c r="H2454" s="3">
        <v>25.7</v>
      </c>
    </row>
    <row r="2455" ht="15.75" customHeight="1">
      <c r="A2455" s="3" t="s">
        <v>70</v>
      </c>
      <c r="B2455" s="3">
        <v>2015.0</v>
      </c>
      <c r="C2455" s="3" t="s">
        <v>13</v>
      </c>
      <c r="D2455" s="3">
        <v>144.9</v>
      </c>
      <c r="E2455" s="3">
        <v>348.1</v>
      </c>
      <c r="F2455" s="3">
        <v>211.2</v>
      </c>
      <c r="G2455" s="3">
        <v>9.0</v>
      </c>
      <c r="H2455" s="3">
        <v>19.9</v>
      </c>
    </row>
    <row r="2456" ht="15.75" customHeight="1">
      <c r="A2456" s="3" t="s">
        <v>70</v>
      </c>
      <c r="B2456" s="3">
        <v>2015.0</v>
      </c>
      <c r="C2456" s="3" t="s">
        <v>14</v>
      </c>
      <c r="D2456" s="3">
        <v>182.0</v>
      </c>
      <c r="E2456" s="3">
        <v>486.3</v>
      </c>
      <c r="F2456" s="3">
        <v>252.9</v>
      </c>
      <c r="G2456" s="3">
        <v>5.0</v>
      </c>
      <c r="H2456" s="3">
        <v>50.0</v>
      </c>
    </row>
    <row r="2457" ht="15.75" customHeight="1">
      <c r="A2457" s="3" t="s">
        <v>70</v>
      </c>
      <c r="B2457" s="3">
        <v>2016.0</v>
      </c>
      <c r="C2457" s="3" t="s">
        <v>9</v>
      </c>
      <c r="D2457" s="3">
        <v>126.2</v>
      </c>
      <c r="E2457" s="3">
        <v>278.7</v>
      </c>
      <c r="F2457" s="3">
        <v>115.3</v>
      </c>
      <c r="G2457" s="3">
        <v>3.0</v>
      </c>
      <c r="H2457" s="3">
        <v>32.3</v>
      </c>
    </row>
    <row r="2458" ht="15.75" customHeight="1">
      <c r="A2458" s="3" t="s">
        <v>70</v>
      </c>
      <c r="B2458" s="3">
        <v>2016.0</v>
      </c>
      <c r="C2458" s="3" t="s">
        <v>10</v>
      </c>
      <c r="D2458" s="3">
        <v>154.2</v>
      </c>
      <c r="E2458" s="3">
        <v>348.4</v>
      </c>
      <c r="F2458" s="3">
        <v>160.5</v>
      </c>
      <c r="G2458" s="3">
        <v>5.0</v>
      </c>
      <c r="H2458" s="3">
        <v>38.3</v>
      </c>
    </row>
    <row r="2459" ht="15.75" customHeight="1">
      <c r="A2459" s="3" t="s">
        <v>70</v>
      </c>
      <c r="B2459" s="3">
        <v>2016.0</v>
      </c>
      <c r="C2459" s="3" t="s">
        <v>11</v>
      </c>
      <c r="D2459" s="3">
        <v>167.1</v>
      </c>
      <c r="E2459" s="3">
        <v>387.0</v>
      </c>
      <c r="F2459" s="3">
        <v>237.6</v>
      </c>
      <c r="G2459" s="3">
        <v>9.0</v>
      </c>
      <c r="H2459" s="3">
        <v>42.9</v>
      </c>
    </row>
    <row r="2460" ht="15.75" customHeight="1">
      <c r="A2460" s="3" t="s">
        <v>70</v>
      </c>
      <c r="B2460" s="3">
        <v>2016.0</v>
      </c>
      <c r="C2460" s="3" t="s">
        <v>13</v>
      </c>
      <c r="D2460" s="3">
        <v>191.8</v>
      </c>
      <c r="E2460" s="3">
        <v>421.6</v>
      </c>
      <c r="F2460" s="3">
        <v>226.9</v>
      </c>
      <c r="G2460" s="3">
        <v>6.0</v>
      </c>
      <c r="H2460" s="3">
        <v>32.9</v>
      </c>
    </row>
    <row r="2461" ht="15.75" customHeight="1">
      <c r="A2461" s="3" t="s">
        <v>70</v>
      </c>
      <c r="B2461" s="3">
        <v>2016.0</v>
      </c>
      <c r="C2461" s="3" t="s">
        <v>14</v>
      </c>
      <c r="D2461" s="3">
        <v>107.4</v>
      </c>
      <c r="E2461" s="3">
        <v>219.5</v>
      </c>
      <c r="F2461" s="3">
        <v>145.7</v>
      </c>
      <c r="G2461" s="3">
        <v>3.0</v>
      </c>
      <c r="H2461" s="3">
        <v>13.3</v>
      </c>
    </row>
    <row r="2462" ht="15.75" customHeight="1">
      <c r="A2462" s="3" t="s">
        <v>70</v>
      </c>
      <c r="B2462" s="3">
        <v>2017.0</v>
      </c>
      <c r="C2462" s="3" t="s">
        <v>9</v>
      </c>
      <c r="D2462" s="3">
        <v>157.8</v>
      </c>
      <c r="E2462" s="3">
        <v>460.8</v>
      </c>
      <c r="F2462" s="3">
        <v>175.0</v>
      </c>
      <c r="G2462" s="3">
        <v>8.0</v>
      </c>
      <c r="H2462" s="3">
        <v>11.7</v>
      </c>
    </row>
    <row r="2463" ht="15.75" customHeight="1">
      <c r="A2463" s="3" t="s">
        <v>70</v>
      </c>
      <c r="B2463" s="3">
        <v>2017.0</v>
      </c>
      <c r="C2463" s="3" t="s">
        <v>10</v>
      </c>
      <c r="D2463" s="3">
        <v>217.1</v>
      </c>
      <c r="E2463" s="3">
        <v>489.9</v>
      </c>
      <c r="F2463" s="3">
        <v>275.7</v>
      </c>
      <c r="G2463" s="3">
        <v>3.0</v>
      </c>
      <c r="H2463" s="3">
        <v>11.0</v>
      </c>
    </row>
    <row r="2464" ht="15.75" customHeight="1">
      <c r="A2464" s="3" t="s">
        <v>70</v>
      </c>
      <c r="B2464" s="3">
        <v>2017.0</v>
      </c>
      <c r="C2464" s="3" t="s">
        <v>11</v>
      </c>
      <c r="D2464" s="3">
        <v>167.6</v>
      </c>
      <c r="E2464" s="3">
        <v>340.7</v>
      </c>
      <c r="F2464" s="3">
        <v>217.5</v>
      </c>
      <c r="G2464" s="3">
        <v>2.0</v>
      </c>
      <c r="H2464" s="3">
        <v>35.6</v>
      </c>
    </row>
    <row r="2465" ht="15.75" customHeight="1">
      <c r="A2465" s="3" t="s">
        <v>70</v>
      </c>
      <c r="B2465" s="3">
        <v>2017.0</v>
      </c>
      <c r="C2465" s="3" t="s">
        <v>13</v>
      </c>
      <c r="D2465" s="3">
        <v>159.7</v>
      </c>
      <c r="E2465" s="3">
        <v>463.8</v>
      </c>
      <c r="F2465" s="3">
        <v>205.7</v>
      </c>
      <c r="G2465" s="3">
        <v>9.0</v>
      </c>
      <c r="H2465" s="3">
        <v>41.8</v>
      </c>
    </row>
    <row r="2466" ht="15.75" customHeight="1">
      <c r="A2466" s="3" t="s">
        <v>70</v>
      </c>
      <c r="B2466" s="3">
        <v>2017.0</v>
      </c>
      <c r="C2466" s="3" t="s">
        <v>14</v>
      </c>
      <c r="D2466" s="3">
        <v>146.6</v>
      </c>
      <c r="E2466" s="3">
        <v>333.1</v>
      </c>
      <c r="F2466" s="3">
        <v>183.6</v>
      </c>
      <c r="G2466" s="3">
        <v>6.0</v>
      </c>
      <c r="H2466" s="3">
        <v>32.6</v>
      </c>
    </row>
    <row r="2467" ht="15.75" customHeight="1">
      <c r="A2467" s="3" t="s">
        <v>70</v>
      </c>
      <c r="B2467" s="3">
        <v>2018.0</v>
      </c>
      <c r="C2467" s="3" t="s">
        <v>9</v>
      </c>
      <c r="D2467" s="3">
        <v>243.3</v>
      </c>
      <c r="E2467" s="3">
        <v>651.3</v>
      </c>
      <c r="F2467" s="3">
        <v>318.5</v>
      </c>
      <c r="G2467" s="3">
        <v>9.0</v>
      </c>
      <c r="H2467" s="3">
        <v>45.3</v>
      </c>
    </row>
    <row r="2468" ht="15.75" customHeight="1">
      <c r="A2468" s="3" t="s">
        <v>70</v>
      </c>
      <c r="B2468" s="3">
        <v>2018.0</v>
      </c>
      <c r="C2468" s="3" t="s">
        <v>10</v>
      </c>
      <c r="D2468" s="3">
        <v>209.3</v>
      </c>
      <c r="E2468" s="3">
        <v>420.5</v>
      </c>
      <c r="F2468" s="3">
        <v>195.1</v>
      </c>
      <c r="G2468" s="3">
        <v>5.0</v>
      </c>
      <c r="H2468" s="3">
        <v>29.5</v>
      </c>
    </row>
    <row r="2469" ht="15.75" customHeight="1">
      <c r="A2469" s="3" t="s">
        <v>70</v>
      </c>
      <c r="B2469" s="3">
        <v>2018.0</v>
      </c>
      <c r="C2469" s="3" t="s">
        <v>11</v>
      </c>
      <c r="D2469" s="3">
        <v>202.0</v>
      </c>
      <c r="E2469" s="3">
        <v>494.0</v>
      </c>
      <c r="F2469" s="3">
        <v>211.8</v>
      </c>
      <c r="G2469" s="3">
        <v>9.0</v>
      </c>
      <c r="H2469" s="3">
        <v>23.2</v>
      </c>
    </row>
    <row r="2470" ht="15.75" customHeight="1">
      <c r="A2470" s="3" t="s">
        <v>70</v>
      </c>
      <c r="B2470" s="3">
        <v>2018.0</v>
      </c>
      <c r="C2470" s="3" t="s">
        <v>13</v>
      </c>
      <c r="D2470" s="3">
        <v>222.8</v>
      </c>
      <c r="E2470" s="3">
        <v>479.2</v>
      </c>
      <c r="F2470" s="3">
        <v>180.2</v>
      </c>
      <c r="G2470" s="3">
        <v>8.0</v>
      </c>
      <c r="H2470" s="3">
        <v>8.4</v>
      </c>
    </row>
    <row r="2471" ht="15.75" customHeight="1">
      <c r="A2471" s="3" t="s">
        <v>70</v>
      </c>
      <c r="B2471" s="3">
        <v>2018.0</v>
      </c>
      <c r="C2471" s="3" t="s">
        <v>14</v>
      </c>
      <c r="D2471" s="3">
        <v>233.6</v>
      </c>
      <c r="E2471" s="3">
        <v>523.2</v>
      </c>
      <c r="F2471" s="3">
        <v>203.3</v>
      </c>
      <c r="G2471" s="3">
        <v>3.0</v>
      </c>
      <c r="H2471" s="3">
        <v>31.3</v>
      </c>
    </row>
    <row r="2472" ht="15.75" customHeight="1">
      <c r="A2472" s="3" t="s">
        <v>70</v>
      </c>
      <c r="B2472" s="3">
        <v>2019.0</v>
      </c>
      <c r="C2472" s="3" t="s">
        <v>9</v>
      </c>
      <c r="D2472" s="3">
        <v>207.2</v>
      </c>
      <c r="E2472" s="3">
        <v>518.8</v>
      </c>
      <c r="F2472" s="3">
        <v>177.0</v>
      </c>
      <c r="G2472" s="3">
        <v>9.0</v>
      </c>
      <c r="H2472" s="3">
        <v>12.0</v>
      </c>
    </row>
    <row r="2473" ht="15.75" customHeight="1">
      <c r="A2473" s="3" t="s">
        <v>70</v>
      </c>
      <c r="B2473" s="3">
        <v>2019.0</v>
      </c>
      <c r="C2473" s="3" t="s">
        <v>10</v>
      </c>
      <c r="D2473" s="3">
        <v>190.8</v>
      </c>
      <c r="E2473" s="3">
        <v>416.1</v>
      </c>
      <c r="F2473" s="3">
        <v>273.1</v>
      </c>
      <c r="G2473" s="3">
        <v>10.0</v>
      </c>
      <c r="H2473" s="3">
        <v>20.3</v>
      </c>
    </row>
    <row r="2474" ht="15.75" customHeight="1">
      <c r="A2474" s="3" t="s">
        <v>70</v>
      </c>
      <c r="B2474" s="3">
        <v>2019.0</v>
      </c>
      <c r="C2474" s="3" t="s">
        <v>11</v>
      </c>
      <c r="D2474" s="3">
        <v>154.6</v>
      </c>
      <c r="E2474" s="3">
        <v>327.7</v>
      </c>
      <c r="F2474" s="3">
        <v>150.2</v>
      </c>
      <c r="G2474" s="3">
        <v>3.0</v>
      </c>
      <c r="H2474" s="3">
        <v>28.2</v>
      </c>
    </row>
    <row r="2475" ht="15.75" customHeight="1">
      <c r="A2475" s="3" t="s">
        <v>70</v>
      </c>
      <c r="B2475" s="3">
        <v>2019.0</v>
      </c>
      <c r="C2475" s="3" t="s">
        <v>13</v>
      </c>
      <c r="D2475" s="3">
        <v>251.0</v>
      </c>
      <c r="E2475" s="3">
        <v>614.3</v>
      </c>
      <c r="F2475" s="3">
        <v>301.0</v>
      </c>
      <c r="G2475" s="3">
        <v>4.0</v>
      </c>
      <c r="H2475" s="3">
        <v>12.1</v>
      </c>
    </row>
    <row r="2476" ht="15.75" customHeight="1">
      <c r="A2476" s="3" t="s">
        <v>70</v>
      </c>
      <c r="B2476" s="3">
        <v>2019.0</v>
      </c>
      <c r="C2476" s="3" t="s">
        <v>14</v>
      </c>
      <c r="D2476" s="3">
        <v>240.6</v>
      </c>
      <c r="E2476" s="3">
        <v>598.8</v>
      </c>
      <c r="F2476" s="3">
        <v>215.5</v>
      </c>
      <c r="G2476" s="3">
        <v>7.0</v>
      </c>
      <c r="H2476" s="3">
        <v>33.8</v>
      </c>
    </row>
    <row r="2477" ht="15.75" customHeight="1">
      <c r="A2477" s="3" t="s">
        <v>70</v>
      </c>
      <c r="B2477" s="3">
        <v>2020.0</v>
      </c>
      <c r="C2477" s="3" t="s">
        <v>9</v>
      </c>
      <c r="D2477" s="3">
        <v>238.0</v>
      </c>
      <c r="E2477" s="3">
        <v>712.3</v>
      </c>
      <c r="F2477" s="3">
        <v>257.1</v>
      </c>
      <c r="G2477" s="3">
        <v>5.0</v>
      </c>
      <c r="H2477" s="3">
        <v>28.5</v>
      </c>
    </row>
    <row r="2478" ht="15.75" customHeight="1">
      <c r="A2478" s="3" t="s">
        <v>70</v>
      </c>
      <c r="B2478" s="3">
        <v>2020.0</v>
      </c>
      <c r="C2478" s="3" t="s">
        <v>10</v>
      </c>
      <c r="D2478" s="3">
        <v>246.4</v>
      </c>
      <c r="E2478" s="3">
        <v>524.3</v>
      </c>
      <c r="F2478" s="3">
        <v>279.0</v>
      </c>
      <c r="G2478" s="3">
        <v>3.0</v>
      </c>
      <c r="H2478" s="3">
        <v>8.2</v>
      </c>
    </row>
    <row r="2479" ht="15.75" customHeight="1">
      <c r="A2479" s="3" t="s">
        <v>70</v>
      </c>
      <c r="B2479" s="3">
        <v>2020.0</v>
      </c>
      <c r="C2479" s="3" t="s">
        <v>11</v>
      </c>
      <c r="D2479" s="3">
        <v>220.9</v>
      </c>
      <c r="E2479" s="3">
        <v>457.1</v>
      </c>
      <c r="F2479" s="3">
        <v>251.7</v>
      </c>
      <c r="G2479" s="3">
        <v>4.0</v>
      </c>
      <c r="H2479" s="3">
        <v>11.6</v>
      </c>
    </row>
    <row r="2480" ht="15.75" customHeight="1">
      <c r="A2480" s="3" t="s">
        <v>70</v>
      </c>
      <c r="B2480" s="3">
        <v>2020.0</v>
      </c>
      <c r="C2480" s="3" t="s">
        <v>13</v>
      </c>
      <c r="D2480" s="3">
        <v>320.6</v>
      </c>
      <c r="E2480" s="3">
        <v>676.4</v>
      </c>
      <c r="F2480" s="3">
        <v>328.1</v>
      </c>
      <c r="G2480" s="3">
        <v>8.0</v>
      </c>
      <c r="H2480" s="3">
        <v>28.9</v>
      </c>
    </row>
    <row r="2481" ht="15.75" customHeight="1">
      <c r="A2481" s="3" t="s">
        <v>70</v>
      </c>
      <c r="B2481" s="3">
        <v>2020.0</v>
      </c>
      <c r="C2481" s="3" t="s">
        <v>14</v>
      </c>
      <c r="D2481" s="3">
        <v>289.9</v>
      </c>
      <c r="E2481" s="3">
        <v>707.5</v>
      </c>
      <c r="F2481" s="3">
        <v>303.7</v>
      </c>
      <c r="G2481" s="3">
        <v>3.0</v>
      </c>
      <c r="H2481" s="3">
        <v>32.5</v>
      </c>
    </row>
    <row r="2482" ht="15.75" customHeight="1">
      <c r="A2482" s="3" t="s">
        <v>70</v>
      </c>
      <c r="B2482" s="3">
        <v>2021.0</v>
      </c>
      <c r="C2482" s="3" t="s">
        <v>9</v>
      </c>
      <c r="D2482" s="3">
        <v>314.0</v>
      </c>
      <c r="E2482" s="3">
        <v>861.2</v>
      </c>
      <c r="F2482" s="3">
        <v>360.7</v>
      </c>
      <c r="G2482" s="3">
        <v>5.0</v>
      </c>
      <c r="H2482" s="3">
        <v>2.4</v>
      </c>
    </row>
    <row r="2483" ht="15.75" customHeight="1">
      <c r="A2483" s="3" t="s">
        <v>70</v>
      </c>
      <c r="B2483" s="3">
        <v>2021.0</v>
      </c>
      <c r="C2483" s="3" t="s">
        <v>10</v>
      </c>
      <c r="D2483" s="3">
        <v>285.3</v>
      </c>
      <c r="E2483" s="3">
        <v>578.4</v>
      </c>
      <c r="F2483" s="3">
        <v>282.9</v>
      </c>
      <c r="G2483" s="3">
        <v>4.0</v>
      </c>
      <c r="H2483" s="3">
        <v>35.8</v>
      </c>
    </row>
    <row r="2484" ht="15.75" customHeight="1">
      <c r="A2484" s="3" t="s">
        <v>70</v>
      </c>
      <c r="B2484" s="3">
        <v>2021.0</v>
      </c>
      <c r="C2484" s="3" t="s">
        <v>11</v>
      </c>
      <c r="D2484" s="3">
        <v>244.4</v>
      </c>
      <c r="E2484" s="3">
        <v>497.4</v>
      </c>
      <c r="F2484" s="3">
        <v>205.7</v>
      </c>
      <c r="G2484" s="3">
        <v>7.0</v>
      </c>
      <c r="H2484" s="3">
        <v>35.5</v>
      </c>
    </row>
    <row r="2485" ht="15.75" customHeight="1">
      <c r="A2485" s="3" t="s">
        <v>70</v>
      </c>
      <c r="B2485" s="3">
        <v>2021.0</v>
      </c>
      <c r="C2485" s="3" t="s">
        <v>13</v>
      </c>
      <c r="D2485" s="3">
        <v>322.8</v>
      </c>
      <c r="E2485" s="3">
        <v>953.7</v>
      </c>
      <c r="F2485" s="3">
        <v>305.9</v>
      </c>
      <c r="G2485" s="3">
        <v>12.0</v>
      </c>
      <c r="H2485" s="3">
        <v>34.3</v>
      </c>
    </row>
    <row r="2486" ht="15.75" customHeight="1">
      <c r="A2486" s="3" t="s">
        <v>70</v>
      </c>
      <c r="B2486" s="3">
        <v>2021.0</v>
      </c>
      <c r="C2486" s="3" t="s">
        <v>14</v>
      </c>
      <c r="D2486" s="3">
        <v>216.8</v>
      </c>
      <c r="E2486" s="3">
        <v>643.4</v>
      </c>
      <c r="F2486" s="3">
        <v>276.9</v>
      </c>
      <c r="G2486" s="3">
        <v>10.0</v>
      </c>
      <c r="H2486" s="3">
        <v>37.0</v>
      </c>
    </row>
    <row r="2487" ht="15.75" customHeight="1">
      <c r="A2487" s="3" t="s">
        <v>70</v>
      </c>
      <c r="B2487" s="3">
        <v>2022.0</v>
      </c>
      <c r="C2487" s="3" t="s">
        <v>9</v>
      </c>
      <c r="D2487" s="3">
        <v>296.7</v>
      </c>
      <c r="E2487" s="3">
        <v>630.7</v>
      </c>
      <c r="F2487" s="3">
        <v>336.1</v>
      </c>
      <c r="G2487" s="3">
        <v>5.0</v>
      </c>
      <c r="H2487" s="3">
        <v>3.3</v>
      </c>
    </row>
    <row r="2488" ht="15.75" customHeight="1">
      <c r="A2488" s="3" t="s">
        <v>70</v>
      </c>
      <c r="B2488" s="3">
        <v>2022.0</v>
      </c>
      <c r="C2488" s="3" t="s">
        <v>10</v>
      </c>
      <c r="D2488" s="3">
        <v>348.1</v>
      </c>
      <c r="E2488" s="3">
        <v>817.9</v>
      </c>
      <c r="F2488" s="3">
        <v>521.7</v>
      </c>
      <c r="G2488" s="3">
        <v>7.0</v>
      </c>
      <c r="H2488" s="3">
        <v>37.7</v>
      </c>
    </row>
    <row r="2489" ht="15.75" customHeight="1">
      <c r="A2489" s="3" t="s">
        <v>70</v>
      </c>
      <c r="B2489" s="3">
        <v>2022.0</v>
      </c>
      <c r="C2489" s="3" t="s">
        <v>11</v>
      </c>
      <c r="D2489" s="3">
        <v>381.2</v>
      </c>
      <c r="E2489" s="3">
        <v>1069.2</v>
      </c>
      <c r="F2489" s="3">
        <v>552.1</v>
      </c>
      <c r="G2489" s="3">
        <v>8.0</v>
      </c>
      <c r="H2489" s="3">
        <v>26.7</v>
      </c>
    </row>
    <row r="2490" ht="15.75" customHeight="1">
      <c r="A2490" s="3" t="s">
        <v>70</v>
      </c>
      <c r="B2490" s="3">
        <v>2022.0</v>
      </c>
      <c r="C2490" s="3" t="s">
        <v>13</v>
      </c>
      <c r="D2490" s="3">
        <v>288.2</v>
      </c>
      <c r="E2490" s="3">
        <v>657.4</v>
      </c>
      <c r="F2490" s="3">
        <v>335.7</v>
      </c>
      <c r="G2490" s="3">
        <v>11.0</v>
      </c>
      <c r="H2490" s="3">
        <v>11.3</v>
      </c>
    </row>
    <row r="2491" ht="15.75" customHeight="1">
      <c r="A2491" s="3" t="s">
        <v>70</v>
      </c>
      <c r="B2491" s="3">
        <v>2022.0</v>
      </c>
      <c r="C2491" s="3" t="s">
        <v>14</v>
      </c>
      <c r="D2491" s="3">
        <v>334.6</v>
      </c>
      <c r="E2491" s="3">
        <v>721.3</v>
      </c>
      <c r="F2491" s="3">
        <v>447.7</v>
      </c>
      <c r="G2491" s="3">
        <v>4.0</v>
      </c>
      <c r="H2491" s="3">
        <v>28.0</v>
      </c>
    </row>
    <row r="2492" ht="15.75" customHeight="1">
      <c r="A2492" s="3" t="s">
        <v>70</v>
      </c>
      <c r="B2492" s="3">
        <v>2023.0</v>
      </c>
      <c r="C2492" s="3" t="s">
        <v>9</v>
      </c>
      <c r="D2492" s="3">
        <v>334.3</v>
      </c>
      <c r="E2492" s="3">
        <v>749.8</v>
      </c>
      <c r="F2492" s="3">
        <v>325.6</v>
      </c>
      <c r="G2492" s="3">
        <v>12.0</v>
      </c>
      <c r="H2492" s="3">
        <v>44.7</v>
      </c>
    </row>
    <row r="2493" ht="15.75" customHeight="1">
      <c r="A2493" s="3" t="s">
        <v>70</v>
      </c>
      <c r="B2493" s="3">
        <v>2023.0</v>
      </c>
      <c r="C2493" s="3" t="s">
        <v>10</v>
      </c>
      <c r="D2493" s="3">
        <v>352.7</v>
      </c>
      <c r="E2493" s="3">
        <v>776.7</v>
      </c>
      <c r="F2493" s="3">
        <v>416.2</v>
      </c>
      <c r="G2493" s="3">
        <v>9.0</v>
      </c>
      <c r="H2493" s="3">
        <v>26.6</v>
      </c>
    </row>
    <row r="2494" ht="15.75" customHeight="1">
      <c r="A2494" s="3" t="s">
        <v>70</v>
      </c>
      <c r="B2494" s="3">
        <v>2023.0</v>
      </c>
      <c r="C2494" s="3" t="s">
        <v>11</v>
      </c>
      <c r="D2494" s="3">
        <v>332.8</v>
      </c>
      <c r="E2494" s="3">
        <v>870.4</v>
      </c>
      <c r="F2494" s="3">
        <v>498.1</v>
      </c>
      <c r="G2494" s="3">
        <v>6.0</v>
      </c>
      <c r="H2494" s="3">
        <v>7.6</v>
      </c>
    </row>
    <row r="2495" ht="15.75" customHeight="1">
      <c r="A2495" s="3" t="s">
        <v>70</v>
      </c>
      <c r="B2495" s="3">
        <v>2023.0</v>
      </c>
      <c r="C2495" s="3" t="s">
        <v>13</v>
      </c>
      <c r="D2495" s="3">
        <v>316.4</v>
      </c>
      <c r="E2495" s="3">
        <v>802.1</v>
      </c>
      <c r="F2495" s="3">
        <v>443.1</v>
      </c>
      <c r="G2495" s="3">
        <v>8.0</v>
      </c>
      <c r="H2495" s="3">
        <v>40.5</v>
      </c>
    </row>
    <row r="2496" ht="15.75" customHeight="1">
      <c r="A2496" s="3" t="s">
        <v>70</v>
      </c>
      <c r="B2496" s="3">
        <v>2023.0</v>
      </c>
      <c r="C2496" s="3" t="s">
        <v>14</v>
      </c>
      <c r="D2496" s="3">
        <v>322.2</v>
      </c>
      <c r="E2496" s="3">
        <v>775.5</v>
      </c>
      <c r="F2496" s="3">
        <v>453.1</v>
      </c>
      <c r="G2496" s="3">
        <v>12.0</v>
      </c>
      <c r="H2496" s="3">
        <v>49.6</v>
      </c>
    </row>
    <row r="2497" ht="15.75" customHeight="1">
      <c r="A2497" s="3" t="s">
        <v>70</v>
      </c>
      <c r="B2497" s="3">
        <v>2024.0</v>
      </c>
      <c r="C2497" s="3" t="s">
        <v>9</v>
      </c>
      <c r="D2497" s="3">
        <v>362.5</v>
      </c>
      <c r="E2497" s="3">
        <v>1076.6</v>
      </c>
      <c r="F2497" s="3">
        <v>339.9</v>
      </c>
      <c r="G2497" s="3">
        <v>9.0</v>
      </c>
      <c r="H2497" s="3">
        <v>1.7</v>
      </c>
    </row>
    <row r="2498" ht="15.75" customHeight="1">
      <c r="A2498" s="3" t="s">
        <v>70</v>
      </c>
      <c r="B2498" s="3">
        <v>2024.0</v>
      </c>
      <c r="C2498" s="3" t="s">
        <v>10</v>
      </c>
      <c r="D2498" s="3">
        <v>402.7</v>
      </c>
      <c r="E2498" s="3">
        <v>992.1</v>
      </c>
      <c r="F2498" s="3">
        <v>351.3</v>
      </c>
      <c r="G2498" s="3">
        <v>7.0</v>
      </c>
      <c r="H2498" s="3">
        <v>19.4</v>
      </c>
    </row>
    <row r="2499" ht="15.75" customHeight="1">
      <c r="A2499" s="3" t="s">
        <v>70</v>
      </c>
      <c r="B2499" s="3">
        <v>2024.0</v>
      </c>
      <c r="C2499" s="3" t="s">
        <v>11</v>
      </c>
      <c r="D2499" s="3">
        <v>425.2</v>
      </c>
      <c r="E2499" s="3">
        <v>1036.9</v>
      </c>
      <c r="F2499" s="3">
        <v>345.3</v>
      </c>
      <c r="G2499" s="3">
        <v>7.0</v>
      </c>
      <c r="H2499" s="3">
        <v>27.6</v>
      </c>
    </row>
    <row r="2500" ht="15.75" customHeight="1">
      <c r="A2500" s="3" t="s">
        <v>70</v>
      </c>
      <c r="B2500" s="3">
        <v>2024.0</v>
      </c>
      <c r="C2500" s="3" t="s">
        <v>13</v>
      </c>
      <c r="D2500" s="3">
        <v>397.4</v>
      </c>
      <c r="E2500" s="3">
        <v>898.5</v>
      </c>
      <c r="F2500" s="3">
        <v>540.3</v>
      </c>
      <c r="G2500" s="3">
        <v>7.0</v>
      </c>
      <c r="H2500" s="3">
        <v>2.6</v>
      </c>
    </row>
    <row r="2501" ht="15.75" customHeight="1">
      <c r="A2501" s="3" t="s">
        <v>70</v>
      </c>
      <c r="B2501" s="3">
        <v>2024.0</v>
      </c>
      <c r="C2501" s="3" t="s">
        <v>14</v>
      </c>
      <c r="D2501" s="3">
        <v>285.0</v>
      </c>
      <c r="E2501" s="3">
        <v>959.3</v>
      </c>
      <c r="F2501" s="3">
        <v>379.5</v>
      </c>
      <c r="G2501" s="3">
        <v>8.0</v>
      </c>
      <c r="H2501" s="3">
        <v>48.4</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0"/>
    <col customWidth="1" min="2" max="2" width="5.11"/>
    <col customWidth="1" min="3" max="3" width="20.0"/>
    <col customWidth="1" min="4" max="4" width="20.78"/>
    <col customWidth="1" min="5" max="5" width="22.11"/>
    <col customWidth="1" min="6" max="6" width="18.78"/>
    <col customWidth="1" min="7" max="7" width="16.67"/>
    <col customWidth="1" min="8" max="8" width="31.44"/>
    <col customWidth="1" min="9" max="26" width="10.56"/>
  </cols>
  <sheetData>
    <row r="1" ht="15.75" customHeight="1">
      <c r="A1" s="2" t="s">
        <v>0</v>
      </c>
      <c r="B1" s="2" t="s">
        <v>1</v>
      </c>
      <c r="C1" s="2" t="s">
        <v>2</v>
      </c>
      <c r="D1" s="2" t="s">
        <v>3</v>
      </c>
      <c r="E1" s="2" t="s">
        <v>4</v>
      </c>
      <c r="F1" s="2" t="s">
        <v>5</v>
      </c>
      <c r="G1" s="2" t="s">
        <v>6</v>
      </c>
      <c r="H1" s="2" t="s">
        <v>7</v>
      </c>
      <c r="I1" s="2"/>
      <c r="J1" s="2"/>
      <c r="K1" s="2"/>
      <c r="L1" s="2"/>
      <c r="M1" s="2"/>
      <c r="N1" s="2"/>
      <c r="O1" s="2"/>
      <c r="P1" s="2"/>
      <c r="Q1" s="2"/>
      <c r="R1" s="2"/>
      <c r="S1" s="2"/>
      <c r="T1" s="2"/>
      <c r="U1" s="2"/>
      <c r="V1" s="2"/>
      <c r="W1" s="2"/>
      <c r="X1" s="2"/>
      <c r="Y1" s="2"/>
      <c r="Z1" s="2"/>
    </row>
    <row r="2" ht="15.75" customHeight="1">
      <c r="A2" s="3" t="s">
        <v>12</v>
      </c>
      <c r="B2" s="3">
        <v>2020.0</v>
      </c>
      <c r="C2" s="3" t="s">
        <v>9</v>
      </c>
      <c r="D2" s="3">
        <v>217.8</v>
      </c>
      <c r="E2" s="3">
        <v>581.3</v>
      </c>
      <c r="F2" s="3">
        <v>196.4</v>
      </c>
      <c r="G2" s="3">
        <v>7.0</v>
      </c>
      <c r="H2" s="3">
        <v>13.2</v>
      </c>
    </row>
    <row r="3" ht="15.75" customHeight="1">
      <c r="A3" s="3" t="s">
        <v>12</v>
      </c>
      <c r="B3" s="3">
        <v>2020.0</v>
      </c>
      <c r="C3" s="3" t="s">
        <v>10</v>
      </c>
      <c r="D3" s="3">
        <v>233.1</v>
      </c>
      <c r="E3" s="3">
        <v>607.4</v>
      </c>
      <c r="F3" s="3">
        <v>244.7</v>
      </c>
      <c r="G3" s="3">
        <v>7.0</v>
      </c>
      <c r="H3" s="3">
        <v>39.3</v>
      </c>
    </row>
    <row r="4" ht="15.75" customHeight="1">
      <c r="A4" s="3" t="s">
        <v>12</v>
      </c>
      <c r="B4" s="3">
        <v>2020.0</v>
      </c>
      <c r="C4" s="3" t="s">
        <v>11</v>
      </c>
      <c r="D4" s="3">
        <v>227.6</v>
      </c>
      <c r="E4" s="3">
        <v>556.8</v>
      </c>
      <c r="F4" s="3">
        <v>319.8</v>
      </c>
      <c r="G4" s="3">
        <v>8.0</v>
      </c>
      <c r="H4" s="3">
        <v>11.1</v>
      </c>
    </row>
    <row r="5" ht="15.75" customHeight="1">
      <c r="A5" s="3" t="s">
        <v>12</v>
      </c>
      <c r="B5" s="3">
        <v>2020.0</v>
      </c>
      <c r="C5" s="3" t="s">
        <v>13</v>
      </c>
      <c r="D5" s="3">
        <v>280.4</v>
      </c>
      <c r="E5" s="3">
        <v>575.2</v>
      </c>
      <c r="F5" s="3">
        <v>349.9</v>
      </c>
      <c r="G5" s="3">
        <v>5.0</v>
      </c>
      <c r="H5" s="3">
        <v>23.2</v>
      </c>
    </row>
    <row r="6" ht="15.75" customHeight="1">
      <c r="A6" s="3" t="s">
        <v>12</v>
      </c>
      <c r="B6" s="3">
        <v>2020.0</v>
      </c>
      <c r="C6" s="3" t="s">
        <v>14</v>
      </c>
      <c r="D6" s="3">
        <v>274.5</v>
      </c>
      <c r="E6" s="3">
        <v>635.7</v>
      </c>
      <c r="F6" s="3">
        <v>317.0</v>
      </c>
      <c r="G6" s="3">
        <v>6.0</v>
      </c>
      <c r="H6" s="3">
        <v>49.3</v>
      </c>
    </row>
    <row r="7" ht="15.75" customHeight="1">
      <c r="A7" s="3" t="s">
        <v>12</v>
      </c>
      <c r="B7" s="3">
        <v>2021.0</v>
      </c>
      <c r="C7" s="3" t="s">
        <v>9</v>
      </c>
      <c r="D7" s="3">
        <v>304.0</v>
      </c>
      <c r="E7" s="3">
        <v>685.4</v>
      </c>
      <c r="F7" s="3">
        <v>354.3</v>
      </c>
      <c r="G7" s="3">
        <v>10.0</v>
      </c>
      <c r="H7" s="3">
        <v>33.7</v>
      </c>
    </row>
    <row r="8" ht="15.75" customHeight="1">
      <c r="A8" s="3" t="s">
        <v>12</v>
      </c>
      <c r="B8" s="3">
        <v>2021.0</v>
      </c>
      <c r="C8" s="3" t="s">
        <v>10</v>
      </c>
      <c r="D8" s="3">
        <v>294.0</v>
      </c>
      <c r="E8" s="3">
        <v>596.8</v>
      </c>
      <c r="F8" s="3">
        <v>298.6</v>
      </c>
      <c r="G8" s="3">
        <v>4.0</v>
      </c>
      <c r="H8" s="3">
        <v>10.9</v>
      </c>
    </row>
    <row r="9" ht="15.75" customHeight="1">
      <c r="A9" s="3" t="s">
        <v>12</v>
      </c>
      <c r="B9" s="3">
        <v>2021.0</v>
      </c>
      <c r="C9" s="3" t="s">
        <v>11</v>
      </c>
      <c r="D9" s="3">
        <v>248.3</v>
      </c>
      <c r="E9" s="3">
        <v>712.1</v>
      </c>
      <c r="F9" s="3">
        <v>229.4</v>
      </c>
      <c r="G9" s="3">
        <v>4.0</v>
      </c>
      <c r="H9" s="3">
        <v>33.4</v>
      </c>
    </row>
    <row r="10" ht="15.75" customHeight="1">
      <c r="A10" s="3" t="s">
        <v>12</v>
      </c>
      <c r="B10" s="3">
        <v>2021.0</v>
      </c>
      <c r="C10" s="3" t="s">
        <v>13</v>
      </c>
      <c r="D10" s="3">
        <v>359.4</v>
      </c>
      <c r="E10" s="3">
        <v>964.4</v>
      </c>
      <c r="F10" s="3">
        <v>412.6</v>
      </c>
      <c r="G10" s="3">
        <v>4.0</v>
      </c>
      <c r="H10" s="3">
        <v>41.7</v>
      </c>
    </row>
    <row r="11" ht="15.75" customHeight="1">
      <c r="A11" s="3" t="s">
        <v>12</v>
      </c>
      <c r="B11" s="3">
        <v>2021.0</v>
      </c>
      <c r="C11" s="3" t="s">
        <v>14</v>
      </c>
      <c r="D11" s="3">
        <v>292.5</v>
      </c>
      <c r="E11" s="3">
        <v>857.4</v>
      </c>
      <c r="F11" s="3">
        <v>375.2</v>
      </c>
      <c r="G11" s="3">
        <v>3.0</v>
      </c>
      <c r="H11" s="3">
        <v>30.4</v>
      </c>
    </row>
    <row r="12" ht="15.75" customHeight="1">
      <c r="A12" s="3" t="s">
        <v>12</v>
      </c>
      <c r="B12" s="3">
        <v>2022.0</v>
      </c>
      <c r="C12" s="3" t="s">
        <v>9</v>
      </c>
      <c r="D12" s="3">
        <v>322.0</v>
      </c>
      <c r="E12" s="3">
        <v>856.2</v>
      </c>
      <c r="F12" s="3">
        <v>346.4</v>
      </c>
      <c r="G12" s="3">
        <v>8.0</v>
      </c>
      <c r="H12" s="3">
        <v>29.3</v>
      </c>
    </row>
    <row r="13" ht="15.75" customHeight="1">
      <c r="A13" s="3" t="s">
        <v>12</v>
      </c>
      <c r="B13" s="3">
        <v>2022.0</v>
      </c>
      <c r="C13" s="3" t="s">
        <v>10</v>
      </c>
      <c r="D13" s="3">
        <v>381.2</v>
      </c>
      <c r="E13" s="3">
        <v>1060.5</v>
      </c>
      <c r="F13" s="3">
        <v>456.2</v>
      </c>
      <c r="G13" s="3">
        <v>12.0</v>
      </c>
      <c r="H13" s="3">
        <v>6.3</v>
      </c>
    </row>
    <row r="14" ht="15.75" customHeight="1">
      <c r="A14" s="3" t="s">
        <v>12</v>
      </c>
      <c r="B14" s="3">
        <v>2022.0</v>
      </c>
      <c r="C14" s="3" t="s">
        <v>11</v>
      </c>
      <c r="D14" s="3">
        <v>285.4</v>
      </c>
      <c r="E14" s="3">
        <v>761.4</v>
      </c>
      <c r="F14" s="3">
        <v>389.8</v>
      </c>
      <c r="G14" s="3">
        <v>4.0</v>
      </c>
      <c r="H14" s="3">
        <v>44.0</v>
      </c>
    </row>
    <row r="15" ht="15.75" customHeight="1">
      <c r="A15" s="3" t="s">
        <v>12</v>
      </c>
      <c r="B15" s="3">
        <v>2022.0</v>
      </c>
      <c r="C15" s="3" t="s">
        <v>13</v>
      </c>
      <c r="D15" s="3">
        <v>350.7</v>
      </c>
      <c r="E15" s="3">
        <v>743.5</v>
      </c>
      <c r="F15" s="3">
        <v>414.2</v>
      </c>
      <c r="G15" s="3">
        <v>12.0</v>
      </c>
      <c r="H15" s="3">
        <v>17.1</v>
      </c>
    </row>
    <row r="16" ht="15.75" customHeight="1">
      <c r="A16" s="3" t="s">
        <v>12</v>
      </c>
      <c r="B16" s="3">
        <v>2022.0</v>
      </c>
      <c r="C16" s="3" t="s">
        <v>14</v>
      </c>
      <c r="D16" s="3">
        <v>346.2</v>
      </c>
      <c r="E16" s="3">
        <v>819.2</v>
      </c>
      <c r="F16" s="3">
        <v>372.9</v>
      </c>
      <c r="G16" s="3">
        <v>8.0</v>
      </c>
      <c r="H16" s="3">
        <v>19.6</v>
      </c>
    </row>
    <row r="17" ht="15.75" customHeight="1">
      <c r="A17" s="3" t="s">
        <v>12</v>
      </c>
      <c r="B17" s="3">
        <v>2023.0</v>
      </c>
      <c r="C17" s="3" t="s">
        <v>9</v>
      </c>
      <c r="D17" s="3">
        <v>332.8</v>
      </c>
      <c r="E17" s="3">
        <v>741.3</v>
      </c>
      <c r="F17" s="3">
        <v>283.3</v>
      </c>
      <c r="G17" s="3">
        <v>6.0</v>
      </c>
      <c r="H17" s="3">
        <v>9.3</v>
      </c>
    </row>
    <row r="18" ht="15.75" customHeight="1">
      <c r="A18" s="3" t="s">
        <v>12</v>
      </c>
      <c r="B18" s="3">
        <v>2023.0</v>
      </c>
      <c r="C18" s="3" t="s">
        <v>10</v>
      </c>
      <c r="D18" s="3">
        <v>345.3</v>
      </c>
      <c r="E18" s="3">
        <v>850.7</v>
      </c>
      <c r="F18" s="3">
        <v>368.0</v>
      </c>
      <c r="G18" s="3">
        <v>11.0</v>
      </c>
      <c r="H18" s="3">
        <v>26.4</v>
      </c>
    </row>
    <row r="19" ht="15.75" customHeight="1">
      <c r="A19" s="3" t="s">
        <v>12</v>
      </c>
      <c r="B19" s="3">
        <v>2023.0</v>
      </c>
      <c r="C19" s="3" t="s">
        <v>11</v>
      </c>
      <c r="D19" s="3">
        <v>340.1</v>
      </c>
      <c r="E19" s="3">
        <v>842.3</v>
      </c>
      <c r="F19" s="3">
        <v>365.9</v>
      </c>
      <c r="G19" s="3">
        <v>10.0</v>
      </c>
      <c r="H19" s="3">
        <v>40.8</v>
      </c>
    </row>
    <row r="20" ht="15.75" customHeight="1">
      <c r="A20" s="3" t="s">
        <v>12</v>
      </c>
      <c r="B20" s="3">
        <v>2023.0</v>
      </c>
      <c r="C20" s="3" t="s">
        <v>13</v>
      </c>
      <c r="D20" s="3">
        <v>367.1</v>
      </c>
      <c r="E20" s="3">
        <v>741.0</v>
      </c>
      <c r="F20" s="3">
        <v>344.0</v>
      </c>
      <c r="G20" s="3">
        <v>10.0</v>
      </c>
      <c r="H20" s="3">
        <v>44.9</v>
      </c>
    </row>
    <row r="21" ht="15.75" customHeight="1">
      <c r="A21" s="3" t="s">
        <v>12</v>
      </c>
      <c r="B21" s="3">
        <v>2023.0</v>
      </c>
      <c r="C21" s="3" t="s">
        <v>14</v>
      </c>
      <c r="D21" s="3">
        <v>337.1</v>
      </c>
      <c r="E21" s="3">
        <v>694.6</v>
      </c>
      <c r="F21" s="3">
        <v>490.2</v>
      </c>
      <c r="G21" s="3">
        <v>9.0</v>
      </c>
      <c r="H21" s="3">
        <v>10.5</v>
      </c>
    </row>
    <row r="22" ht="15.75" customHeight="1">
      <c r="A22" s="3" t="s">
        <v>12</v>
      </c>
      <c r="B22" s="3">
        <v>2024.0</v>
      </c>
      <c r="C22" s="3" t="s">
        <v>9</v>
      </c>
      <c r="D22" s="3">
        <v>415.1</v>
      </c>
      <c r="E22" s="3">
        <v>936.8</v>
      </c>
      <c r="F22" s="3">
        <v>414.9</v>
      </c>
      <c r="G22" s="3">
        <v>7.0</v>
      </c>
      <c r="H22" s="3">
        <v>29.5</v>
      </c>
    </row>
    <row r="23" ht="15.75" customHeight="1">
      <c r="A23" s="3" t="s">
        <v>12</v>
      </c>
      <c r="B23" s="3">
        <v>2024.0</v>
      </c>
      <c r="C23" s="3" t="s">
        <v>10</v>
      </c>
      <c r="D23" s="3">
        <v>363.5</v>
      </c>
      <c r="E23" s="3">
        <v>1082.0</v>
      </c>
      <c r="F23" s="3">
        <v>500.2</v>
      </c>
      <c r="G23" s="3">
        <v>10.0</v>
      </c>
      <c r="H23" s="3">
        <v>34.4</v>
      </c>
    </row>
    <row r="24" ht="15.75" customHeight="1">
      <c r="A24" s="3" t="s">
        <v>12</v>
      </c>
      <c r="B24" s="3">
        <v>2024.0</v>
      </c>
      <c r="C24" s="3" t="s">
        <v>11</v>
      </c>
      <c r="D24" s="3">
        <v>434.8</v>
      </c>
      <c r="E24" s="3">
        <v>1097.8</v>
      </c>
      <c r="F24" s="3">
        <v>563.6</v>
      </c>
      <c r="G24" s="3">
        <v>12.0</v>
      </c>
      <c r="H24" s="3">
        <v>39.9</v>
      </c>
    </row>
    <row r="25" ht="15.75" customHeight="1">
      <c r="A25" s="3" t="s">
        <v>12</v>
      </c>
      <c r="B25" s="3">
        <v>2024.0</v>
      </c>
      <c r="C25" s="3" t="s">
        <v>13</v>
      </c>
      <c r="D25" s="3">
        <v>451.9</v>
      </c>
      <c r="E25" s="3">
        <v>1152.5</v>
      </c>
      <c r="F25" s="3">
        <v>375.3</v>
      </c>
      <c r="G25" s="3">
        <v>11.0</v>
      </c>
      <c r="H25" s="3">
        <v>32.3</v>
      </c>
    </row>
    <row r="26" ht="15.75" customHeight="1">
      <c r="A26" s="3" t="s">
        <v>12</v>
      </c>
      <c r="B26" s="3">
        <v>2024.0</v>
      </c>
      <c r="C26" s="3" t="s">
        <v>14</v>
      </c>
      <c r="D26" s="3">
        <v>428.9</v>
      </c>
      <c r="E26" s="3">
        <v>1060.7</v>
      </c>
      <c r="F26" s="3">
        <v>352.9</v>
      </c>
      <c r="G26" s="3">
        <v>12.0</v>
      </c>
      <c r="H26" s="3">
        <v>32.7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row r="2"/>
    <row r="3"/>
    <row r="4"/>
    <row r="5"/>
    <row r="6"/>
    <row r="7"/>
    <row r="8"/>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c r="B1" s="2" t="s">
        <v>1</v>
      </c>
      <c r="C1" s="2" t="s">
        <v>2</v>
      </c>
      <c r="D1" s="2" t="s">
        <v>3</v>
      </c>
      <c r="E1" s="2" t="s">
        <v>4</v>
      </c>
      <c r="F1" s="2" t="s">
        <v>5</v>
      </c>
      <c r="G1" s="2" t="s">
        <v>6</v>
      </c>
      <c r="H1" s="2" t="s">
        <v>7</v>
      </c>
    </row>
    <row r="2">
      <c r="A2" s="3" t="s">
        <v>8</v>
      </c>
      <c r="B2" s="3">
        <v>2022.0</v>
      </c>
      <c r="C2" s="3" t="s">
        <v>9</v>
      </c>
      <c r="D2" s="3">
        <v>268.4</v>
      </c>
      <c r="E2" s="3">
        <v>764.6</v>
      </c>
      <c r="F2" s="3">
        <v>338.2</v>
      </c>
      <c r="G2" s="3">
        <v>3.0</v>
      </c>
      <c r="H2" s="3">
        <v>27.6</v>
      </c>
    </row>
    <row r="3">
      <c r="A3" s="3" t="s">
        <v>8</v>
      </c>
      <c r="B3" s="3">
        <v>2022.0</v>
      </c>
      <c r="C3" s="3" t="s">
        <v>10</v>
      </c>
      <c r="D3" s="3">
        <v>306.9</v>
      </c>
      <c r="E3" s="3">
        <v>688.7</v>
      </c>
      <c r="F3" s="3">
        <v>454.6</v>
      </c>
      <c r="G3" s="3">
        <v>6.0</v>
      </c>
      <c r="H3" s="3">
        <v>44.7</v>
      </c>
    </row>
    <row r="4">
      <c r="A4" s="3" t="s">
        <v>8</v>
      </c>
      <c r="B4" s="3">
        <v>2022.0</v>
      </c>
      <c r="C4" s="3" t="s">
        <v>11</v>
      </c>
      <c r="D4" s="3">
        <v>292.8</v>
      </c>
      <c r="E4" s="3">
        <v>712.9</v>
      </c>
      <c r="F4" s="3">
        <v>306.0</v>
      </c>
      <c r="G4" s="3">
        <v>3.0</v>
      </c>
      <c r="H4" s="3">
        <v>29.3</v>
      </c>
    </row>
    <row r="5">
      <c r="A5" s="3" t="s">
        <v>8</v>
      </c>
      <c r="B5" s="3">
        <v>2022.0</v>
      </c>
      <c r="C5" s="3" t="s">
        <v>13</v>
      </c>
      <c r="D5" s="3">
        <v>341.8</v>
      </c>
      <c r="E5" s="3">
        <v>854.2</v>
      </c>
      <c r="F5" s="3">
        <v>410.3</v>
      </c>
      <c r="G5" s="3">
        <v>4.0</v>
      </c>
      <c r="H5" s="3">
        <v>3.1</v>
      </c>
    </row>
    <row r="6">
      <c r="A6" s="3" t="s">
        <v>8</v>
      </c>
      <c r="B6" s="3">
        <v>2022.0</v>
      </c>
      <c r="C6" s="3" t="s">
        <v>14</v>
      </c>
      <c r="D6" s="3">
        <v>348.1</v>
      </c>
      <c r="E6" s="3">
        <v>1023.6</v>
      </c>
      <c r="F6" s="3">
        <v>510.9</v>
      </c>
      <c r="G6" s="3">
        <v>8.0</v>
      </c>
      <c r="H6" s="3">
        <v>44.3</v>
      </c>
    </row>
    <row r="7">
      <c r="A7" s="3" t="s">
        <v>15</v>
      </c>
      <c r="B7" s="3">
        <v>2022.0</v>
      </c>
      <c r="C7" s="3" t="s">
        <v>9</v>
      </c>
      <c r="D7" s="3">
        <v>269.7</v>
      </c>
      <c r="E7" s="3">
        <v>543.0</v>
      </c>
      <c r="F7" s="3">
        <v>230.0</v>
      </c>
      <c r="G7" s="3">
        <v>3.0</v>
      </c>
      <c r="H7" s="3">
        <v>27.2</v>
      </c>
    </row>
    <row r="8">
      <c r="A8" s="3" t="s">
        <v>15</v>
      </c>
      <c r="B8" s="3">
        <v>2022.0</v>
      </c>
      <c r="C8" s="3" t="s">
        <v>10</v>
      </c>
      <c r="D8" s="3">
        <v>294.2</v>
      </c>
      <c r="E8" s="3">
        <v>814.5</v>
      </c>
      <c r="F8" s="3">
        <v>429.9</v>
      </c>
      <c r="G8" s="3">
        <v>5.0</v>
      </c>
      <c r="H8" s="3">
        <v>13.1</v>
      </c>
    </row>
    <row r="9">
      <c r="A9" s="3" t="s">
        <v>15</v>
      </c>
      <c r="B9" s="3">
        <v>2022.0</v>
      </c>
      <c r="C9" s="3" t="s">
        <v>11</v>
      </c>
      <c r="D9" s="3">
        <v>291.4</v>
      </c>
      <c r="E9" s="3">
        <v>860.8</v>
      </c>
      <c r="F9" s="3">
        <v>356.8</v>
      </c>
      <c r="G9" s="3">
        <v>3.0</v>
      </c>
      <c r="H9" s="3">
        <v>33.9</v>
      </c>
    </row>
    <row r="10">
      <c r="A10" s="3" t="s">
        <v>15</v>
      </c>
      <c r="B10" s="3">
        <v>2022.0</v>
      </c>
      <c r="C10" s="3" t="s">
        <v>13</v>
      </c>
      <c r="D10" s="3">
        <v>321.0</v>
      </c>
      <c r="E10" s="3">
        <v>794.7</v>
      </c>
      <c r="F10" s="3">
        <v>443.5</v>
      </c>
      <c r="G10" s="3">
        <v>5.0</v>
      </c>
      <c r="H10" s="3">
        <v>42.8</v>
      </c>
    </row>
    <row r="11">
      <c r="A11" s="3" t="s">
        <v>15</v>
      </c>
      <c r="B11" s="3">
        <v>2022.0</v>
      </c>
      <c r="C11" s="3" t="s">
        <v>14</v>
      </c>
      <c r="D11" s="3">
        <v>330.2</v>
      </c>
      <c r="E11" s="3">
        <v>980.1</v>
      </c>
      <c r="F11" s="3">
        <v>284.6</v>
      </c>
      <c r="G11" s="3">
        <v>12.0</v>
      </c>
      <c r="H11" s="3">
        <v>29.9</v>
      </c>
    </row>
    <row r="12">
      <c r="A12" s="3" t="s">
        <v>16</v>
      </c>
      <c r="B12" s="3">
        <v>2022.0</v>
      </c>
      <c r="C12" s="3" t="s">
        <v>9</v>
      </c>
      <c r="D12" s="3">
        <v>362.6</v>
      </c>
      <c r="E12" s="3">
        <v>1058.1</v>
      </c>
      <c r="F12" s="3">
        <v>439.0</v>
      </c>
      <c r="G12" s="3">
        <v>6.0</v>
      </c>
      <c r="H12" s="3">
        <v>13.2</v>
      </c>
    </row>
    <row r="13">
      <c r="A13" s="3" t="s">
        <v>16</v>
      </c>
      <c r="B13" s="3">
        <v>2022.0</v>
      </c>
      <c r="C13" s="3" t="s">
        <v>10</v>
      </c>
      <c r="D13" s="3">
        <v>233.1</v>
      </c>
      <c r="E13" s="3">
        <v>679.4</v>
      </c>
      <c r="F13" s="3">
        <v>245.6</v>
      </c>
      <c r="G13" s="3">
        <v>8.0</v>
      </c>
      <c r="H13" s="3">
        <v>11.8</v>
      </c>
    </row>
    <row r="14">
      <c r="A14" s="3" t="s">
        <v>16</v>
      </c>
      <c r="B14" s="3">
        <v>2022.0</v>
      </c>
      <c r="C14" s="3" t="s">
        <v>11</v>
      </c>
      <c r="D14" s="3">
        <v>336.4</v>
      </c>
      <c r="E14" s="3">
        <v>732.6</v>
      </c>
      <c r="F14" s="3">
        <v>495.4</v>
      </c>
      <c r="G14" s="3">
        <v>4.0</v>
      </c>
      <c r="H14" s="3">
        <v>28.3</v>
      </c>
    </row>
    <row r="15">
      <c r="A15" s="3" t="s">
        <v>16</v>
      </c>
      <c r="B15" s="3">
        <v>2022.0</v>
      </c>
      <c r="C15" s="3" t="s">
        <v>13</v>
      </c>
      <c r="D15" s="3">
        <v>352.0</v>
      </c>
      <c r="E15" s="3">
        <v>913.6</v>
      </c>
      <c r="F15" s="3">
        <v>298.1</v>
      </c>
      <c r="G15" s="3">
        <v>10.0</v>
      </c>
      <c r="H15" s="3">
        <v>21.9</v>
      </c>
    </row>
    <row r="16">
      <c r="A16" s="3" t="s">
        <v>16</v>
      </c>
      <c r="B16" s="3">
        <v>2022.0</v>
      </c>
      <c r="C16" s="3" t="s">
        <v>14</v>
      </c>
      <c r="D16" s="3">
        <v>349.7</v>
      </c>
      <c r="E16" s="3">
        <v>1013.6</v>
      </c>
      <c r="F16" s="3">
        <v>330.0</v>
      </c>
      <c r="G16" s="3">
        <v>4.0</v>
      </c>
      <c r="H16" s="3">
        <v>2.8</v>
      </c>
    </row>
    <row r="17">
      <c r="A17" s="3" t="s">
        <v>19</v>
      </c>
      <c r="B17" s="3">
        <v>2022.0</v>
      </c>
      <c r="C17" s="3" t="s">
        <v>9</v>
      </c>
      <c r="D17" s="3">
        <v>348.5</v>
      </c>
      <c r="E17" s="3">
        <v>762.8</v>
      </c>
      <c r="F17" s="3">
        <v>493.8</v>
      </c>
      <c r="G17" s="3">
        <v>12.0</v>
      </c>
      <c r="H17" s="3">
        <v>2.4</v>
      </c>
    </row>
    <row r="18">
      <c r="A18" s="3" t="s">
        <v>19</v>
      </c>
      <c r="B18" s="3">
        <v>2022.0</v>
      </c>
      <c r="C18" s="3" t="s">
        <v>10</v>
      </c>
      <c r="D18" s="3">
        <v>318.9</v>
      </c>
      <c r="E18" s="3">
        <v>638.1</v>
      </c>
      <c r="F18" s="3">
        <v>379.3</v>
      </c>
      <c r="G18" s="3">
        <v>10.0</v>
      </c>
      <c r="H18" s="3">
        <v>10.5</v>
      </c>
    </row>
    <row r="19">
      <c r="A19" s="3" t="s">
        <v>19</v>
      </c>
      <c r="B19" s="3">
        <v>2022.0</v>
      </c>
      <c r="C19" s="3" t="s">
        <v>11</v>
      </c>
      <c r="D19" s="3">
        <v>297.4</v>
      </c>
      <c r="E19" s="3">
        <v>778.3</v>
      </c>
      <c r="F19" s="3">
        <v>442.2</v>
      </c>
      <c r="G19" s="3">
        <v>3.0</v>
      </c>
      <c r="H19" s="3">
        <v>6.7</v>
      </c>
    </row>
    <row r="20">
      <c r="A20" s="3" t="s">
        <v>19</v>
      </c>
      <c r="B20" s="3">
        <v>2022.0</v>
      </c>
      <c r="C20" s="3" t="s">
        <v>13</v>
      </c>
      <c r="D20" s="3">
        <v>337.3</v>
      </c>
      <c r="E20" s="3">
        <v>680.8</v>
      </c>
      <c r="F20" s="3">
        <v>371.9</v>
      </c>
      <c r="G20" s="3">
        <v>5.0</v>
      </c>
      <c r="H20" s="3">
        <v>17.8</v>
      </c>
    </row>
    <row r="21">
      <c r="A21" s="3" t="s">
        <v>19</v>
      </c>
      <c r="B21" s="3">
        <v>2022.0</v>
      </c>
      <c r="C21" s="3" t="s">
        <v>14</v>
      </c>
      <c r="D21" s="3">
        <v>328.9</v>
      </c>
      <c r="E21" s="3">
        <v>716.8</v>
      </c>
      <c r="F21" s="3">
        <v>436.6</v>
      </c>
      <c r="G21" s="3">
        <v>9.0</v>
      </c>
      <c r="H21" s="3">
        <v>46.9</v>
      </c>
    </row>
    <row r="22">
      <c r="A22" s="3" t="s">
        <v>12</v>
      </c>
      <c r="B22" s="3">
        <v>2022.0</v>
      </c>
      <c r="C22" s="3" t="s">
        <v>9</v>
      </c>
      <c r="D22" s="3">
        <v>322.0</v>
      </c>
      <c r="E22" s="3">
        <v>856.2</v>
      </c>
      <c r="F22" s="3">
        <v>346.4</v>
      </c>
      <c r="G22" s="3">
        <v>8.0</v>
      </c>
      <c r="H22" s="3">
        <v>29.3</v>
      </c>
    </row>
    <row r="23">
      <c r="A23" s="3" t="s">
        <v>12</v>
      </c>
      <c r="B23" s="3">
        <v>2022.0</v>
      </c>
      <c r="C23" s="3" t="s">
        <v>10</v>
      </c>
      <c r="D23" s="3">
        <v>381.2</v>
      </c>
      <c r="E23" s="3">
        <v>1060.5</v>
      </c>
      <c r="F23" s="3">
        <v>456.2</v>
      </c>
      <c r="G23" s="3">
        <v>12.0</v>
      </c>
      <c r="H23" s="3">
        <v>6.3</v>
      </c>
    </row>
    <row r="24">
      <c r="A24" s="3" t="s">
        <v>12</v>
      </c>
      <c r="B24" s="3">
        <v>2022.0</v>
      </c>
      <c r="C24" s="3" t="s">
        <v>11</v>
      </c>
      <c r="D24" s="3">
        <v>285.4</v>
      </c>
      <c r="E24" s="3">
        <v>761.4</v>
      </c>
      <c r="F24" s="3">
        <v>389.8</v>
      </c>
      <c r="G24" s="3">
        <v>4.0</v>
      </c>
      <c r="H24" s="3">
        <v>44.0</v>
      </c>
    </row>
    <row r="25">
      <c r="A25" s="3" t="s">
        <v>12</v>
      </c>
      <c r="B25" s="3">
        <v>2022.0</v>
      </c>
      <c r="C25" s="3" t="s">
        <v>13</v>
      </c>
      <c r="D25" s="3">
        <v>350.7</v>
      </c>
      <c r="E25" s="3">
        <v>743.5</v>
      </c>
      <c r="F25" s="3">
        <v>414.2</v>
      </c>
      <c r="G25" s="3">
        <v>12.0</v>
      </c>
      <c r="H25" s="3">
        <v>17.1</v>
      </c>
    </row>
    <row r="26">
      <c r="A26" s="3" t="s">
        <v>12</v>
      </c>
      <c r="B26" s="3">
        <v>2022.0</v>
      </c>
      <c r="C26" s="3" t="s">
        <v>14</v>
      </c>
      <c r="D26" s="3">
        <v>346.2</v>
      </c>
      <c r="E26" s="3">
        <v>819.2</v>
      </c>
      <c r="F26" s="3">
        <v>372.9</v>
      </c>
      <c r="G26" s="3">
        <v>8.0</v>
      </c>
      <c r="H26" s="3">
        <v>19.6</v>
      </c>
    </row>
    <row r="27">
      <c r="A27" s="3" t="s">
        <v>26</v>
      </c>
      <c r="B27" s="3">
        <v>2022.0</v>
      </c>
      <c r="C27" s="3" t="s">
        <v>9</v>
      </c>
      <c r="D27" s="3">
        <v>407.6</v>
      </c>
      <c r="E27" s="3">
        <v>1165.4</v>
      </c>
      <c r="F27" s="3">
        <v>438.0</v>
      </c>
      <c r="G27" s="3">
        <v>5.0</v>
      </c>
      <c r="H27" s="3">
        <v>47.8</v>
      </c>
    </row>
    <row r="28">
      <c r="A28" s="3" t="s">
        <v>26</v>
      </c>
      <c r="B28" s="3">
        <v>2022.0</v>
      </c>
      <c r="C28" s="3" t="s">
        <v>10</v>
      </c>
      <c r="D28" s="3">
        <v>320.0</v>
      </c>
      <c r="E28" s="3">
        <v>898.7</v>
      </c>
      <c r="F28" s="3">
        <v>273.1</v>
      </c>
      <c r="G28" s="3">
        <v>4.0</v>
      </c>
      <c r="H28" s="3">
        <v>42.2</v>
      </c>
    </row>
    <row r="29">
      <c r="A29" s="3" t="s">
        <v>26</v>
      </c>
      <c r="B29" s="3">
        <v>2022.0</v>
      </c>
      <c r="C29" s="3" t="s">
        <v>11</v>
      </c>
      <c r="D29" s="3">
        <v>352.0</v>
      </c>
      <c r="E29" s="3">
        <v>793.1</v>
      </c>
      <c r="F29" s="3">
        <v>474.1</v>
      </c>
      <c r="G29" s="3">
        <v>10.0</v>
      </c>
      <c r="H29" s="3">
        <v>33.3</v>
      </c>
    </row>
    <row r="30">
      <c r="A30" s="3" t="s">
        <v>26</v>
      </c>
      <c r="B30" s="3">
        <v>2022.0</v>
      </c>
      <c r="C30" s="3" t="s">
        <v>13</v>
      </c>
      <c r="D30" s="3">
        <v>302.7</v>
      </c>
      <c r="E30" s="3">
        <v>874.7</v>
      </c>
      <c r="F30" s="3">
        <v>337.7</v>
      </c>
      <c r="G30" s="3">
        <v>6.0</v>
      </c>
      <c r="H30" s="3">
        <v>6.2</v>
      </c>
    </row>
    <row r="31">
      <c r="A31" s="3" t="s">
        <v>26</v>
      </c>
      <c r="B31" s="3">
        <v>2022.0</v>
      </c>
      <c r="C31" s="3" t="s">
        <v>14</v>
      </c>
      <c r="D31" s="3">
        <v>324.7</v>
      </c>
      <c r="E31" s="3">
        <v>815.8</v>
      </c>
      <c r="F31" s="3">
        <v>414.4</v>
      </c>
      <c r="G31" s="3">
        <v>11.0</v>
      </c>
      <c r="H31" s="3">
        <v>5.2</v>
      </c>
    </row>
    <row r="32">
      <c r="A32" s="3" t="s">
        <v>27</v>
      </c>
      <c r="B32" s="3">
        <v>2022.0</v>
      </c>
      <c r="C32" s="3" t="s">
        <v>9</v>
      </c>
      <c r="D32" s="3">
        <v>302.9</v>
      </c>
      <c r="E32" s="3">
        <v>667.9</v>
      </c>
      <c r="F32" s="3">
        <v>428.5</v>
      </c>
      <c r="G32" s="3">
        <v>9.0</v>
      </c>
      <c r="H32" s="3">
        <v>8.9</v>
      </c>
    </row>
    <row r="33">
      <c r="A33" s="3" t="s">
        <v>27</v>
      </c>
      <c r="B33" s="3">
        <v>2022.0</v>
      </c>
      <c r="C33" s="3" t="s">
        <v>10</v>
      </c>
      <c r="D33" s="3">
        <v>294.2</v>
      </c>
      <c r="E33" s="3">
        <v>878.3</v>
      </c>
      <c r="F33" s="3">
        <v>394.4</v>
      </c>
      <c r="G33" s="3">
        <v>4.0</v>
      </c>
      <c r="H33" s="3">
        <v>4.2</v>
      </c>
    </row>
    <row r="34">
      <c r="A34" s="3" t="s">
        <v>27</v>
      </c>
      <c r="B34" s="3">
        <v>2022.0</v>
      </c>
      <c r="C34" s="3" t="s">
        <v>11</v>
      </c>
      <c r="D34" s="3">
        <v>245.1</v>
      </c>
      <c r="E34" s="3">
        <v>713.1</v>
      </c>
      <c r="F34" s="3">
        <v>288.5</v>
      </c>
      <c r="G34" s="3">
        <v>6.0</v>
      </c>
      <c r="H34" s="3">
        <v>40.1</v>
      </c>
    </row>
    <row r="35">
      <c r="A35" s="3" t="s">
        <v>27</v>
      </c>
      <c r="B35" s="3">
        <v>2022.0</v>
      </c>
      <c r="C35" s="3" t="s">
        <v>13</v>
      </c>
      <c r="D35" s="3">
        <v>359.2</v>
      </c>
      <c r="E35" s="3">
        <v>854.9</v>
      </c>
      <c r="F35" s="3">
        <v>482.3</v>
      </c>
      <c r="G35" s="3">
        <v>6.0</v>
      </c>
      <c r="H35" s="3">
        <v>10.6</v>
      </c>
    </row>
    <row r="36">
      <c r="A36" s="3" t="s">
        <v>27</v>
      </c>
      <c r="B36" s="3">
        <v>2022.0</v>
      </c>
      <c r="C36" s="3" t="s">
        <v>14</v>
      </c>
      <c r="D36" s="3">
        <v>316.2</v>
      </c>
      <c r="E36" s="3">
        <v>797.8</v>
      </c>
      <c r="F36" s="3">
        <v>316.5</v>
      </c>
      <c r="G36" s="3">
        <v>12.0</v>
      </c>
      <c r="H36" s="3">
        <v>29.3</v>
      </c>
    </row>
    <row r="37">
      <c r="A37" s="3" t="s">
        <v>28</v>
      </c>
      <c r="B37" s="3">
        <v>2022.0</v>
      </c>
      <c r="C37" s="3" t="s">
        <v>9</v>
      </c>
      <c r="D37" s="3">
        <v>329.8</v>
      </c>
      <c r="E37" s="3">
        <v>938.4</v>
      </c>
      <c r="F37" s="3">
        <v>423.7</v>
      </c>
      <c r="G37" s="3">
        <v>5.0</v>
      </c>
      <c r="H37" s="3">
        <v>20.8</v>
      </c>
    </row>
    <row r="38">
      <c r="A38" s="3" t="s">
        <v>28</v>
      </c>
      <c r="B38" s="3">
        <v>2022.0</v>
      </c>
      <c r="C38" s="3" t="s">
        <v>10</v>
      </c>
      <c r="D38" s="3">
        <v>305.7</v>
      </c>
      <c r="E38" s="3">
        <v>852.5</v>
      </c>
      <c r="F38" s="3">
        <v>340.1</v>
      </c>
      <c r="G38" s="3">
        <v>5.0</v>
      </c>
      <c r="H38" s="3">
        <v>19.8</v>
      </c>
    </row>
    <row r="39">
      <c r="A39" s="3" t="s">
        <v>28</v>
      </c>
      <c r="B39" s="3">
        <v>2022.0</v>
      </c>
      <c r="C39" s="3" t="s">
        <v>11</v>
      </c>
      <c r="D39" s="3">
        <v>323.2</v>
      </c>
      <c r="E39" s="3">
        <v>923.5</v>
      </c>
      <c r="F39" s="3">
        <v>465.9</v>
      </c>
      <c r="G39" s="3">
        <v>10.0</v>
      </c>
      <c r="H39" s="3">
        <v>16.6</v>
      </c>
    </row>
    <row r="40">
      <c r="A40" s="3" t="s">
        <v>28</v>
      </c>
      <c r="B40" s="3">
        <v>2022.0</v>
      </c>
      <c r="C40" s="3" t="s">
        <v>13</v>
      </c>
      <c r="D40" s="3">
        <v>334.7</v>
      </c>
      <c r="E40" s="3">
        <v>845.3</v>
      </c>
      <c r="F40" s="3">
        <v>387.6</v>
      </c>
      <c r="G40" s="3">
        <v>8.0</v>
      </c>
      <c r="H40" s="3">
        <v>32.6</v>
      </c>
    </row>
    <row r="41">
      <c r="A41" s="3" t="s">
        <v>28</v>
      </c>
      <c r="B41" s="3">
        <v>2022.0</v>
      </c>
      <c r="C41" s="3" t="s">
        <v>14</v>
      </c>
      <c r="D41" s="3">
        <v>315.6</v>
      </c>
      <c r="E41" s="3">
        <v>912.2</v>
      </c>
      <c r="F41" s="3">
        <v>328.9</v>
      </c>
      <c r="G41" s="3">
        <v>7.0</v>
      </c>
      <c r="H41" s="3">
        <v>17.6</v>
      </c>
    </row>
    <row r="42">
      <c r="A42" s="3" t="s">
        <v>29</v>
      </c>
      <c r="B42" s="3">
        <v>2022.0</v>
      </c>
      <c r="C42" s="3" t="s">
        <v>9</v>
      </c>
      <c r="D42" s="3">
        <v>294.7</v>
      </c>
      <c r="E42" s="3">
        <v>781.5</v>
      </c>
      <c r="F42" s="3">
        <v>388.2</v>
      </c>
      <c r="G42" s="3">
        <v>8.0</v>
      </c>
      <c r="H42" s="3">
        <v>32.6</v>
      </c>
    </row>
    <row r="43">
      <c r="A43" s="3" t="s">
        <v>29</v>
      </c>
      <c r="B43" s="3">
        <v>2022.0</v>
      </c>
      <c r="C43" s="3" t="s">
        <v>10</v>
      </c>
      <c r="D43" s="3">
        <v>299.7</v>
      </c>
      <c r="E43" s="3">
        <v>773.0</v>
      </c>
      <c r="F43" s="3">
        <v>257.7</v>
      </c>
      <c r="G43" s="3">
        <v>5.0</v>
      </c>
      <c r="H43" s="3">
        <v>33.7</v>
      </c>
    </row>
    <row r="44">
      <c r="A44" s="3" t="s">
        <v>29</v>
      </c>
      <c r="B44" s="3">
        <v>2022.0</v>
      </c>
      <c r="C44" s="3" t="s">
        <v>11</v>
      </c>
      <c r="D44" s="3">
        <v>396.9</v>
      </c>
      <c r="E44" s="3">
        <v>838.1</v>
      </c>
      <c r="F44" s="3">
        <v>460.9</v>
      </c>
      <c r="G44" s="3">
        <v>8.0</v>
      </c>
      <c r="H44" s="3">
        <v>34.7</v>
      </c>
    </row>
    <row r="45">
      <c r="A45" s="3" t="s">
        <v>29</v>
      </c>
      <c r="B45" s="3">
        <v>2022.0</v>
      </c>
      <c r="C45" s="3" t="s">
        <v>13</v>
      </c>
      <c r="D45" s="3">
        <v>256.2</v>
      </c>
      <c r="E45" s="3">
        <v>517.4</v>
      </c>
      <c r="F45" s="3">
        <v>227.3</v>
      </c>
      <c r="G45" s="3">
        <v>5.0</v>
      </c>
      <c r="H45" s="3">
        <v>25.2</v>
      </c>
    </row>
    <row r="46">
      <c r="A46" s="3" t="s">
        <v>29</v>
      </c>
      <c r="B46" s="3">
        <v>2022.0</v>
      </c>
      <c r="C46" s="3" t="s">
        <v>14</v>
      </c>
      <c r="D46" s="3">
        <v>272.0</v>
      </c>
      <c r="E46" s="3">
        <v>790.4</v>
      </c>
      <c r="F46" s="3">
        <v>268.4</v>
      </c>
      <c r="G46" s="3">
        <v>11.0</v>
      </c>
      <c r="H46" s="3">
        <v>48.2</v>
      </c>
    </row>
    <row r="47">
      <c r="A47" s="3" t="s">
        <v>30</v>
      </c>
      <c r="B47" s="3">
        <v>2022.0</v>
      </c>
      <c r="C47" s="3" t="s">
        <v>9</v>
      </c>
      <c r="D47" s="3">
        <v>318.3</v>
      </c>
      <c r="E47" s="3">
        <v>653.0</v>
      </c>
      <c r="F47" s="3">
        <v>367.1</v>
      </c>
      <c r="G47" s="3">
        <v>9.0</v>
      </c>
      <c r="H47" s="3">
        <v>6.8</v>
      </c>
    </row>
    <row r="48">
      <c r="A48" s="3" t="s">
        <v>30</v>
      </c>
      <c r="B48" s="3">
        <v>2022.0</v>
      </c>
      <c r="C48" s="3" t="s">
        <v>10</v>
      </c>
      <c r="D48" s="3">
        <v>365.6</v>
      </c>
      <c r="E48" s="3">
        <v>1026.9</v>
      </c>
      <c r="F48" s="3">
        <v>465.8</v>
      </c>
      <c r="G48" s="3">
        <v>10.0</v>
      </c>
      <c r="H48" s="3">
        <v>16.5</v>
      </c>
    </row>
    <row r="49">
      <c r="A49" s="3" t="s">
        <v>30</v>
      </c>
      <c r="B49" s="3">
        <v>2022.0</v>
      </c>
      <c r="C49" s="3" t="s">
        <v>11</v>
      </c>
      <c r="D49" s="3">
        <v>301.9</v>
      </c>
      <c r="E49" s="3">
        <v>806.9</v>
      </c>
      <c r="F49" s="3">
        <v>409.9</v>
      </c>
      <c r="G49" s="3">
        <v>10.0</v>
      </c>
      <c r="H49" s="3">
        <v>16.3</v>
      </c>
    </row>
    <row r="50">
      <c r="A50" s="3" t="s">
        <v>30</v>
      </c>
      <c r="B50" s="3">
        <v>2022.0</v>
      </c>
      <c r="C50" s="3" t="s">
        <v>13</v>
      </c>
      <c r="D50" s="3">
        <v>315.6</v>
      </c>
      <c r="E50" s="3">
        <v>682.7</v>
      </c>
      <c r="F50" s="3">
        <v>293.8</v>
      </c>
      <c r="G50" s="3">
        <v>8.0</v>
      </c>
      <c r="H50" s="3">
        <v>16.0</v>
      </c>
    </row>
    <row r="51">
      <c r="A51" s="3" t="s">
        <v>30</v>
      </c>
      <c r="B51" s="3">
        <v>2022.0</v>
      </c>
      <c r="C51" s="3" t="s">
        <v>14</v>
      </c>
      <c r="D51" s="3">
        <v>336.5</v>
      </c>
      <c r="E51" s="3">
        <v>811.4</v>
      </c>
      <c r="F51" s="3">
        <v>489.4</v>
      </c>
      <c r="G51" s="3">
        <v>8.0</v>
      </c>
      <c r="H51" s="3">
        <v>36.9</v>
      </c>
    </row>
    <row r="52">
      <c r="A52" s="3" t="s">
        <v>31</v>
      </c>
      <c r="B52" s="3">
        <v>2022.0</v>
      </c>
      <c r="C52" s="3" t="s">
        <v>9</v>
      </c>
      <c r="D52" s="3">
        <v>237.7</v>
      </c>
      <c r="E52" s="3">
        <v>478.7</v>
      </c>
      <c r="F52" s="3">
        <v>258.4</v>
      </c>
      <c r="G52" s="3">
        <v>11.0</v>
      </c>
      <c r="H52" s="3">
        <v>40.4</v>
      </c>
    </row>
    <row r="53">
      <c r="A53" s="3" t="s">
        <v>31</v>
      </c>
      <c r="B53" s="3">
        <v>2022.0</v>
      </c>
      <c r="C53" s="3" t="s">
        <v>10</v>
      </c>
      <c r="D53" s="3">
        <v>313.1</v>
      </c>
      <c r="E53" s="3">
        <v>639.3</v>
      </c>
      <c r="F53" s="3">
        <v>355.5</v>
      </c>
      <c r="G53" s="3">
        <v>12.0</v>
      </c>
      <c r="H53" s="3">
        <v>37.4</v>
      </c>
    </row>
    <row r="54">
      <c r="A54" s="3" t="s">
        <v>31</v>
      </c>
      <c r="B54" s="3">
        <v>2022.0</v>
      </c>
      <c r="C54" s="3" t="s">
        <v>11</v>
      </c>
      <c r="D54" s="3">
        <v>325.8</v>
      </c>
      <c r="E54" s="3">
        <v>971.5</v>
      </c>
      <c r="F54" s="3">
        <v>363.4</v>
      </c>
      <c r="G54" s="3">
        <v>9.0</v>
      </c>
      <c r="H54" s="3">
        <v>22.2</v>
      </c>
    </row>
    <row r="55">
      <c r="A55" s="3" t="s">
        <v>31</v>
      </c>
      <c r="B55" s="3">
        <v>2022.0</v>
      </c>
      <c r="C55" s="3" t="s">
        <v>13</v>
      </c>
      <c r="D55" s="3">
        <v>330.5</v>
      </c>
      <c r="E55" s="3">
        <v>901.9</v>
      </c>
      <c r="F55" s="3">
        <v>405.1</v>
      </c>
      <c r="G55" s="3">
        <v>10.0</v>
      </c>
      <c r="H55" s="3">
        <v>19.1</v>
      </c>
    </row>
    <row r="56">
      <c r="A56" s="3" t="s">
        <v>31</v>
      </c>
      <c r="B56" s="3">
        <v>2022.0</v>
      </c>
      <c r="C56" s="3" t="s">
        <v>14</v>
      </c>
      <c r="D56" s="3">
        <v>346.2</v>
      </c>
      <c r="E56" s="3">
        <v>942.6</v>
      </c>
      <c r="F56" s="3">
        <v>436.1</v>
      </c>
      <c r="G56" s="3">
        <v>5.0</v>
      </c>
      <c r="H56" s="3">
        <v>33.4</v>
      </c>
    </row>
    <row r="57">
      <c r="A57" s="3" t="s">
        <v>32</v>
      </c>
      <c r="B57" s="3">
        <v>2022.0</v>
      </c>
      <c r="C57" s="3" t="s">
        <v>9</v>
      </c>
      <c r="D57" s="3">
        <v>362.8</v>
      </c>
      <c r="E57" s="3">
        <v>994.6</v>
      </c>
      <c r="F57" s="3">
        <v>361.2</v>
      </c>
      <c r="G57" s="3">
        <v>9.0</v>
      </c>
      <c r="H57" s="3">
        <v>42.9</v>
      </c>
    </row>
    <row r="58">
      <c r="A58" s="3" t="s">
        <v>32</v>
      </c>
      <c r="B58" s="3">
        <v>2022.0</v>
      </c>
      <c r="C58" s="3" t="s">
        <v>10</v>
      </c>
      <c r="D58" s="3">
        <v>314.7</v>
      </c>
      <c r="E58" s="3">
        <v>687.0</v>
      </c>
      <c r="F58" s="3">
        <v>433.7</v>
      </c>
      <c r="G58" s="3">
        <v>9.0</v>
      </c>
      <c r="H58" s="3">
        <v>30.6</v>
      </c>
    </row>
    <row r="59">
      <c r="A59" s="3" t="s">
        <v>32</v>
      </c>
      <c r="B59" s="3">
        <v>2022.0</v>
      </c>
      <c r="C59" s="3" t="s">
        <v>11</v>
      </c>
      <c r="D59" s="3">
        <v>305.5</v>
      </c>
      <c r="E59" s="3">
        <v>907.5</v>
      </c>
      <c r="F59" s="3">
        <v>366.6</v>
      </c>
      <c r="G59" s="3">
        <v>12.0</v>
      </c>
      <c r="H59" s="3">
        <v>39.5</v>
      </c>
    </row>
    <row r="60">
      <c r="A60" s="3" t="s">
        <v>32</v>
      </c>
      <c r="B60" s="3">
        <v>2022.0</v>
      </c>
      <c r="C60" s="3" t="s">
        <v>13</v>
      </c>
      <c r="D60" s="3">
        <v>305.0</v>
      </c>
      <c r="E60" s="3">
        <v>636.6</v>
      </c>
      <c r="F60" s="3">
        <v>362.9</v>
      </c>
      <c r="G60" s="3">
        <v>8.0</v>
      </c>
      <c r="H60" s="3">
        <v>9.6</v>
      </c>
    </row>
    <row r="61">
      <c r="A61" s="3" t="s">
        <v>32</v>
      </c>
      <c r="B61" s="3">
        <v>2022.0</v>
      </c>
      <c r="C61" s="3" t="s">
        <v>14</v>
      </c>
      <c r="D61" s="3">
        <v>365.9</v>
      </c>
      <c r="E61" s="3">
        <v>824.1</v>
      </c>
      <c r="F61" s="3">
        <v>425.9</v>
      </c>
      <c r="G61" s="3">
        <v>7.0</v>
      </c>
      <c r="H61" s="3">
        <v>13.2</v>
      </c>
    </row>
    <row r="62">
      <c r="A62" s="3" t="s">
        <v>33</v>
      </c>
      <c r="B62" s="3">
        <v>2022.0</v>
      </c>
      <c r="C62" s="3" t="s">
        <v>9</v>
      </c>
      <c r="D62" s="3">
        <v>346.6</v>
      </c>
      <c r="E62" s="3">
        <v>792.1</v>
      </c>
      <c r="F62" s="3">
        <v>299.4</v>
      </c>
      <c r="G62" s="3">
        <v>9.0</v>
      </c>
      <c r="H62" s="3">
        <v>27.0</v>
      </c>
    </row>
    <row r="63">
      <c r="A63" s="3" t="s">
        <v>33</v>
      </c>
      <c r="B63" s="3">
        <v>2022.0</v>
      </c>
      <c r="C63" s="3" t="s">
        <v>10</v>
      </c>
      <c r="D63" s="3">
        <v>343.3</v>
      </c>
      <c r="E63" s="3">
        <v>839.1</v>
      </c>
      <c r="F63" s="3">
        <v>489.4</v>
      </c>
      <c r="G63" s="3">
        <v>10.0</v>
      </c>
      <c r="H63" s="3">
        <v>41.8</v>
      </c>
    </row>
    <row r="64">
      <c r="A64" s="3" t="s">
        <v>33</v>
      </c>
      <c r="B64" s="3">
        <v>2022.0</v>
      </c>
      <c r="C64" s="3" t="s">
        <v>11</v>
      </c>
      <c r="D64" s="3">
        <v>335.5</v>
      </c>
      <c r="E64" s="3">
        <v>987.4</v>
      </c>
      <c r="F64" s="3">
        <v>324.1</v>
      </c>
      <c r="G64" s="3">
        <v>7.0</v>
      </c>
      <c r="H64" s="3">
        <v>38.6</v>
      </c>
    </row>
    <row r="65">
      <c r="A65" s="3" t="s">
        <v>33</v>
      </c>
      <c r="B65" s="3">
        <v>2022.0</v>
      </c>
      <c r="C65" s="3" t="s">
        <v>13</v>
      </c>
      <c r="D65" s="3">
        <v>314.6</v>
      </c>
      <c r="E65" s="3">
        <v>781.6</v>
      </c>
      <c r="F65" s="3">
        <v>364.9</v>
      </c>
      <c r="G65" s="3">
        <v>8.0</v>
      </c>
      <c r="H65" s="3">
        <v>45.2</v>
      </c>
    </row>
    <row r="66">
      <c r="A66" s="3" t="s">
        <v>33</v>
      </c>
      <c r="B66" s="3">
        <v>2022.0</v>
      </c>
      <c r="C66" s="3" t="s">
        <v>14</v>
      </c>
      <c r="D66" s="3">
        <v>280.8</v>
      </c>
      <c r="E66" s="3">
        <v>652.9</v>
      </c>
      <c r="F66" s="3">
        <v>232.4</v>
      </c>
      <c r="G66" s="3">
        <v>5.0</v>
      </c>
      <c r="H66" s="3">
        <v>41.6</v>
      </c>
    </row>
    <row r="67">
      <c r="A67" s="3" t="s">
        <v>34</v>
      </c>
      <c r="B67" s="3">
        <v>2022.0</v>
      </c>
      <c r="C67" s="3" t="s">
        <v>9</v>
      </c>
      <c r="D67" s="3">
        <v>318.4</v>
      </c>
      <c r="E67" s="3">
        <v>869.2</v>
      </c>
      <c r="F67" s="3">
        <v>392.7</v>
      </c>
      <c r="G67" s="3">
        <v>12.0</v>
      </c>
      <c r="H67" s="3">
        <v>14.9</v>
      </c>
    </row>
    <row r="68">
      <c r="A68" s="3" t="s">
        <v>34</v>
      </c>
      <c r="B68" s="3">
        <v>2022.0</v>
      </c>
      <c r="C68" s="3" t="s">
        <v>10</v>
      </c>
      <c r="D68" s="3">
        <v>384.3</v>
      </c>
      <c r="E68" s="3">
        <v>858.1</v>
      </c>
      <c r="F68" s="3">
        <v>368.3</v>
      </c>
      <c r="G68" s="3">
        <v>11.0</v>
      </c>
      <c r="H68" s="3">
        <v>48.2</v>
      </c>
    </row>
    <row r="69">
      <c r="A69" s="3" t="s">
        <v>34</v>
      </c>
      <c r="B69" s="3">
        <v>2022.0</v>
      </c>
      <c r="C69" s="3" t="s">
        <v>11</v>
      </c>
      <c r="D69" s="3">
        <v>313.8</v>
      </c>
      <c r="E69" s="3">
        <v>721.2</v>
      </c>
      <c r="F69" s="3">
        <v>312.1</v>
      </c>
      <c r="G69" s="3">
        <v>12.0</v>
      </c>
      <c r="H69" s="3">
        <v>5.2</v>
      </c>
    </row>
    <row r="70">
      <c r="A70" s="3" t="s">
        <v>34</v>
      </c>
      <c r="B70" s="3">
        <v>2022.0</v>
      </c>
      <c r="C70" s="3" t="s">
        <v>13</v>
      </c>
      <c r="D70" s="3">
        <v>327.3</v>
      </c>
      <c r="E70" s="3">
        <v>676.4</v>
      </c>
      <c r="F70" s="3">
        <v>272.8</v>
      </c>
      <c r="G70" s="3">
        <v>9.0</v>
      </c>
      <c r="H70" s="3">
        <v>26.6</v>
      </c>
    </row>
    <row r="71">
      <c r="A71" s="3" t="s">
        <v>34</v>
      </c>
      <c r="B71" s="3">
        <v>2022.0</v>
      </c>
      <c r="C71" s="3" t="s">
        <v>14</v>
      </c>
      <c r="D71" s="3">
        <v>321.2</v>
      </c>
      <c r="E71" s="3">
        <v>863.9</v>
      </c>
      <c r="F71" s="3">
        <v>313.7</v>
      </c>
      <c r="G71" s="3">
        <v>9.0</v>
      </c>
      <c r="H71" s="3">
        <v>33.0</v>
      </c>
    </row>
    <row r="72">
      <c r="A72" s="3" t="s">
        <v>35</v>
      </c>
      <c r="B72" s="3">
        <v>2022.0</v>
      </c>
      <c r="C72" s="3" t="s">
        <v>9</v>
      </c>
      <c r="D72" s="3">
        <v>367.5</v>
      </c>
      <c r="E72" s="3">
        <v>1027.6</v>
      </c>
      <c r="F72" s="3">
        <v>483.1</v>
      </c>
      <c r="G72" s="3">
        <v>4.0</v>
      </c>
      <c r="H72" s="3">
        <v>7.5</v>
      </c>
    </row>
    <row r="73">
      <c r="A73" s="3" t="s">
        <v>35</v>
      </c>
      <c r="B73" s="3">
        <v>2022.0</v>
      </c>
      <c r="C73" s="3" t="s">
        <v>10</v>
      </c>
      <c r="D73" s="3">
        <v>278.1</v>
      </c>
      <c r="E73" s="3">
        <v>645.0</v>
      </c>
      <c r="F73" s="3">
        <v>303.4</v>
      </c>
      <c r="G73" s="3">
        <v>11.0</v>
      </c>
      <c r="H73" s="3">
        <v>12.9</v>
      </c>
    </row>
    <row r="74">
      <c r="A74" s="3" t="s">
        <v>35</v>
      </c>
      <c r="B74" s="3">
        <v>2022.0</v>
      </c>
      <c r="C74" s="3" t="s">
        <v>11</v>
      </c>
      <c r="D74" s="3">
        <v>312.0</v>
      </c>
      <c r="E74" s="3">
        <v>631.5</v>
      </c>
      <c r="F74" s="3">
        <v>377.4</v>
      </c>
      <c r="G74" s="3">
        <v>11.0</v>
      </c>
      <c r="H74" s="3">
        <v>7.3</v>
      </c>
    </row>
    <row r="75">
      <c r="A75" s="3" t="s">
        <v>35</v>
      </c>
      <c r="B75" s="3">
        <v>2022.0</v>
      </c>
      <c r="C75" s="3" t="s">
        <v>13</v>
      </c>
      <c r="D75" s="3">
        <v>286.3</v>
      </c>
      <c r="E75" s="3">
        <v>645.2</v>
      </c>
      <c r="F75" s="3">
        <v>357.7</v>
      </c>
      <c r="G75" s="3">
        <v>11.0</v>
      </c>
      <c r="H75" s="3">
        <v>2.1</v>
      </c>
    </row>
    <row r="76">
      <c r="A76" s="3" t="s">
        <v>35</v>
      </c>
      <c r="B76" s="3">
        <v>2022.0</v>
      </c>
      <c r="C76" s="3" t="s">
        <v>14</v>
      </c>
      <c r="D76" s="3">
        <v>295.1</v>
      </c>
      <c r="E76" s="3">
        <v>766.5</v>
      </c>
      <c r="F76" s="3">
        <v>403.5</v>
      </c>
      <c r="G76" s="3">
        <v>5.0</v>
      </c>
      <c r="H76" s="3">
        <v>31.0</v>
      </c>
    </row>
    <row r="77">
      <c r="A77" s="3" t="s">
        <v>36</v>
      </c>
      <c r="B77" s="3">
        <v>2022.0</v>
      </c>
      <c r="C77" s="3" t="s">
        <v>9</v>
      </c>
      <c r="D77" s="3">
        <v>331.2</v>
      </c>
      <c r="E77" s="3">
        <v>685.8</v>
      </c>
      <c r="F77" s="3">
        <v>475.8</v>
      </c>
      <c r="G77" s="3">
        <v>4.0</v>
      </c>
      <c r="H77" s="3">
        <v>41.2</v>
      </c>
    </row>
    <row r="78">
      <c r="A78" s="3" t="s">
        <v>36</v>
      </c>
      <c r="B78" s="3">
        <v>2022.0</v>
      </c>
      <c r="C78" s="3" t="s">
        <v>10</v>
      </c>
      <c r="D78" s="3">
        <v>376.6</v>
      </c>
      <c r="E78" s="3">
        <v>816.7</v>
      </c>
      <c r="F78" s="3">
        <v>526.4</v>
      </c>
      <c r="G78" s="3">
        <v>11.0</v>
      </c>
      <c r="H78" s="3">
        <v>11.4</v>
      </c>
    </row>
    <row r="79">
      <c r="A79" s="3" t="s">
        <v>36</v>
      </c>
      <c r="B79" s="3">
        <v>2022.0</v>
      </c>
      <c r="C79" s="3" t="s">
        <v>11</v>
      </c>
      <c r="D79" s="3">
        <v>341.6</v>
      </c>
      <c r="E79" s="3">
        <v>969.0</v>
      </c>
      <c r="F79" s="3">
        <v>393.5</v>
      </c>
      <c r="G79" s="3">
        <v>4.0</v>
      </c>
      <c r="H79" s="3">
        <v>41.2</v>
      </c>
    </row>
    <row r="80">
      <c r="A80" s="3" t="s">
        <v>36</v>
      </c>
      <c r="B80" s="3">
        <v>2022.0</v>
      </c>
      <c r="C80" s="3" t="s">
        <v>13</v>
      </c>
      <c r="D80" s="3">
        <v>313.6</v>
      </c>
      <c r="E80" s="3">
        <v>785.2</v>
      </c>
      <c r="F80" s="3">
        <v>443.7</v>
      </c>
      <c r="G80" s="3">
        <v>7.0</v>
      </c>
      <c r="H80" s="3">
        <v>38.0</v>
      </c>
    </row>
    <row r="81">
      <c r="A81" s="3" t="s">
        <v>36</v>
      </c>
      <c r="B81" s="3">
        <v>2022.0</v>
      </c>
      <c r="C81" s="3" t="s">
        <v>14</v>
      </c>
      <c r="D81" s="3">
        <v>312.3</v>
      </c>
      <c r="E81" s="3">
        <v>674.5</v>
      </c>
      <c r="F81" s="3">
        <v>400.9</v>
      </c>
      <c r="G81" s="3">
        <v>5.0</v>
      </c>
      <c r="H81" s="3">
        <v>16.2</v>
      </c>
    </row>
    <row r="82">
      <c r="A82" s="3" t="s">
        <v>37</v>
      </c>
      <c r="B82" s="3">
        <v>2022.0</v>
      </c>
      <c r="C82" s="3" t="s">
        <v>9</v>
      </c>
      <c r="D82" s="3">
        <v>331.3</v>
      </c>
      <c r="E82" s="3">
        <v>677.6</v>
      </c>
      <c r="F82" s="3">
        <v>366.6</v>
      </c>
      <c r="G82" s="3">
        <v>8.0</v>
      </c>
      <c r="H82" s="3">
        <v>13.3</v>
      </c>
    </row>
    <row r="83">
      <c r="A83" s="3" t="s">
        <v>37</v>
      </c>
      <c r="B83" s="3">
        <v>2022.0</v>
      </c>
      <c r="C83" s="3" t="s">
        <v>10</v>
      </c>
      <c r="D83" s="3">
        <v>320.5</v>
      </c>
      <c r="E83" s="3">
        <v>784.9</v>
      </c>
      <c r="F83" s="3">
        <v>386.0</v>
      </c>
      <c r="G83" s="3">
        <v>9.0</v>
      </c>
      <c r="H83" s="3">
        <v>33.0</v>
      </c>
    </row>
    <row r="84">
      <c r="A84" s="3" t="s">
        <v>37</v>
      </c>
      <c r="B84" s="3">
        <v>2022.0</v>
      </c>
      <c r="C84" s="3" t="s">
        <v>11</v>
      </c>
      <c r="D84" s="3">
        <v>316.4</v>
      </c>
      <c r="E84" s="3">
        <v>748.8</v>
      </c>
      <c r="F84" s="3">
        <v>275.1</v>
      </c>
      <c r="G84" s="3">
        <v>7.0</v>
      </c>
      <c r="H84" s="3">
        <v>49.7</v>
      </c>
    </row>
    <row r="85">
      <c r="A85" s="3" t="s">
        <v>37</v>
      </c>
      <c r="B85" s="3">
        <v>2022.0</v>
      </c>
      <c r="C85" s="3" t="s">
        <v>13</v>
      </c>
      <c r="D85" s="3">
        <v>403.0</v>
      </c>
      <c r="E85" s="3">
        <v>920.8</v>
      </c>
      <c r="F85" s="3">
        <v>500.3</v>
      </c>
      <c r="G85" s="3">
        <v>9.0</v>
      </c>
      <c r="H85" s="3">
        <v>15.2</v>
      </c>
    </row>
    <row r="86">
      <c r="A86" s="3" t="s">
        <v>37</v>
      </c>
      <c r="B86" s="3">
        <v>2022.0</v>
      </c>
      <c r="C86" s="3" t="s">
        <v>14</v>
      </c>
      <c r="D86" s="3">
        <v>371.1</v>
      </c>
      <c r="E86" s="3">
        <v>1023.3</v>
      </c>
      <c r="F86" s="3">
        <v>370.1</v>
      </c>
      <c r="G86" s="3">
        <v>4.0</v>
      </c>
      <c r="H86" s="3">
        <v>5.7</v>
      </c>
    </row>
    <row r="87">
      <c r="A87" s="3" t="s">
        <v>38</v>
      </c>
      <c r="B87" s="3">
        <v>2022.0</v>
      </c>
      <c r="C87" s="3" t="s">
        <v>9</v>
      </c>
      <c r="D87" s="3">
        <v>362.1</v>
      </c>
      <c r="E87" s="3">
        <v>858.9</v>
      </c>
      <c r="F87" s="3">
        <v>313.1</v>
      </c>
      <c r="G87" s="3">
        <v>9.0</v>
      </c>
      <c r="H87" s="3">
        <v>13.9</v>
      </c>
    </row>
    <row r="88">
      <c r="A88" s="3" t="s">
        <v>38</v>
      </c>
      <c r="B88" s="3">
        <v>2022.0</v>
      </c>
      <c r="C88" s="3" t="s">
        <v>10</v>
      </c>
      <c r="D88" s="3">
        <v>286.6</v>
      </c>
      <c r="E88" s="3">
        <v>850.2</v>
      </c>
      <c r="F88" s="3">
        <v>421.5</v>
      </c>
      <c r="G88" s="3">
        <v>7.0</v>
      </c>
      <c r="H88" s="3">
        <v>26.2</v>
      </c>
    </row>
    <row r="89">
      <c r="A89" s="3" t="s">
        <v>38</v>
      </c>
      <c r="B89" s="3">
        <v>2022.0</v>
      </c>
      <c r="C89" s="3" t="s">
        <v>11</v>
      </c>
      <c r="D89" s="3">
        <v>335.4</v>
      </c>
      <c r="E89" s="3">
        <v>971.1</v>
      </c>
      <c r="F89" s="3">
        <v>495.2</v>
      </c>
      <c r="G89" s="3">
        <v>12.0</v>
      </c>
      <c r="H89" s="3">
        <v>44.6</v>
      </c>
    </row>
    <row r="90">
      <c r="A90" s="3" t="s">
        <v>38</v>
      </c>
      <c r="B90" s="3">
        <v>2022.0</v>
      </c>
      <c r="C90" s="3" t="s">
        <v>13</v>
      </c>
      <c r="D90" s="3">
        <v>413.5</v>
      </c>
      <c r="E90" s="3">
        <v>940.1</v>
      </c>
      <c r="F90" s="3">
        <v>544.0</v>
      </c>
      <c r="G90" s="3">
        <v>10.0</v>
      </c>
      <c r="H90" s="3">
        <v>6.2</v>
      </c>
    </row>
    <row r="91">
      <c r="A91" s="3" t="s">
        <v>38</v>
      </c>
      <c r="B91" s="3">
        <v>2022.0</v>
      </c>
      <c r="C91" s="3" t="s">
        <v>14</v>
      </c>
      <c r="D91" s="3">
        <v>298.1</v>
      </c>
      <c r="E91" s="3">
        <v>819.1</v>
      </c>
      <c r="F91" s="3">
        <v>248.5</v>
      </c>
      <c r="G91" s="3">
        <v>7.0</v>
      </c>
      <c r="H91" s="3">
        <v>35.8</v>
      </c>
    </row>
    <row r="92">
      <c r="A92" s="3" t="s">
        <v>39</v>
      </c>
      <c r="B92" s="3">
        <v>2022.0</v>
      </c>
      <c r="C92" s="3" t="s">
        <v>9</v>
      </c>
      <c r="D92" s="3">
        <v>303.2</v>
      </c>
      <c r="E92" s="3">
        <v>777.5</v>
      </c>
      <c r="F92" s="3">
        <v>296.1</v>
      </c>
      <c r="G92" s="3">
        <v>6.0</v>
      </c>
      <c r="H92" s="3">
        <v>13.7</v>
      </c>
    </row>
    <row r="93">
      <c r="A93" s="3" t="s">
        <v>39</v>
      </c>
      <c r="B93" s="3">
        <v>2022.0</v>
      </c>
      <c r="C93" s="3" t="s">
        <v>10</v>
      </c>
      <c r="D93" s="3">
        <v>358.7</v>
      </c>
      <c r="E93" s="3">
        <v>778.0</v>
      </c>
      <c r="F93" s="3">
        <v>530.1</v>
      </c>
      <c r="G93" s="3">
        <v>5.0</v>
      </c>
      <c r="H93" s="3">
        <v>34.5</v>
      </c>
    </row>
    <row r="94">
      <c r="A94" s="3" t="s">
        <v>39</v>
      </c>
      <c r="B94" s="3">
        <v>2022.0</v>
      </c>
      <c r="C94" s="3" t="s">
        <v>11</v>
      </c>
      <c r="D94" s="3">
        <v>329.0</v>
      </c>
      <c r="E94" s="3">
        <v>880.6</v>
      </c>
      <c r="F94" s="3">
        <v>332.6</v>
      </c>
      <c r="G94" s="3">
        <v>11.0</v>
      </c>
      <c r="H94" s="3">
        <v>4.5</v>
      </c>
    </row>
    <row r="95">
      <c r="A95" s="3" t="s">
        <v>39</v>
      </c>
      <c r="B95" s="3">
        <v>2022.0</v>
      </c>
      <c r="C95" s="3" t="s">
        <v>13</v>
      </c>
      <c r="D95" s="3">
        <v>313.7</v>
      </c>
      <c r="E95" s="3">
        <v>876.9</v>
      </c>
      <c r="F95" s="3">
        <v>282.0</v>
      </c>
      <c r="G95" s="3">
        <v>9.0</v>
      </c>
      <c r="H95" s="3">
        <v>23.2</v>
      </c>
    </row>
    <row r="96">
      <c r="A96" s="3" t="s">
        <v>39</v>
      </c>
      <c r="B96" s="3">
        <v>2022.0</v>
      </c>
      <c r="C96" s="3" t="s">
        <v>14</v>
      </c>
      <c r="D96" s="3">
        <v>314.6</v>
      </c>
      <c r="E96" s="3">
        <v>800.7</v>
      </c>
      <c r="F96" s="3">
        <v>270.8</v>
      </c>
      <c r="G96" s="3">
        <v>7.0</v>
      </c>
      <c r="H96" s="3">
        <v>41.3</v>
      </c>
    </row>
    <row r="97">
      <c r="A97" s="3" t="s">
        <v>40</v>
      </c>
      <c r="B97" s="3">
        <v>2022.0</v>
      </c>
      <c r="C97" s="3" t="s">
        <v>9</v>
      </c>
      <c r="D97" s="3">
        <v>294.6</v>
      </c>
      <c r="E97" s="3">
        <v>846.2</v>
      </c>
      <c r="F97" s="3">
        <v>362.1</v>
      </c>
      <c r="G97" s="3">
        <v>11.0</v>
      </c>
      <c r="H97" s="3">
        <v>5.1</v>
      </c>
    </row>
    <row r="98">
      <c r="A98" s="3" t="s">
        <v>40</v>
      </c>
      <c r="B98" s="3">
        <v>2022.0</v>
      </c>
      <c r="C98" s="3" t="s">
        <v>10</v>
      </c>
      <c r="D98" s="3">
        <v>300.3</v>
      </c>
      <c r="E98" s="3">
        <v>788.8</v>
      </c>
      <c r="F98" s="3">
        <v>293.4</v>
      </c>
      <c r="G98" s="3">
        <v>9.0</v>
      </c>
      <c r="H98" s="3">
        <v>41.1</v>
      </c>
    </row>
    <row r="99">
      <c r="A99" s="3" t="s">
        <v>40</v>
      </c>
      <c r="B99" s="3">
        <v>2022.0</v>
      </c>
      <c r="C99" s="3" t="s">
        <v>11</v>
      </c>
      <c r="D99" s="3">
        <v>343.0</v>
      </c>
      <c r="E99" s="3">
        <v>1006.6</v>
      </c>
      <c r="F99" s="3">
        <v>324.0</v>
      </c>
      <c r="G99" s="3">
        <v>11.0</v>
      </c>
      <c r="H99" s="3">
        <v>37.9</v>
      </c>
    </row>
    <row r="100">
      <c r="A100" s="3" t="s">
        <v>40</v>
      </c>
      <c r="B100" s="3">
        <v>2022.0</v>
      </c>
      <c r="C100" s="3" t="s">
        <v>13</v>
      </c>
      <c r="D100" s="3">
        <v>369.6</v>
      </c>
      <c r="E100" s="3">
        <v>835.5</v>
      </c>
      <c r="F100" s="3">
        <v>372.5</v>
      </c>
      <c r="G100" s="3">
        <v>10.0</v>
      </c>
      <c r="H100" s="3">
        <v>48.2</v>
      </c>
    </row>
    <row r="101">
      <c r="A101" s="3" t="s">
        <v>40</v>
      </c>
      <c r="B101" s="3">
        <v>2022.0</v>
      </c>
      <c r="C101" s="3" t="s">
        <v>14</v>
      </c>
      <c r="D101" s="3">
        <v>352.4</v>
      </c>
      <c r="E101" s="3">
        <v>862.6</v>
      </c>
      <c r="F101" s="3">
        <v>307.1</v>
      </c>
      <c r="G101" s="3">
        <v>10.0</v>
      </c>
      <c r="H101" s="3">
        <v>6.0</v>
      </c>
    </row>
    <row r="102">
      <c r="A102" s="3" t="s">
        <v>41</v>
      </c>
      <c r="B102" s="3">
        <v>2022.0</v>
      </c>
      <c r="C102" s="3" t="s">
        <v>9</v>
      </c>
      <c r="D102" s="3">
        <v>316.9</v>
      </c>
      <c r="E102" s="3">
        <v>880.4</v>
      </c>
      <c r="F102" s="3">
        <v>338.4</v>
      </c>
      <c r="G102" s="3">
        <v>9.0</v>
      </c>
      <c r="H102" s="3">
        <v>25.7</v>
      </c>
    </row>
    <row r="103">
      <c r="A103" s="3" t="s">
        <v>41</v>
      </c>
      <c r="B103" s="3">
        <v>2022.0</v>
      </c>
      <c r="C103" s="3" t="s">
        <v>10</v>
      </c>
      <c r="D103" s="3">
        <v>365.9</v>
      </c>
      <c r="E103" s="3">
        <v>1042.4</v>
      </c>
      <c r="F103" s="3">
        <v>520.4</v>
      </c>
      <c r="G103" s="3">
        <v>7.0</v>
      </c>
      <c r="H103" s="3">
        <v>36.7</v>
      </c>
    </row>
    <row r="104">
      <c r="A104" s="3" t="s">
        <v>41</v>
      </c>
      <c r="B104" s="3">
        <v>2022.0</v>
      </c>
      <c r="C104" s="3" t="s">
        <v>11</v>
      </c>
      <c r="D104" s="3">
        <v>247.9</v>
      </c>
      <c r="E104" s="3">
        <v>580.6</v>
      </c>
      <c r="F104" s="3">
        <v>232.1</v>
      </c>
      <c r="G104" s="3">
        <v>7.0</v>
      </c>
      <c r="H104" s="3">
        <v>16.4</v>
      </c>
    </row>
    <row r="105">
      <c r="A105" s="3" t="s">
        <v>41</v>
      </c>
      <c r="B105" s="3">
        <v>2022.0</v>
      </c>
      <c r="C105" s="3" t="s">
        <v>13</v>
      </c>
      <c r="D105" s="3">
        <v>360.5</v>
      </c>
      <c r="E105" s="3">
        <v>904.7</v>
      </c>
      <c r="F105" s="3">
        <v>426.1</v>
      </c>
      <c r="G105" s="3">
        <v>12.0</v>
      </c>
      <c r="H105" s="3">
        <v>21.9</v>
      </c>
    </row>
    <row r="106">
      <c r="A106" s="3" t="s">
        <v>41</v>
      </c>
      <c r="B106" s="3">
        <v>2022.0</v>
      </c>
      <c r="C106" s="3" t="s">
        <v>14</v>
      </c>
      <c r="D106" s="3">
        <v>286.9</v>
      </c>
      <c r="E106" s="3">
        <v>629.4</v>
      </c>
      <c r="F106" s="3">
        <v>420.5</v>
      </c>
      <c r="G106" s="3">
        <v>5.0</v>
      </c>
      <c r="H106" s="3">
        <v>34.4</v>
      </c>
    </row>
    <row r="107">
      <c r="A107" s="3" t="s">
        <v>42</v>
      </c>
      <c r="B107" s="3">
        <v>2022.0</v>
      </c>
      <c r="C107" s="3" t="s">
        <v>9</v>
      </c>
      <c r="D107" s="3">
        <v>393.9</v>
      </c>
      <c r="E107" s="3">
        <v>864.7</v>
      </c>
      <c r="F107" s="3">
        <v>339.0</v>
      </c>
      <c r="G107" s="3">
        <v>12.0</v>
      </c>
      <c r="H107" s="3">
        <v>13.1</v>
      </c>
    </row>
    <row r="108">
      <c r="A108" s="3" t="s">
        <v>42</v>
      </c>
      <c r="B108" s="3">
        <v>2022.0</v>
      </c>
      <c r="C108" s="3" t="s">
        <v>10</v>
      </c>
      <c r="D108" s="3">
        <v>305.6</v>
      </c>
      <c r="E108" s="3">
        <v>813.9</v>
      </c>
      <c r="F108" s="3">
        <v>370.8</v>
      </c>
      <c r="G108" s="3">
        <v>11.0</v>
      </c>
      <c r="H108" s="3">
        <v>36.5</v>
      </c>
    </row>
    <row r="109">
      <c r="A109" s="3" t="s">
        <v>42</v>
      </c>
      <c r="B109" s="3">
        <v>2022.0</v>
      </c>
      <c r="C109" s="3" t="s">
        <v>11</v>
      </c>
      <c r="D109" s="3">
        <v>397.5</v>
      </c>
      <c r="E109" s="3">
        <v>1003.4</v>
      </c>
      <c r="F109" s="3">
        <v>499.3</v>
      </c>
      <c r="G109" s="3">
        <v>6.0</v>
      </c>
      <c r="H109" s="3">
        <v>27.5</v>
      </c>
    </row>
    <row r="110">
      <c r="A110" s="3" t="s">
        <v>42</v>
      </c>
      <c r="B110" s="3">
        <v>2022.0</v>
      </c>
      <c r="C110" s="3" t="s">
        <v>13</v>
      </c>
      <c r="D110" s="3">
        <v>342.8</v>
      </c>
      <c r="E110" s="3">
        <v>940.5</v>
      </c>
      <c r="F110" s="3">
        <v>379.4</v>
      </c>
      <c r="G110" s="3">
        <v>7.0</v>
      </c>
      <c r="H110" s="3">
        <v>7.8</v>
      </c>
    </row>
    <row r="111">
      <c r="A111" s="3" t="s">
        <v>42</v>
      </c>
      <c r="B111" s="3">
        <v>2022.0</v>
      </c>
      <c r="C111" s="3" t="s">
        <v>14</v>
      </c>
      <c r="D111" s="3">
        <v>304.8</v>
      </c>
      <c r="E111" s="3">
        <v>893.1</v>
      </c>
      <c r="F111" s="3">
        <v>446.1</v>
      </c>
      <c r="G111" s="3">
        <v>11.0</v>
      </c>
      <c r="H111" s="3">
        <v>17.6</v>
      </c>
    </row>
    <row r="112">
      <c r="A112" s="3" t="s">
        <v>43</v>
      </c>
      <c r="B112" s="3">
        <v>2022.0</v>
      </c>
      <c r="C112" s="3" t="s">
        <v>9</v>
      </c>
      <c r="D112" s="3">
        <v>351.4</v>
      </c>
      <c r="E112" s="3">
        <v>941.9</v>
      </c>
      <c r="F112" s="3">
        <v>492.4</v>
      </c>
      <c r="G112" s="3">
        <v>11.0</v>
      </c>
      <c r="H112" s="3">
        <v>32.5</v>
      </c>
    </row>
    <row r="113">
      <c r="A113" s="3" t="s">
        <v>43</v>
      </c>
      <c r="B113" s="3">
        <v>2022.0</v>
      </c>
      <c r="C113" s="3" t="s">
        <v>10</v>
      </c>
      <c r="D113" s="3">
        <v>335.7</v>
      </c>
      <c r="E113" s="3">
        <v>763.4</v>
      </c>
      <c r="F113" s="3">
        <v>456.8</v>
      </c>
      <c r="G113" s="3">
        <v>12.0</v>
      </c>
      <c r="H113" s="3">
        <v>24.7</v>
      </c>
    </row>
    <row r="114">
      <c r="A114" s="3" t="s">
        <v>43</v>
      </c>
      <c r="B114" s="3">
        <v>2022.0</v>
      </c>
      <c r="C114" s="3" t="s">
        <v>11</v>
      </c>
      <c r="D114" s="3">
        <v>347.5</v>
      </c>
      <c r="E114" s="3">
        <v>719.2</v>
      </c>
      <c r="F114" s="3">
        <v>292.2</v>
      </c>
      <c r="G114" s="3">
        <v>7.0</v>
      </c>
      <c r="H114" s="3">
        <v>11.6</v>
      </c>
    </row>
    <row r="115">
      <c r="A115" s="3" t="s">
        <v>43</v>
      </c>
      <c r="B115" s="3">
        <v>2022.0</v>
      </c>
      <c r="C115" s="3" t="s">
        <v>13</v>
      </c>
      <c r="D115" s="3">
        <v>377.1</v>
      </c>
      <c r="E115" s="3">
        <v>1007.6</v>
      </c>
      <c r="F115" s="3">
        <v>441.8</v>
      </c>
      <c r="G115" s="3">
        <v>9.0</v>
      </c>
      <c r="H115" s="3">
        <v>21.2</v>
      </c>
    </row>
    <row r="116">
      <c r="A116" s="3" t="s">
        <v>43</v>
      </c>
      <c r="B116" s="3">
        <v>2022.0</v>
      </c>
      <c r="C116" s="3" t="s">
        <v>14</v>
      </c>
      <c r="D116" s="3">
        <v>313.6</v>
      </c>
      <c r="E116" s="3">
        <v>898.8</v>
      </c>
      <c r="F116" s="3">
        <v>288.7</v>
      </c>
      <c r="G116" s="3">
        <v>7.0</v>
      </c>
      <c r="H116" s="3">
        <v>28.7</v>
      </c>
    </row>
    <row r="117">
      <c r="A117" s="3" t="s">
        <v>44</v>
      </c>
      <c r="B117" s="3">
        <v>2022.0</v>
      </c>
      <c r="C117" s="3" t="s">
        <v>9</v>
      </c>
      <c r="D117" s="3">
        <v>218.4</v>
      </c>
      <c r="E117" s="3">
        <v>475.2</v>
      </c>
      <c r="F117" s="3">
        <v>298.9</v>
      </c>
      <c r="G117" s="3">
        <v>9.0</v>
      </c>
      <c r="H117" s="3">
        <v>13.9</v>
      </c>
    </row>
    <row r="118">
      <c r="A118" s="3" t="s">
        <v>44</v>
      </c>
      <c r="B118" s="3">
        <v>2022.0</v>
      </c>
      <c r="C118" s="3" t="s">
        <v>10</v>
      </c>
      <c r="D118" s="3">
        <v>321.5</v>
      </c>
      <c r="E118" s="3">
        <v>686.6</v>
      </c>
      <c r="F118" s="3">
        <v>373.9</v>
      </c>
      <c r="G118" s="3">
        <v>4.0</v>
      </c>
      <c r="H118" s="3">
        <v>46.8</v>
      </c>
    </row>
    <row r="119">
      <c r="A119" s="3" t="s">
        <v>44</v>
      </c>
      <c r="B119" s="3">
        <v>2022.0</v>
      </c>
      <c r="C119" s="3" t="s">
        <v>11</v>
      </c>
      <c r="D119" s="3">
        <v>334.3</v>
      </c>
      <c r="E119" s="3">
        <v>832.5</v>
      </c>
      <c r="F119" s="3">
        <v>370.0</v>
      </c>
      <c r="G119" s="3">
        <v>6.0</v>
      </c>
      <c r="H119" s="3">
        <v>19.8</v>
      </c>
    </row>
    <row r="120">
      <c r="A120" s="3" t="s">
        <v>44</v>
      </c>
      <c r="B120" s="3">
        <v>2022.0</v>
      </c>
      <c r="C120" s="3" t="s">
        <v>13</v>
      </c>
      <c r="D120" s="3">
        <v>314.1</v>
      </c>
      <c r="E120" s="3">
        <v>674.4</v>
      </c>
      <c r="F120" s="3">
        <v>385.7</v>
      </c>
      <c r="G120" s="3">
        <v>8.0</v>
      </c>
      <c r="H120" s="3">
        <v>36.0</v>
      </c>
    </row>
    <row r="121">
      <c r="A121" s="3" t="s">
        <v>44</v>
      </c>
      <c r="B121" s="3">
        <v>2022.0</v>
      </c>
      <c r="C121" s="3" t="s">
        <v>14</v>
      </c>
      <c r="D121" s="3">
        <v>283.6</v>
      </c>
      <c r="E121" s="3">
        <v>835.5</v>
      </c>
      <c r="F121" s="3">
        <v>275.5</v>
      </c>
      <c r="G121" s="3">
        <v>8.0</v>
      </c>
      <c r="H121" s="3">
        <v>13.5</v>
      </c>
    </row>
    <row r="122">
      <c r="A122" s="3" t="s">
        <v>45</v>
      </c>
      <c r="B122" s="3">
        <v>2022.0</v>
      </c>
      <c r="C122" s="3" t="s">
        <v>9</v>
      </c>
      <c r="D122" s="3">
        <v>290.1</v>
      </c>
      <c r="E122" s="3">
        <v>850.2</v>
      </c>
      <c r="F122" s="3">
        <v>402.1</v>
      </c>
      <c r="G122" s="3">
        <v>7.0</v>
      </c>
      <c r="H122" s="3">
        <v>25.2</v>
      </c>
    </row>
    <row r="123">
      <c r="A123" s="3" t="s">
        <v>45</v>
      </c>
      <c r="B123" s="3">
        <v>2022.0</v>
      </c>
      <c r="C123" s="3" t="s">
        <v>10</v>
      </c>
      <c r="D123" s="3">
        <v>369.1</v>
      </c>
      <c r="E123" s="3">
        <v>1014.5</v>
      </c>
      <c r="F123" s="3">
        <v>497.9</v>
      </c>
      <c r="G123" s="3">
        <v>6.0</v>
      </c>
      <c r="H123" s="3">
        <v>36.3</v>
      </c>
    </row>
    <row r="124">
      <c r="A124" s="3" t="s">
        <v>45</v>
      </c>
      <c r="B124" s="3">
        <v>2022.0</v>
      </c>
      <c r="C124" s="3" t="s">
        <v>11</v>
      </c>
      <c r="D124" s="3">
        <v>280.3</v>
      </c>
      <c r="E124" s="3">
        <v>829.4</v>
      </c>
      <c r="F124" s="3">
        <v>406.9</v>
      </c>
      <c r="G124" s="3">
        <v>5.0</v>
      </c>
      <c r="H124" s="3">
        <v>36.4</v>
      </c>
    </row>
    <row r="125">
      <c r="A125" s="3" t="s">
        <v>45</v>
      </c>
      <c r="B125" s="3">
        <v>2022.0</v>
      </c>
      <c r="C125" s="3" t="s">
        <v>13</v>
      </c>
      <c r="D125" s="3">
        <v>305.8</v>
      </c>
      <c r="E125" s="3">
        <v>694.7</v>
      </c>
      <c r="F125" s="3">
        <v>326.8</v>
      </c>
      <c r="G125" s="3">
        <v>12.0</v>
      </c>
      <c r="H125" s="3">
        <v>12.0</v>
      </c>
    </row>
    <row r="126">
      <c r="A126" s="3" t="s">
        <v>45</v>
      </c>
      <c r="B126" s="3">
        <v>2022.0</v>
      </c>
      <c r="C126" s="3" t="s">
        <v>14</v>
      </c>
      <c r="D126" s="3">
        <v>356.6</v>
      </c>
      <c r="E126" s="3">
        <v>1012.9</v>
      </c>
      <c r="F126" s="3">
        <v>460.3</v>
      </c>
      <c r="G126" s="3">
        <v>10.0</v>
      </c>
      <c r="H126" s="3">
        <v>10.6</v>
      </c>
    </row>
    <row r="127">
      <c r="A127" s="3" t="s">
        <v>46</v>
      </c>
      <c r="B127" s="3">
        <v>2022.0</v>
      </c>
      <c r="C127" s="3" t="s">
        <v>9</v>
      </c>
      <c r="D127" s="3">
        <v>353.1</v>
      </c>
      <c r="E127" s="3">
        <v>746.8</v>
      </c>
      <c r="F127" s="3">
        <v>308.9</v>
      </c>
      <c r="G127" s="3">
        <v>5.0</v>
      </c>
      <c r="H127" s="3">
        <v>13.6</v>
      </c>
    </row>
    <row r="128">
      <c r="A128" s="3" t="s">
        <v>46</v>
      </c>
      <c r="B128" s="3">
        <v>2022.0</v>
      </c>
      <c r="C128" s="3" t="s">
        <v>10</v>
      </c>
      <c r="D128" s="3">
        <v>310.2</v>
      </c>
      <c r="E128" s="3">
        <v>691.8</v>
      </c>
      <c r="F128" s="3">
        <v>360.2</v>
      </c>
      <c r="G128" s="3">
        <v>5.0</v>
      </c>
      <c r="H128" s="3">
        <v>47.1</v>
      </c>
    </row>
    <row r="129">
      <c r="A129" s="3" t="s">
        <v>46</v>
      </c>
      <c r="B129" s="3">
        <v>2022.0</v>
      </c>
      <c r="C129" s="3" t="s">
        <v>11</v>
      </c>
      <c r="D129" s="3">
        <v>322.5</v>
      </c>
      <c r="E129" s="3">
        <v>667.6</v>
      </c>
      <c r="F129" s="3">
        <v>400.4</v>
      </c>
      <c r="G129" s="3">
        <v>5.0</v>
      </c>
      <c r="H129" s="3">
        <v>19.7</v>
      </c>
    </row>
    <row r="130">
      <c r="A130" s="3" t="s">
        <v>46</v>
      </c>
      <c r="B130" s="3">
        <v>2022.0</v>
      </c>
      <c r="C130" s="3" t="s">
        <v>13</v>
      </c>
      <c r="D130" s="3">
        <v>341.8</v>
      </c>
      <c r="E130" s="3">
        <v>975.6</v>
      </c>
      <c r="F130" s="3">
        <v>495.8</v>
      </c>
      <c r="G130" s="3">
        <v>12.0</v>
      </c>
      <c r="H130" s="3">
        <v>20.2</v>
      </c>
    </row>
    <row r="131">
      <c r="A131" s="3" t="s">
        <v>46</v>
      </c>
      <c r="B131" s="3">
        <v>2022.0</v>
      </c>
      <c r="C131" s="3" t="s">
        <v>14</v>
      </c>
      <c r="D131" s="3">
        <v>389.2</v>
      </c>
      <c r="E131" s="3">
        <v>856.4</v>
      </c>
      <c r="F131" s="3">
        <v>424.0</v>
      </c>
      <c r="G131" s="3">
        <v>7.0</v>
      </c>
      <c r="H131" s="3">
        <v>2.8</v>
      </c>
    </row>
    <row r="132">
      <c r="A132" s="3" t="s">
        <v>47</v>
      </c>
      <c r="B132" s="3">
        <v>2022.0</v>
      </c>
      <c r="C132" s="3" t="s">
        <v>9</v>
      </c>
      <c r="D132" s="3">
        <v>351.3</v>
      </c>
      <c r="E132" s="3">
        <v>922.7</v>
      </c>
      <c r="F132" s="3">
        <v>449.4</v>
      </c>
      <c r="G132" s="3">
        <v>9.0</v>
      </c>
      <c r="H132" s="3">
        <v>48.7</v>
      </c>
    </row>
    <row r="133">
      <c r="A133" s="3" t="s">
        <v>47</v>
      </c>
      <c r="B133" s="3">
        <v>2022.0</v>
      </c>
      <c r="C133" s="3" t="s">
        <v>10</v>
      </c>
      <c r="D133" s="3">
        <v>346.8</v>
      </c>
      <c r="E133" s="3">
        <v>802.0</v>
      </c>
      <c r="F133" s="3">
        <v>478.1</v>
      </c>
      <c r="G133" s="3">
        <v>9.0</v>
      </c>
      <c r="H133" s="3">
        <v>27.0</v>
      </c>
    </row>
    <row r="134">
      <c r="A134" s="3" t="s">
        <v>47</v>
      </c>
      <c r="B134" s="3">
        <v>2022.0</v>
      </c>
      <c r="C134" s="3" t="s">
        <v>11</v>
      </c>
      <c r="D134" s="3">
        <v>281.8</v>
      </c>
      <c r="E134" s="3">
        <v>842.5</v>
      </c>
      <c r="F134" s="3">
        <v>359.5</v>
      </c>
      <c r="G134" s="3">
        <v>9.0</v>
      </c>
      <c r="H134" s="3">
        <v>33.1</v>
      </c>
    </row>
    <row r="135">
      <c r="A135" s="3" t="s">
        <v>47</v>
      </c>
      <c r="B135" s="3">
        <v>2022.0</v>
      </c>
      <c r="C135" s="3" t="s">
        <v>13</v>
      </c>
      <c r="D135" s="3">
        <v>291.5</v>
      </c>
      <c r="E135" s="3">
        <v>659.5</v>
      </c>
      <c r="F135" s="3">
        <v>404.4</v>
      </c>
      <c r="G135" s="3">
        <v>6.0</v>
      </c>
      <c r="H135" s="3">
        <v>12.4</v>
      </c>
    </row>
    <row r="136">
      <c r="A136" s="3" t="s">
        <v>47</v>
      </c>
      <c r="B136" s="3">
        <v>2022.0</v>
      </c>
      <c r="C136" s="3" t="s">
        <v>14</v>
      </c>
      <c r="D136" s="3">
        <v>288.7</v>
      </c>
      <c r="E136" s="3">
        <v>741.2</v>
      </c>
      <c r="F136" s="3">
        <v>344.4</v>
      </c>
      <c r="G136" s="3">
        <v>7.0</v>
      </c>
      <c r="H136" s="3">
        <v>39.7</v>
      </c>
    </row>
    <row r="137">
      <c r="A137" s="3" t="s">
        <v>48</v>
      </c>
      <c r="B137" s="3">
        <v>2022.0</v>
      </c>
      <c r="C137" s="3" t="s">
        <v>9</v>
      </c>
      <c r="D137" s="3">
        <v>294.9</v>
      </c>
      <c r="E137" s="3">
        <v>624.4</v>
      </c>
      <c r="F137" s="3">
        <v>439.5</v>
      </c>
      <c r="G137" s="3">
        <v>3.0</v>
      </c>
      <c r="H137" s="3">
        <v>2.5</v>
      </c>
    </row>
    <row r="138">
      <c r="A138" s="3" t="s">
        <v>48</v>
      </c>
      <c r="B138" s="3">
        <v>2022.0</v>
      </c>
      <c r="C138" s="3" t="s">
        <v>10</v>
      </c>
      <c r="D138" s="3">
        <v>322.9</v>
      </c>
      <c r="E138" s="3">
        <v>924.2</v>
      </c>
      <c r="F138" s="3">
        <v>475.6</v>
      </c>
      <c r="G138" s="3">
        <v>6.0</v>
      </c>
      <c r="H138" s="3">
        <v>17.4</v>
      </c>
    </row>
    <row r="139">
      <c r="A139" s="3" t="s">
        <v>48</v>
      </c>
      <c r="B139" s="3">
        <v>2022.0</v>
      </c>
      <c r="C139" s="3" t="s">
        <v>11</v>
      </c>
      <c r="D139" s="3">
        <v>355.1</v>
      </c>
      <c r="E139" s="3">
        <v>975.4</v>
      </c>
      <c r="F139" s="3">
        <v>297.2</v>
      </c>
      <c r="G139" s="3">
        <v>12.0</v>
      </c>
      <c r="H139" s="3">
        <v>13.7</v>
      </c>
    </row>
    <row r="140">
      <c r="A140" s="3" t="s">
        <v>48</v>
      </c>
      <c r="B140" s="3">
        <v>2022.0</v>
      </c>
      <c r="C140" s="3" t="s">
        <v>13</v>
      </c>
      <c r="D140" s="3">
        <v>351.7</v>
      </c>
      <c r="E140" s="3">
        <v>1005.4</v>
      </c>
      <c r="F140" s="3">
        <v>310.3</v>
      </c>
      <c r="G140" s="3">
        <v>5.0</v>
      </c>
      <c r="H140" s="3">
        <v>34.0</v>
      </c>
    </row>
    <row r="141">
      <c r="A141" s="3" t="s">
        <v>48</v>
      </c>
      <c r="B141" s="3">
        <v>2022.0</v>
      </c>
      <c r="C141" s="3" t="s">
        <v>14</v>
      </c>
      <c r="D141" s="3">
        <v>392.3</v>
      </c>
      <c r="E141" s="3">
        <v>1057.2</v>
      </c>
      <c r="F141" s="3">
        <v>435.1</v>
      </c>
      <c r="G141" s="3">
        <v>12.0</v>
      </c>
      <c r="H141" s="3">
        <v>45.7</v>
      </c>
    </row>
    <row r="142">
      <c r="A142" s="3" t="s">
        <v>49</v>
      </c>
      <c r="B142" s="3">
        <v>2022.0</v>
      </c>
      <c r="C142" s="3" t="s">
        <v>9</v>
      </c>
      <c r="D142" s="3">
        <v>346.3</v>
      </c>
      <c r="E142" s="3">
        <v>935.2</v>
      </c>
      <c r="F142" s="3">
        <v>453.2</v>
      </c>
      <c r="G142" s="3">
        <v>6.0</v>
      </c>
      <c r="H142" s="3">
        <v>20.8</v>
      </c>
    </row>
    <row r="143">
      <c r="A143" s="3" t="s">
        <v>49</v>
      </c>
      <c r="B143" s="3">
        <v>2022.0</v>
      </c>
      <c r="C143" s="3" t="s">
        <v>10</v>
      </c>
      <c r="D143" s="3">
        <v>272.6</v>
      </c>
      <c r="E143" s="3">
        <v>593.2</v>
      </c>
      <c r="F143" s="3">
        <v>359.9</v>
      </c>
      <c r="G143" s="3">
        <v>10.0</v>
      </c>
      <c r="H143" s="3">
        <v>23.3</v>
      </c>
    </row>
    <row r="144">
      <c r="A144" s="3" t="s">
        <v>49</v>
      </c>
      <c r="B144" s="3">
        <v>2022.0</v>
      </c>
      <c r="C144" s="3" t="s">
        <v>11</v>
      </c>
      <c r="D144" s="3">
        <v>290.0</v>
      </c>
      <c r="E144" s="3">
        <v>710.0</v>
      </c>
      <c r="F144" s="3">
        <v>256.6</v>
      </c>
      <c r="G144" s="3">
        <v>7.0</v>
      </c>
      <c r="H144" s="3">
        <v>15.1</v>
      </c>
    </row>
    <row r="145">
      <c r="A145" s="3" t="s">
        <v>49</v>
      </c>
      <c r="B145" s="3">
        <v>2022.0</v>
      </c>
      <c r="C145" s="3" t="s">
        <v>13</v>
      </c>
      <c r="D145" s="3">
        <v>276.0</v>
      </c>
      <c r="E145" s="3">
        <v>566.8</v>
      </c>
      <c r="F145" s="3">
        <v>320.6</v>
      </c>
      <c r="G145" s="3">
        <v>11.0</v>
      </c>
      <c r="H145" s="3">
        <v>8.3</v>
      </c>
    </row>
    <row r="146">
      <c r="A146" s="3" t="s">
        <v>49</v>
      </c>
      <c r="B146" s="3">
        <v>2022.0</v>
      </c>
      <c r="C146" s="3" t="s">
        <v>14</v>
      </c>
      <c r="D146" s="3">
        <v>298.8</v>
      </c>
      <c r="E146" s="3">
        <v>741.1</v>
      </c>
      <c r="F146" s="3">
        <v>433.8</v>
      </c>
      <c r="G146" s="3">
        <v>5.0</v>
      </c>
      <c r="H146" s="3">
        <v>30.9</v>
      </c>
    </row>
    <row r="147">
      <c r="A147" s="3" t="s">
        <v>50</v>
      </c>
      <c r="B147" s="3">
        <v>2022.0</v>
      </c>
      <c r="C147" s="3" t="s">
        <v>9</v>
      </c>
      <c r="D147" s="3">
        <v>286.5</v>
      </c>
      <c r="E147" s="3">
        <v>783.7</v>
      </c>
      <c r="F147" s="3">
        <v>271.6</v>
      </c>
      <c r="G147" s="3">
        <v>10.0</v>
      </c>
      <c r="H147" s="3">
        <v>22.1</v>
      </c>
    </row>
    <row r="148">
      <c r="A148" s="3" t="s">
        <v>50</v>
      </c>
      <c r="B148" s="3">
        <v>2022.0</v>
      </c>
      <c r="C148" s="3" t="s">
        <v>10</v>
      </c>
      <c r="D148" s="3">
        <v>298.1</v>
      </c>
      <c r="E148" s="3">
        <v>605.1</v>
      </c>
      <c r="F148" s="3">
        <v>321.3</v>
      </c>
      <c r="G148" s="3">
        <v>6.0</v>
      </c>
      <c r="H148" s="3">
        <v>49.6</v>
      </c>
    </row>
    <row r="149">
      <c r="A149" s="3" t="s">
        <v>50</v>
      </c>
      <c r="B149" s="3">
        <v>2022.0</v>
      </c>
      <c r="C149" s="3" t="s">
        <v>11</v>
      </c>
      <c r="D149" s="3">
        <v>247.4</v>
      </c>
      <c r="E149" s="3">
        <v>697.5</v>
      </c>
      <c r="F149" s="3">
        <v>292.7</v>
      </c>
      <c r="G149" s="3">
        <v>4.0</v>
      </c>
      <c r="H149" s="3">
        <v>42.1</v>
      </c>
    </row>
    <row r="150">
      <c r="A150" s="3" t="s">
        <v>50</v>
      </c>
      <c r="B150" s="3">
        <v>2022.0</v>
      </c>
      <c r="C150" s="3" t="s">
        <v>13</v>
      </c>
      <c r="D150" s="3">
        <v>346.8</v>
      </c>
      <c r="E150" s="3">
        <v>991.5</v>
      </c>
      <c r="F150" s="3">
        <v>332.8</v>
      </c>
      <c r="G150" s="3">
        <v>10.0</v>
      </c>
      <c r="H150" s="3">
        <v>29.5</v>
      </c>
    </row>
    <row r="151">
      <c r="A151" s="3" t="s">
        <v>50</v>
      </c>
      <c r="B151" s="3">
        <v>2022.0</v>
      </c>
      <c r="C151" s="3" t="s">
        <v>14</v>
      </c>
      <c r="D151" s="3">
        <v>307.0</v>
      </c>
      <c r="E151" s="3">
        <v>875.7</v>
      </c>
      <c r="F151" s="3">
        <v>412.1</v>
      </c>
      <c r="G151" s="3">
        <v>11.0</v>
      </c>
      <c r="H151" s="3">
        <v>23.8</v>
      </c>
    </row>
    <row r="152">
      <c r="A152" s="3" t="s">
        <v>51</v>
      </c>
      <c r="B152" s="3">
        <v>2022.0</v>
      </c>
      <c r="C152" s="3" t="s">
        <v>9</v>
      </c>
      <c r="D152" s="3">
        <v>394.7</v>
      </c>
      <c r="E152" s="3">
        <v>1174.6</v>
      </c>
      <c r="F152" s="3">
        <v>401.6</v>
      </c>
      <c r="G152" s="3">
        <v>7.0</v>
      </c>
      <c r="H152" s="3">
        <v>35.0</v>
      </c>
    </row>
    <row r="153">
      <c r="A153" s="3" t="s">
        <v>51</v>
      </c>
      <c r="B153" s="3">
        <v>2022.0</v>
      </c>
      <c r="C153" s="3" t="s">
        <v>10</v>
      </c>
      <c r="D153" s="3">
        <v>361.9</v>
      </c>
      <c r="E153" s="3">
        <v>745.0</v>
      </c>
      <c r="F153" s="3">
        <v>542.5</v>
      </c>
      <c r="G153" s="3">
        <v>7.0</v>
      </c>
      <c r="H153" s="3">
        <v>44.1</v>
      </c>
    </row>
    <row r="154">
      <c r="A154" s="3" t="s">
        <v>51</v>
      </c>
      <c r="B154" s="3">
        <v>2022.0</v>
      </c>
      <c r="C154" s="3" t="s">
        <v>11</v>
      </c>
      <c r="D154" s="3">
        <v>364.3</v>
      </c>
      <c r="E154" s="3">
        <v>965.8</v>
      </c>
      <c r="F154" s="3">
        <v>509.8</v>
      </c>
      <c r="G154" s="3">
        <v>11.0</v>
      </c>
      <c r="H154" s="3">
        <v>43.9</v>
      </c>
    </row>
    <row r="155">
      <c r="A155" s="3" t="s">
        <v>51</v>
      </c>
      <c r="B155" s="3">
        <v>2022.0</v>
      </c>
      <c r="C155" s="3" t="s">
        <v>13</v>
      </c>
      <c r="D155" s="3">
        <v>321.4</v>
      </c>
      <c r="E155" s="3">
        <v>807.8</v>
      </c>
      <c r="F155" s="3">
        <v>388.9</v>
      </c>
      <c r="G155" s="3">
        <v>9.0</v>
      </c>
      <c r="H155" s="3">
        <v>42.9</v>
      </c>
    </row>
    <row r="156">
      <c r="A156" s="3" t="s">
        <v>51</v>
      </c>
      <c r="B156" s="3">
        <v>2022.0</v>
      </c>
      <c r="C156" s="3" t="s">
        <v>14</v>
      </c>
      <c r="D156" s="3">
        <v>306.7</v>
      </c>
      <c r="E156" s="3">
        <v>671.3</v>
      </c>
      <c r="F156" s="3">
        <v>269.8</v>
      </c>
      <c r="G156" s="3">
        <v>12.0</v>
      </c>
      <c r="H156" s="3">
        <v>21.5</v>
      </c>
    </row>
    <row r="157">
      <c r="A157" s="3" t="s">
        <v>52</v>
      </c>
      <c r="B157" s="3">
        <v>2022.0</v>
      </c>
      <c r="C157" s="3" t="s">
        <v>9</v>
      </c>
      <c r="D157" s="3">
        <v>362.0</v>
      </c>
      <c r="E157" s="3">
        <v>882.6</v>
      </c>
      <c r="F157" s="3">
        <v>295.1</v>
      </c>
      <c r="G157" s="3">
        <v>11.0</v>
      </c>
      <c r="H157" s="3">
        <v>10.5</v>
      </c>
    </row>
    <row r="158">
      <c r="A158" s="3" t="s">
        <v>52</v>
      </c>
      <c r="B158" s="3">
        <v>2022.0</v>
      </c>
      <c r="C158" s="3" t="s">
        <v>10</v>
      </c>
      <c r="D158" s="3">
        <v>304.8</v>
      </c>
      <c r="E158" s="3">
        <v>724.3</v>
      </c>
      <c r="F158" s="3">
        <v>387.2</v>
      </c>
      <c r="G158" s="3">
        <v>11.0</v>
      </c>
      <c r="H158" s="3">
        <v>41.8</v>
      </c>
    </row>
    <row r="159">
      <c r="A159" s="3" t="s">
        <v>52</v>
      </c>
      <c r="B159" s="3">
        <v>2022.0</v>
      </c>
      <c r="C159" s="3" t="s">
        <v>11</v>
      </c>
      <c r="D159" s="3">
        <v>306.3</v>
      </c>
      <c r="E159" s="3">
        <v>793.1</v>
      </c>
      <c r="F159" s="3">
        <v>288.0</v>
      </c>
      <c r="G159" s="3">
        <v>10.0</v>
      </c>
      <c r="H159" s="3">
        <v>26.1</v>
      </c>
    </row>
    <row r="160">
      <c r="A160" s="3" t="s">
        <v>52</v>
      </c>
      <c r="B160" s="3">
        <v>2022.0</v>
      </c>
      <c r="C160" s="3" t="s">
        <v>13</v>
      </c>
      <c r="D160" s="3">
        <v>340.3</v>
      </c>
      <c r="E160" s="3">
        <v>872.0</v>
      </c>
      <c r="F160" s="3">
        <v>497.3</v>
      </c>
      <c r="G160" s="3">
        <v>10.0</v>
      </c>
      <c r="H160" s="3">
        <v>32.4</v>
      </c>
    </row>
    <row r="161">
      <c r="A161" s="3" t="s">
        <v>52</v>
      </c>
      <c r="B161" s="3">
        <v>2022.0</v>
      </c>
      <c r="C161" s="3" t="s">
        <v>14</v>
      </c>
      <c r="D161" s="3">
        <v>308.8</v>
      </c>
      <c r="E161" s="3">
        <v>701.2</v>
      </c>
      <c r="F161" s="3">
        <v>333.6</v>
      </c>
      <c r="G161" s="3">
        <v>7.0</v>
      </c>
      <c r="H161" s="3">
        <v>13.9</v>
      </c>
    </row>
    <row r="162">
      <c r="A162" s="3" t="s">
        <v>53</v>
      </c>
      <c r="B162" s="3">
        <v>2022.0</v>
      </c>
      <c r="C162" s="3" t="s">
        <v>9</v>
      </c>
      <c r="D162" s="3">
        <v>366.3</v>
      </c>
      <c r="E162" s="3">
        <v>1026.3</v>
      </c>
      <c r="F162" s="3">
        <v>496.1</v>
      </c>
      <c r="G162" s="3">
        <v>6.0</v>
      </c>
      <c r="H162" s="3">
        <v>29.8</v>
      </c>
    </row>
    <row r="163">
      <c r="A163" s="3" t="s">
        <v>53</v>
      </c>
      <c r="B163" s="3">
        <v>2022.0</v>
      </c>
      <c r="C163" s="3" t="s">
        <v>10</v>
      </c>
      <c r="D163" s="3">
        <v>353.9</v>
      </c>
      <c r="E163" s="3">
        <v>707.8</v>
      </c>
      <c r="F163" s="3">
        <v>372.9</v>
      </c>
      <c r="G163" s="3">
        <v>8.0</v>
      </c>
      <c r="H163" s="3">
        <v>36.1</v>
      </c>
    </row>
    <row r="164">
      <c r="A164" s="3" t="s">
        <v>53</v>
      </c>
      <c r="B164" s="3">
        <v>2022.0</v>
      </c>
      <c r="C164" s="3" t="s">
        <v>11</v>
      </c>
      <c r="D164" s="3">
        <v>367.0</v>
      </c>
      <c r="E164" s="3">
        <v>1009.1</v>
      </c>
      <c r="F164" s="3">
        <v>328.5</v>
      </c>
      <c r="G164" s="3">
        <v>5.0</v>
      </c>
      <c r="H164" s="3">
        <v>46.7</v>
      </c>
    </row>
    <row r="165">
      <c r="A165" s="3" t="s">
        <v>53</v>
      </c>
      <c r="B165" s="3">
        <v>2022.0</v>
      </c>
      <c r="C165" s="3" t="s">
        <v>13</v>
      </c>
      <c r="D165" s="3">
        <v>322.8</v>
      </c>
      <c r="E165" s="3">
        <v>771.5</v>
      </c>
      <c r="F165" s="3">
        <v>347.0</v>
      </c>
      <c r="G165" s="3">
        <v>10.0</v>
      </c>
      <c r="H165" s="3">
        <v>7.1</v>
      </c>
    </row>
    <row r="166">
      <c r="A166" s="3" t="s">
        <v>53</v>
      </c>
      <c r="B166" s="3">
        <v>2022.0</v>
      </c>
      <c r="C166" s="3" t="s">
        <v>14</v>
      </c>
      <c r="D166" s="3">
        <v>349.5</v>
      </c>
      <c r="E166" s="3">
        <v>909.9</v>
      </c>
      <c r="F166" s="3">
        <v>355.9</v>
      </c>
      <c r="G166" s="3">
        <v>10.0</v>
      </c>
      <c r="H166" s="3">
        <v>47.7</v>
      </c>
    </row>
    <row r="167">
      <c r="A167" s="3" t="s">
        <v>54</v>
      </c>
      <c r="B167" s="3">
        <v>2022.0</v>
      </c>
      <c r="C167" s="3" t="s">
        <v>9</v>
      </c>
      <c r="D167" s="3">
        <v>287.3</v>
      </c>
      <c r="E167" s="3">
        <v>770.0</v>
      </c>
      <c r="F167" s="3">
        <v>364.4</v>
      </c>
      <c r="G167" s="3">
        <v>3.0</v>
      </c>
      <c r="H167" s="3">
        <v>46.4</v>
      </c>
    </row>
    <row r="168">
      <c r="A168" s="3" t="s">
        <v>54</v>
      </c>
      <c r="B168" s="3">
        <v>2022.0</v>
      </c>
      <c r="C168" s="3" t="s">
        <v>10</v>
      </c>
      <c r="D168" s="3">
        <v>307.9</v>
      </c>
      <c r="E168" s="3">
        <v>738.3</v>
      </c>
      <c r="F168" s="3">
        <v>313.2</v>
      </c>
      <c r="G168" s="3">
        <v>6.0</v>
      </c>
      <c r="H168" s="3">
        <v>49.0</v>
      </c>
    </row>
    <row r="169">
      <c r="A169" s="3" t="s">
        <v>54</v>
      </c>
      <c r="B169" s="3">
        <v>2022.0</v>
      </c>
      <c r="C169" s="3" t="s">
        <v>11</v>
      </c>
      <c r="D169" s="3">
        <v>276.5</v>
      </c>
      <c r="E169" s="3">
        <v>690.3</v>
      </c>
      <c r="F169" s="3">
        <v>229.2</v>
      </c>
      <c r="G169" s="3">
        <v>6.0</v>
      </c>
      <c r="H169" s="3">
        <v>3.4</v>
      </c>
    </row>
    <row r="170">
      <c r="A170" s="3" t="s">
        <v>54</v>
      </c>
      <c r="B170" s="3">
        <v>2022.0</v>
      </c>
      <c r="C170" s="3" t="s">
        <v>13</v>
      </c>
      <c r="D170" s="3">
        <v>281.1</v>
      </c>
      <c r="E170" s="3">
        <v>677.3</v>
      </c>
      <c r="F170" s="3">
        <v>298.6</v>
      </c>
      <c r="G170" s="3">
        <v>3.0</v>
      </c>
      <c r="H170" s="3">
        <v>37.7</v>
      </c>
    </row>
    <row r="171">
      <c r="A171" s="3" t="s">
        <v>54</v>
      </c>
      <c r="B171" s="3">
        <v>2022.0</v>
      </c>
      <c r="C171" s="3" t="s">
        <v>14</v>
      </c>
      <c r="D171" s="3">
        <v>256.0</v>
      </c>
      <c r="E171" s="3">
        <v>540.0</v>
      </c>
      <c r="F171" s="3">
        <v>224.2</v>
      </c>
      <c r="G171" s="3">
        <v>7.0</v>
      </c>
      <c r="H171" s="3">
        <v>9.0</v>
      </c>
    </row>
    <row r="172">
      <c r="A172" s="3" t="s">
        <v>55</v>
      </c>
      <c r="B172" s="3">
        <v>2022.0</v>
      </c>
      <c r="C172" s="3" t="s">
        <v>9</v>
      </c>
      <c r="D172" s="3">
        <v>269.5</v>
      </c>
      <c r="E172" s="3">
        <v>694.1</v>
      </c>
      <c r="F172" s="3">
        <v>325.6</v>
      </c>
      <c r="G172" s="3">
        <v>9.0</v>
      </c>
      <c r="H172" s="3">
        <v>4.6</v>
      </c>
    </row>
    <row r="173">
      <c r="A173" s="3" t="s">
        <v>55</v>
      </c>
      <c r="B173" s="3">
        <v>2022.0</v>
      </c>
      <c r="C173" s="3" t="s">
        <v>10</v>
      </c>
      <c r="D173" s="3">
        <v>260.1</v>
      </c>
      <c r="E173" s="3">
        <v>522.5</v>
      </c>
      <c r="F173" s="3">
        <v>242.7</v>
      </c>
      <c r="G173" s="3">
        <v>8.0</v>
      </c>
      <c r="H173" s="3">
        <v>26.5</v>
      </c>
    </row>
    <row r="174">
      <c r="A174" s="3" t="s">
        <v>55</v>
      </c>
      <c r="B174" s="3">
        <v>2022.0</v>
      </c>
      <c r="C174" s="3" t="s">
        <v>11</v>
      </c>
      <c r="D174" s="3">
        <v>353.6</v>
      </c>
      <c r="E174" s="3">
        <v>956.6</v>
      </c>
      <c r="F174" s="3">
        <v>493.4</v>
      </c>
      <c r="G174" s="3">
        <v>9.0</v>
      </c>
      <c r="H174" s="3">
        <v>29.9</v>
      </c>
    </row>
    <row r="175">
      <c r="A175" s="3" t="s">
        <v>55</v>
      </c>
      <c r="B175" s="3">
        <v>2022.0</v>
      </c>
      <c r="C175" s="3" t="s">
        <v>13</v>
      </c>
      <c r="D175" s="3">
        <v>339.2</v>
      </c>
      <c r="E175" s="3">
        <v>743.4</v>
      </c>
      <c r="F175" s="3">
        <v>324.7</v>
      </c>
      <c r="G175" s="3">
        <v>11.0</v>
      </c>
      <c r="H175" s="3">
        <v>45.1</v>
      </c>
    </row>
    <row r="176">
      <c r="A176" s="3" t="s">
        <v>55</v>
      </c>
      <c r="B176" s="3">
        <v>2022.0</v>
      </c>
      <c r="C176" s="3" t="s">
        <v>14</v>
      </c>
      <c r="D176" s="3">
        <v>273.2</v>
      </c>
      <c r="E176" s="3">
        <v>780.4</v>
      </c>
      <c r="F176" s="3">
        <v>273.5</v>
      </c>
      <c r="G176" s="3">
        <v>3.0</v>
      </c>
      <c r="H176" s="3">
        <v>19.6</v>
      </c>
    </row>
    <row r="177">
      <c r="A177" s="3" t="s">
        <v>56</v>
      </c>
      <c r="B177" s="3">
        <v>2022.0</v>
      </c>
      <c r="C177" s="3" t="s">
        <v>9</v>
      </c>
      <c r="D177" s="3">
        <v>349.5</v>
      </c>
      <c r="E177" s="3">
        <v>946.8</v>
      </c>
      <c r="F177" s="3">
        <v>312.5</v>
      </c>
      <c r="G177" s="3">
        <v>6.0</v>
      </c>
      <c r="H177" s="3">
        <v>30.7</v>
      </c>
    </row>
    <row r="178">
      <c r="A178" s="3" t="s">
        <v>56</v>
      </c>
      <c r="B178" s="3">
        <v>2022.0</v>
      </c>
      <c r="C178" s="3" t="s">
        <v>10</v>
      </c>
      <c r="D178" s="3">
        <v>292.6</v>
      </c>
      <c r="E178" s="3">
        <v>782.2</v>
      </c>
      <c r="F178" s="3">
        <v>322.7</v>
      </c>
      <c r="G178" s="3">
        <v>11.0</v>
      </c>
      <c r="H178" s="3">
        <v>10.6</v>
      </c>
    </row>
    <row r="179">
      <c r="A179" s="3" t="s">
        <v>56</v>
      </c>
      <c r="B179" s="3">
        <v>2022.0</v>
      </c>
      <c r="C179" s="3" t="s">
        <v>11</v>
      </c>
      <c r="D179" s="3">
        <v>303.9</v>
      </c>
      <c r="E179" s="3">
        <v>836.7</v>
      </c>
      <c r="F179" s="3">
        <v>354.8</v>
      </c>
      <c r="G179" s="3">
        <v>5.0</v>
      </c>
      <c r="H179" s="3">
        <v>4.2</v>
      </c>
    </row>
    <row r="180">
      <c r="A180" s="3" t="s">
        <v>56</v>
      </c>
      <c r="B180" s="3">
        <v>2022.0</v>
      </c>
      <c r="C180" s="3" t="s">
        <v>13</v>
      </c>
      <c r="D180" s="3">
        <v>310.2</v>
      </c>
      <c r="E180" s="3">
        <v>714.8</v>
      </c>
      <c r="F180" s="3">
        <v>345.9</v>
      </c>
      <c r="G180" s="3">
        <v>6.0</v>
      </c>
      <c r="H180" s="3">
        <v>5.9</v>
      </c>
    </row>
    <row r="181">
      <c r="A181" s="3" t="s">
        <v>56</v>
      </c>
      <c r="B181" s="3">
        <v>2022.0</v>
      </c>
      <c r="C181" s="3" t="s">
        <v>14</v>
      </c>
      <c r="D181" s="3">
        <v>285.4</v>
      </c>
      <c r="E181" s="3">
        <v>594.0</v>
      </c>
      <c r="F181" s="3">
        <v>315.4</v>
      </c>
      <c r="G181" s="3">
        <v>5.0</v>
      </c>
      <c r="H181" s="3">
        <v>20.0</v>
      </c>
    </row>
    <row r="182">
      <c r="A182" s="3" t="s">
        <v>57</v>
      </c>
      <c r="B182" s="3">
        <v>2022.0</v>
      </c>
      <c r="C182" s="3" t="s">
        <v>9</v>
      </c>
      <c r="D182" s="3">
        <v>346.3</v>
      </c>
      <c r="E182" s="3">
        <v>984.8</v>
      </c>
      <c r="F182" s="3">
        <v>451.2</v>
      </c>
      <c r="G182" s="3">
        <v>10.0</v>
      </c>
      <c r="H182" s="3">
        <v>17.6</v>
      </c>
    </row>
    <row r="183">
      <c r="A183" s="3" t="s">
        <v>57</v>
      </c>
      <c r="B183" s="3">
        <v>2022.0</v>
      </c>
      <c r="C183" s="3" t="s">
        <v>10</v>
      </c>
      <c r="D183" s="3">
        <v>395.1</v>
      </c>
      <c r="E183" s="3">
        <v>1176.1</v>
      </c>
      <c r="F183" s="3">
        <v>493.6</v>
      </c>
      <c r="G183" s="3">
        <v>6.0</v>
      </c>
      <c r="H183" s="3">
        <v>10.8</v>
      </c>
    </row>
    <row r="184">
      <c r="A184" s="3" t="s">
        <v>57</v>
      </c>
      <c r="B184" s="3">
        <v>2022.0</v>
      </c>
      <c r="C184" s="3" t="s">
        <v>11</v>
      </c>
      <c r="D184" s="3">
        <v>376.9</v>
      </c>
      <c r="E184" s="3">
        <v>968.2</v>
      </c>
      <c r="F184" s="3">
        <v>402.4</v>
      </c>
      <c r="G184" s="3">
        <v>11.0</v>
      </c>
      <c r="H184" s="3">
        <v>49.5</v>
      </c>
    </row>
    <row r="185">
      <c r="A185" s="3" t="s">
        <v>57</v>
      </c>
      <c r="B185" s="3">
        <v>2022.0</v>
      </c>
      <c r="C185" s="3" t="s">
        <v>13</v>
      </c>
      <c r="D185" s="3">
        <v>300.1</v>
      </c>
      <c r="E185" s="3">
        <v>792.4</v>
      </c>
      <c r="F185" s="3">
        <v>367.8</v>
      </c>
      <c r="G185" s="3">
        <v>7.0</v>
      </c>
      <c r="H185" s="3">
        <v>31.5</v>
      </c>
    </row>
    <row r="186">
      <c r="A186" s="3" t="s">
        <v>57</v>
      </c>
      <c r="B186" s="3">
        <v>2022.0</v>
      </c>
      <c r="C186" s="3" t="s">
        <v>14</v>
      </c>
      <c r="D186" s="3">
        <v>318.5</v>
      </c>
      <c r="E186" s="3">
        <v>697.0</v>
      </c>
      <c r="F186" s="3">
        <v>381.6</v>
      </c>
      <c r="G186" s="3">
        <v>8.0</v>
      </c>
      <c r="H186" s="3">
        <v>17.0</v>
      </c>
    </row>
    <row r="187">
      <c r="A187" s="3" t="s">
        <v>58</v>
      </c>
      <c r="B187" s="3">
        <v>2022.0</v>
      </c>
      <c r="C187" s="3" t="s">
        <v>9</v>
      </c>
      <c r="D187" s="3">
        <v>290.2</v>
      </c>
      <c r="E187" s="3">
        <v>673.0</v>
      </c>
      <c r="F187" s="3">
        <v>311.9</v>
      </c>
      <c r="G187" s="3">
        <v>3.0</v>
      </c>
      <c r="H187" s="3">
        <v>34.5</v>
      </c>
    </row>
    <row r="188">
      <c r="A188" s="3" t="s">
        <v>58</v>
      </c>
      <c r="B188" s="3">
        <v>2022.0</v>
      </c>
      <c r="C188" s="3" t="s">
        <v>10</v>
      </c>
      <c r="D188" s="3">
        <v>373.4</v>
      </c>
      <c r="E188" s="3">
        <v>896.7</v>
      </c>
      <c r="F188" s="3">
        <v>515.6</v>
      </c>
      <c r="G188" s="3">
        <v>12.0</v>
      </c>
      <c r="H188" s="3">
        <v>22.2</v>
      </c>
    </row>
    <row r="189">
      <c r="A189" s="3" t="s">
        <v>58</v>
      </c>
      <c r="B189" s="3">
        <v>2022.0</v>
      </c>
      <c r="C189" s="3" t="s">
        <v>11</v>
      </c>
      <c r="D189" s="3">
        <v>343.2</v>
      </c>
      <c r="E189" s="3">
        <v>749.1</v>
      </c>
      <c r="F189" s="3">
        <v>421.1</v>
      </c>
      <c r="G189" s="3">
        <v>10.0</v>
      </c>
      <c r="H189" s="3">
        <v>39.4</v>
      </c>
    </row>
    <row r="190">
      <c r="A190" s="3" t="s">
        <v>58</v>
      </c>
      <c r="B190" s="3">
        <v>2022.0</v>
      </c>
      <c r="C190" s="3" t="s">
        <v>13</v>
      </c>
      <c r="D190" s="3">
        <v>313.0</v>
      </c>
      <c r="E190" s="3">
        <v>747.7</v>
      </c>
      <c r="F190" s="3">
        <v>372.5</v>
      </c>
      <c r="G190" s="3">
        <v>11.0</v>
      </c>
      <c r="H190" s="3">
        <v>9.1</v>
      </c>
    </row>
    <row r="191">
      <c r="A191" s="3" t="s">
        <v>58</v>
      </c>
      <c r="B191" s="3">
        <v>2022.0</v>
      </c>
      <c r="C191" s="3" t="s">
        <v>14</v>
      </c>
      <c r="D191" s="3">
        <v>375.9</v>
      </c>
      <c r="E191" s="3">
        <v>845.6</v>
      </c>
      <c r="F191" s="3">
        <v>451.6</v>
      </c>
      <c r="G191" s="3">
        <v>7.0</v>
      </c>
      <c r="H191" s="3">
        <v>24.6</v>
      </c>
    </row>
    <row r="192">
      <c r="A192" s="3" t="s">
        <v>59</v>
      </c>
      <c r="B192" s="3">
        <v>2022.0</v>
      </c>
      <c r="C192" s="3" t="s">
        <v>9</v>
      </c>
      <c r="D192" s="3">
        <v>334.1</v>
      </c>
      <c r="E192" s="3">
        <v>754.0</v>
      </c>
      <c r="F192" s="3">
        <v>279.5</v>
      </c>
      <c r="G192" s="3">
        <v>4.0</v>
      </c>
      <c r="H192" s="3">
        <v>26.2</v>
      </c>
    </row>
    <row r="193">
      <c r="A193" s="3" t="s">
        <v>59</v>
      </c>
      <c r="B193" s="3">
        <v>2022.0</v>
      </c>
      <c r="C193" s="3" t="s">
        <v>10</v>
      </c>
      <c r="D193" s="3">
        <v>292.9</v>
      </c>
      <c r="E193" s="3">
        <v>649.9</v>
      </c>
      <c r="F193" s="3">
        <v>296.9</v>
      </c>
      <c r="G193" s="3">
        <v>3.0</v>
      </c>
      <c r="H193" s="3">
        <v>36.0</v>
      </c>
    </row>
    <row r="194">
      <c r="A194" s="3" t="s">
        <v>59</v>
      </c>
      <c r="B194" s="3">
        <v>2022.0</v>
      </c>
      <c r="C194" s="3" t="s">
        <v>11</v>
      </c>
      <c r="D194" s="3">
        <v>313.3</v>
      </c>
      <c r="E194" s="3">
        <v>656.3</v>
      </c>
      <c r="F194" s="3">
        <v>411.2</v>
      </c>
      <c r="G194" s="3">
        <v>7.0</v>
      </c>
      <c r="H194" s="3">
        <v>29.4</v>
      </c>
    </row>
    <row r="195">
      <c r="A195" s="3" t="s">
        <v>59</v>
      </c>
      <c r="B195" s="3">
        <v>2022.0</v>
      </c>
      <c r="C195" s="3" t="s">
        <v>13</v>
      </c>
      <c r="D195" s="3">
        <v>340.6</v>
      </c>
      <c r="E195" s="3">
        <v>969.5</v>
      </c>
      <c r="F195" s="3">
        <v>432.3</v>
      </c>
      <c r="G195" s="3">
        <v>6.0</v>
      </c>
      <c r="H195" s="3">
        <v>10.0</v>
      </c>
    </row>
    <row r="196">
      <c r="A196" s="3" t="s">
        <v>59</v>
      </c>
      <c r="B196" s="3">
        <v>2022.0</v>
      </c>
      <c r="C196" s="3" t="s">
        <v>14</v>
      </c>
      <c r="D196" s="3">
        <v>312.3</v>
      </c>
      <c r="E196" s="3">
        <v>765.1</v>
      </c>
      <c r="F196" s="3">
        <v>415.8</v>
      </c>
      <c r="G196" s="3">
        <v>5.0</v>
      </c>
      <c r="H196" s="3">
        <v>7.5</v>
      </c>
    </row>
    <row r="197">
      <c r="A197" s="3" t="s">
        <v>60</v>
      </c>
      <c r="B197" s="3">
        <v>2022.0</v>
      </c>
      <c r="C197" s="3" t="s">
        <v>9</v>
      </c>
      <c r="D197" s="3">
        <v>378.0</v>
      </c>
      <c r="E197" s="3">
        <v>1117.9</v>
      </c>
      <c r="F197" s="3">
        <v>409.3</v>
      </c>
      <c r="G197" s="3">
        <v>7.0</v>
      </c>
      <c r="H197" s="3">
        <v>10.3</v>
      </c>
    </row>
    <row r="198">
      <c r="A198" s="3" t="s">
        <v>60</v>
      </c>
      <c r="B198" s="3">
        <v>2022.0</v>
      </c>
      <c r="C198" s="3" t="s">
        <v>10</v>
      </c>
      <c r="D198" s="3">
        <v>331.4</v>
      </c>
      <c r="E198" s="3">
        <v>846.4</v>
      </c>
      <c r="F198" s="3">
        <v>345.6</v>
      </c>
      <c r="G198" s="3">
        <v>11.0</v>
      </c>
      <c r="H198" s="3">
        <v>4.6</v>
      </c>
    </row>
    <row r="199">
      <c r="A199" s="3" t="s">
        <v>60</v>
      </c>
      <c r="B199" s="3">
        <v>2022.0</v>
      </c>
      <c r="C199" s="3" t="s">
        <v>11</v>
      </c>
      <c r="D199" s="3">
        <v>308.8</v>
      </c>
      <c r="E199" s="3">
        <v>792.4</v>
      </c>
      <c r="F199" s="3">
        <v>379.3</v>
      </c>
      <c r="G199" s="3">
        <v>12.0</v>
      </c>
      <c r="H199" s="3">
        <v>32.1</v>
      </c>
    </row>
    <row r="200">
      <c r="A200" s="3" t="s">
        <v>60</v>
      </c>
      <c r="B200" s="3">
        <v>2022.0</v>
      </c>
      <c r="C200" s="3" t="s">
        <v>13</v>
      </c>
      <c r="D200" s="3">
        <v>304.3</v>
      </c>
      <c r="E200" s="3">
        <v>662.6</v>
      </c>
      <c r="F200" s="3">
        <v>429.5</v>
      </c>
      <c r="G200" s="3">
        <v>7.0</v>
      </c>
      <c r="H200" s="3">
        <v>3.4</v>
      </c>
    </row>
    <row r="201">
      <c r="A201" s="3" t="s">
        <v>60</v>
      </c>
      <c r="B201" s="3">
        <v>2022.0</v>
      </c>
      <c r="C201" s="3" t="s">
        <v>14</v>
      </c>
      <c r="D201" s="3">
        <v>323.3</v>
      </c>
      <c r="E201" s="3">
        <v>684.9</v>
      </c>
      <c r="F201" s="3">
        <v>265.2</v>
      </c>
      <c r="G201" s="3">
        <v>11.0</v>
      </c>
      <c r="H201" s="3">
        <v>22.1</v>
      </c>
    </row>
    <row r="202">
      <c r="A202" s="3" t="s">
        <v>61</v>
      </c>
      <c r="B202" s="3">
        <v>2022.0</v>
      </c>
      <c r="C202" s="3" t="s">
        <v>9</v>
      </c>
      <c r="D202" s="3">
        <v>415.3</v>
      </c>
      <c r="E202" s="3">
        <v>1114.0</v>
      </c>
      <c r="F202" s="3">
        <v>605.6</v>
      </c>
      <c r="G202" s="3">
        <v>13.0</v>
      </c>
      <c r="H202" s="3">
        <v>37.2</v>
      </c>
    </row>
    <row r="203">
      <c r="A203" s="3" t="s">
        <v>61</v>
      </c>
      <c r="B203" s="3">
        <v>2022.0</v>
      </c>
      <c r="C203" s="3" t="s">
        <v>10</v>
      </c>
      <c r="D203" s="3">
        <v>316.3</v>
      </c>
      <c r="E203" s="3">
        <v>822.3</v>
      </c>
      <c r="F203" s="3">
        <v>287.6</v>
      </c>
      <c r="G203" s="3">
        <v>5.0</v>
      </c>
      <c r="H203" s="3">
        <v>27.4</v>
      </c>
    </row>
    <row r="204">
      <c r="A204" s="3" t="s">
        <v>61</v>
      </c>
      <c r="B204" s="3">
        <v>2022.0</v>
      </c>
      <c r="C204" s="3" t="s">
        <v>11</v>
      </c>
      <c r="D204" s="3">
        <v>356.1</v>
      </c>
      <c r="E204" s="3">
        <v>939.4</v>
      </c>
      <c r="F204" s="3">
        <v>360.7</v>
      </c>
      <c r="G204" s="3">
        <v>5.0</v>
      </c>
      <c r="H204" s="3">
        <v>49.9</v>
      </c>
    </row>
    <row r="205">
      <c r="A205" s="3" t="s">
        <v>61</v>
      </c>
      <c r="B205" s="3">
        <v>2022.0</v>
      </c>
      <c r="C205" s="3" t="s">
        <v>13</v>
      </c>
      <c r="D205" s="3">
        <v>332.7</v>
      </c>
      <c r="E205" s="3">
        <v>736.5</v>
      </c>
      <c r="F205" s="3">
        <v>492.5</v>
      </c>
      <c r="G205" s="3">
        <v>5.0</v>
      </c>
      <c r="H205" s="3">
        <v>9.7</v>
      </c>
    </row>
    <row r="206">
      <c r="A206" s="3" t="s">
        <v>61</v>
      </c>
      <c r="B206" s="3">
        <v>2022.0</v>
      </c>
      <c r="C206" s="3" t="s">
        <v>14</v>
      </c>
      <c r="D206" s="3">
        <v>342.1</v>
      </c>
      <c r="E206" s="3">
        <v>975.9</v>
      </c>
      <c r="F206" s="3">
        <v>444.8</v>
      </c>
      <c r="G206" s="3">
        <v>5.0</v>
      </c>
      <c r="H206" s="3">
        <v>19.0</v>
      </c>
    </row>
    <row r="207">
      <c r="A207" s="3" t="s">
        <v>62</v>
      </c>
      <c r="B207" s="3">
        <v>2022.0</v>
      </c>
      <c r="C207" s="3" t="s">
        <v>9</v>
      </c>
      <c r="D207" s="3">
        <v>289.5</v>
      </c>
      <c r="E207" s="3">
        <v>757.8</v>
      </c>
      <c r="F207" s="3">
        <v>383.9</v>
      </c>
      <c r="G207" s="3">
        <v>5.0</v>
      </c>
      <c r="H207" s="3">
        <v>12.2</v>
      </c>
    </row>
    <row r="208">
      <c r="A208" s="3" t="s">
        <v>62</v>
      </c>
      <c r="B208" s="3">
        <v>2022.0</v>
      </c>
      <c r="C208" s="3" t="s">
        <v>10</v>
      </c>
      <c r="D208" s="3">
        <v>321.0</v>
      </c>
      <c r="E208" s="3">
        <v>690.3</v>
      </c>
      <c r="F208" s="3">
        <v>444.6</v>
      </c>
      <c r="G208" s="3">
        <v>6.0</v>
      </c>
      <c r="H208" s="3">
        <v>36.9</v>
      </c>
    </row>
    <row r="209">
      <c r="A209" s="3" t="s">
        <v>62</v>
      </c>
      <c r="B209" s="3">
        <v>2022.0</v>
      </c>
      <c r="C209" s="3" t="s">
        <v>11</v>
      </c>
      <c r="D209" s="3">
        <v>349.3</v>
      </c>
      <c r="E209" s="3">
        <v>789.1</v>
      </c>
      <c r="F209" s="3">
        <v>464.0</v>
      </c>
      <c r="G209" s="3">
        <v>5.0</v>
      </c>
      <c r="H209" s="3">
        <v>39.8</v>
      </c>
    </row>
    <row r="210">
      <c r="A210" s="3" t="s">
        <v>62</v>
      </c>
      <c r="B210" s="3">
        <v>2022.0</v>
      </c>
      <c r="C210" s="3" t="s">
        <v>13</v>
      </c>
      <c r="D210" s="3">
        <v>347.1</v>
      </c>
      <c r="E210" s="3">
        <v>852.9</v>
      </c>
      <c r="F210" s="3">
        <v>357.5</v>
      </c>
      <c r="G210" s="3">
        <v>9.0</v>
      </c>
      <c r="H210" s="3">
        <v>16.5</v>
      </c>
    </row>
    <row r="211">
      <c r="A211" s="3" t="s">
        <v>62</v>
      </c>
      <c r="B211" s="3">
        <v>2022.0</v>
      </c>
      <c r="C211" s="3" t="s">
        <v>14</v>
      </c>
      <c r="D211" s="3">
        <v>279.8</v>
      </c>
      <c r="E211" s="3">
        <v>744.7</v>
      </c>
      <c r="F211" s="3">
        <v>331.6</v>
      </c>
      <c r="G211" s="3">
        <v>8.0</v>
      </c>
      <c r="H211" s="3">
        <v>6.5</v>
      </c>
    </row>
    <row r="212">
      <c r="A212" s="3" t="s">
        <v>63</v>
      </c>
      <c r="B212" s="3">
        <v>2022.0</v>
      </c>
      <c r="C212" s="3" t="s">
        <v>9</v>
      </c>
      <c r="D212" s="3">
        <v>311.5</v>
      </c>
      <c r="E212" s="3">
        <v>761.3</v>
      </c>
      <c r="F212" s="3">
        <v>434.7</v>
      </c>
      <c r="G212" s="3">
        <v>9.0</v>
      </c>
      <c r="H212" s="3">
        <v>18.4</v>
      </c>
    </row>
    <row r="213">
      <c r="A213" s="3" t="s">
        <v>63</v>
      </c>
      <c r="B213" s="3">
        <v>2022.0</v>
      </c>
      <c r="C213" s="3" t="s">
        <v>10</v>
      </c>
      <c r="D213" s="3">
        <v>354.6</v>
      </c>
      <c r="E213" s="3">
        <v>717.9</v>
      </c>
      <c r="F213" s="3">
        <v>509.2</v>
      </c>
      <c r="G213" s="3">
        <v>9.0</v>
      </c>
      <c r="H213" s="3">
        <v>4.7</v>
      </c>
    </row>
    <row r="214">
      <c r="A214" s="3" t="s">
        <v>63</v>
      </c>
      <c r="B214" s="3">
        <v>2022.0</v>
      </c>
      <c r="C214" s="3" t="s">
        <v>11</v>
      </c>
      <c r="D214" s="3">
        <v>316.1</v>
      </c>
      <c r="E214" s="3">
        <v>753.4</v>
      </c>
      <c r="F214" s="3">
        <v>460.9</v>
      </c>
      <c r="G214" s="3">
        <v>11.0</v>
      </c>
      <c r="H214" s="3">
        <v>2.7</v>
      </c>
    </row>
    <row r="215">
      <c r="A215" s="3" t="s">
        <v>63</v>
      </c>
      <c r="B215" s="3">
        <v>2022.0</v>
      </c>
      <c r="C215" s="3" t="s">
        <v>13</v>
      </c>
      <c r="D215" s="3">
        <v>312.2</v>
      </c>
      <c r="E215" s="3">
        <v>928.6</v>
      </c>
      <c r="F215" s="3">
        <v>253.5</v>
      </c>
      <c r="G215" s="3">
        <v>7.0</v>
      </c>
      <c r="H215" s="3">
        <v>40.8</v>
      </c>
    </row>
    <row r="216">
      <c r="A216" s="3" t="s">
        <v>63</v>
      </c>
      <c r="B216" s="3">
        <v>2022.0</v>
      </c>
      <c r="C216" s="3" t="s">
        <v>14</v>
      </c>
      <c r="D216" s="3">
        <v>347.3</v>
      </c>
      <c r="E216" s="3">
        <v>933.8</v>
      </c>
      <c r="F216" s="3">
        <v>516.2</v>
      </c>
      <c r="G216" s="3">
        <v>12.0</v>
      </c>
      <c r="H216" s="3">
        <v>8.9</v>
      </c>
    </row>
    <row r="217">
      <c r="A217" s="3" t="s">
        <v>64</v>
      </c>
      <c r="B217" s="3">
        <v>2022.0</v>
      </c>
      <c r="C217" s="3" t="s">
        <v>9</v>
      </c>
      <c r="D217" s="3">
        <v>340.5</v>
      </c>
      <c r="E217" s="3">
        <v>862.3</v>
      </c>
      <c r="F217" s="3">
        <v>299.6</v>
      </c>
      <c r="G217" s="3">
        <v>10.0</v>
      </c>
      <c r="H217" s="3">
        <v>1.1</v>
      </c>
    </row>
    <row r="218">
      <c r="A218" s="3" t="s">
        <v>64</v>
      </c>
      <c r="B218" s="3">
        <v>2022.0</v>
      </c>
      <c r="C218" s="3" t="s">
        <v>10</v>
      </c>
      <c r="D218" s="3">
        <v>367.3</v>
      </c>
      <c r="E218" s="3">
        <v>874.0</v>
      </c>
      <c r="F218" s="3">
        <v>509.4</v>
      </c>
      <c r="G218" s="3">
        <v>8.0</v>
      </c>
      <c r="H218" s="3">
        <v>28.9</v>
      </c>
    </row>
    <row r="219">
      <c r="A219" s="3" t="s">
        <v>64</v>
      </c>
      <c r="B219" s="3">
        <v>2022.0</v>
      </c>
      <c r="C219" s="3" t="s">
        <v>11</v>
      </c>
      <c r="D219" s="3">
        <v>321.5</v>
      </c>
      <c r="E219" s="3">
        <v>711.7</v>
      </c>
      <c r="F219" s="3">
        <v>377.9</v>
      </c>
      <c r="G219" s="3">
        <v>9.0</v>
      </c>
      <c r="H219" s="3">
        <v>32.1</v>
      </c>
    </row>
    <row r="220">
      <c r="A220" s="3" t="s">
        <v>64</v>
      </c>
      <c r="B220" s="3">
        <v>2022.0</v>
      </c>
      <c r="C220" s="3" t="s">
        <v>13</v>
      </c>
      <c r="D220" s="3">
        <v>288.7</v>
      </c>
      <c r="E220" s="3">
        <v>583.1</v>
      </c>
      <c r="F220" s="3">
        <v>259.4</v>
      </c>
      <c r="G220" s="3">
        <v>7.0</v>
      </c>
      <c r="H220" s="3">
        <v>10.1</v>
      </c>
    </row>
    <row r="221">
      <c r="A221" s="3" t="s">
        <v>64</v>
      </c>
      <c r="B221" s="3">
        <v>2022.0</v>
      </c>
      <c r="C221" s="3" t="s">
        <v>14</v>
      </c>
      <c r="D221" s="3">
        <v>253.8</v>
      </c>
      <c r="E221" s="3">
        <v>565.5</v>
      </c>
      <c r="F221" s="3">
        <v>220.6</v>
      </c>
      <c r="G221" s="3">
        <v>5.0</v>
      </c>
      <c r="H221" s="3">
        <v>10.7</v>
      </c>
    </row>
    <row r="222">
      <c r="A222" s="3" t="s">
        <v>65</v>
      </c>
      <c r="B222" s="3">
        <v>2022.0</v>
      </c>
      <c r="C222" s="3" t="s">
        <v>9</v>
      </c>
      <c r="D222" s="3">
        <v>312.7</v>
      </c>
      <c r="E222" s="3">
        <v>722.1</v>
      </c>
      <c r="F222" s="3">
        <v>444.0</v>
      </c>
      <c r="G222" s="3">
        <v>11.0</v>
      </c>
      <c r="H222" s="3">
        <v>44.5</v>
      </c>
    </row>
    <row r="223">
      <c r="A223" s="3" t="s">
        <v>65</v>
      </c>
      <c r="B223" s="3">
        <v>2022.0</v>
      </c>
      <c r="C223" s="3" t="s">
        <v>10</v>
      </c>
      <c r="D223" s="3">
        <v>386.7</v>
      </c>
      <c r="E223" s="3">
        <v>1156.4</v>
      </c>
      <c r="F223" s="3">
        <v>410.8</v>
      </c>
      <c r="G223" s="3">
        <v>7.0</v>
      </c>
      <c r="H223" s="3">
        <v>2.6</v>
      </c>
    </row>
    <row r="224">
      <c r="A224" s="3" t="s">
        <v>65</v>
      </c>
      <c r="B224" s="3">
        <v>2022.0</v>
      </c>
      <c r="C224" s="3" t="s">
        <v>11</v>
      </c>
      <c r="D224" s="3">
        <v>342.0</v>
      </c>
      <c r="E224" s="3">
        <v>785.9</v>
      </c>
      <c r="F224" s="3">
        <v>475.9</v>
      </c>
      <c r="G224" s="3">
        <v>9.0</v>
      </c>
      <c r="H224" s="3">
        <v>43.8</v>
      </c>
    </row>
    <row r="225">
      <c r="A225" s="3" t="s">
        <v>65</v>
      </c>
      <c r="B225" s="3">
        <v>2022.0</v>
      </c>
      <c r="C225" s="3" t="s">
        <v>13</v>
      </c>
      <c r="D225" s="3">
        <v>293.7</v>
      </c>
      <c r="E225" s="3">
        <v>599.2</v>
      </c>
      <c r="F225" s="3">
        <v>418.5</v>
      </c>
      <c r="G225" s="3">
        <v>10.0</v>
      </c>
      <c r="H225" s="3">
        <v>9.9</v>
      </c>
    </row>
    <row r="226">
      <c r="A226" s="3" t="s">
        <v>65</v>
      </c>
      <c r="B226" s="3">
        <v>2022.0</v>
      </c>
      <c r="C226" s="3" t="s">
        <v>14</v>
      </c>
      <c r="D226" s="3">
        <v>214.0</v>
      </c>
      <c r="E226" s="3">
        <v>432.7</v>
      </c>
      <c r="F226" s="3">
        <v>311.4</v>
      </c>
      <c r="G226" s="3">
        <v>10.0</v>
      </c>
      <c r="H226" s="3">
        <v>27.6</v>
      </c>
    </row>
    <row r="227">
      <c r="A227" s="3" t="s">
        <v>66</v>
      </c>
      <c r="B227" s="3">
        <v>2022.0</v>
      </c>
      <c r="C227" s="3" t="s">
        <v>9</v>
      </c>
      <c r="D227" s="3">
        <v>302.4</v>
      </c>
      <c r="E227" s="3">
        <v>668.6</v>
      </c>
      <c r="F227" s="3">
        <v>389.4</v>
      </c>
      <c r="G227" s="3">
        <v>12.0</v>
      </c>
      <c r="H227" s="3">
        <v>31.2</v>
      </c>
    </row>
    <row r="228">
      <c r="A228" s="3" t="s">
        <v>66</v>
      </c>
      <c r="B228" s="3">
        <v>2022.0</v>
      </c>
      <c r="C228" s="3" t="s">
        <v>10</v>
      </c>
      <c r="D228" s="3">
        <v>362.3</v>
      </c>
      <c r="E228" s="3">
        <v>880.2</v>
      </c>
      <c r="F228" s="3">
        <v>508.4</v>
      </c>
      <c r="G228" s="3">
        <v>8.0</v>
      </c>
      <c r="H228" s="3">
        <v>14.7</v>
      </c>
    </row>
    <row r="229">
      <c r="A229" s="3" t="s">
        <v>66</v>
      </c>
      <c r="B229" s="3">
        <v>2022.0</v>
      </c>
      <c r="C229" s="3" t="s">
        <v>11</v>
      </c>
      <c r="D229" s="3">
        <v>322.7</v>
      </c>
      <c r="E229" s="3">
        <v>760.5</v>
      </c>
      <c r="F229" s="3">
        <v>405.4</v>
      </c>
      <c r="G229" s="3">
        <v>5.0</v>
      </c>
      <c r="H229" s="3">
        <v>46.0</v>
      </c>
    </row>
    <row r="230">
      <c r="A230" s="3" t="s">
        <v>66</v>
      </c>
      <c r="B230" s="3">
        <v>2022.0</v>
      </c>
      <c r="C230" s="3" t="s">
        <v>13</v>
      </c>
      <c r="D230" s="3">
        <v>317.6</v>
      </c>
      <c r="E230" s="3">
        <v>695.5</v>
      </c>
      <c r="F230" s="3">
        <v>443.2</v>
      </c>
      <c r="G230" s="3">
        <v>6.0</v>
      </c>
      <c r="H230" s="3">
        <v>5.3</v>
      </c>
    </row>
    <row r="231">
      <c r="A231" s="3" t="s">
        <v>66</v>
      </c>
      <c r="B231" s="3">
        <v>2022.0</v>
      </c>
      <c r="C231" s="3" t="s">
        <v>14</v>
      </c>
      <c r="D231" s="3">
        <v>332.0</v>
      </c>
      <c r="E231" s="3">
        <v>925.4</v>
      </c>
      <c r="F231" s="3">
        <v>489.5</v>
      </c>
      <c r="G231" s="3">
        <v>4.0</v>
      </c>
      <c r="H231" s="3">
        <v>45.9</v>
      </c>
    </row>
    <row r="232">
      <c r="A232" s="3" t="s">
        <v>67</v>
      </c>
      <c r="B232" s="3">
        <v>2022.0</v>
      </c>
      <c r="C232" s="3" t="s">
        <v>9</v>
      </c>
      <c r="D232" s="3">
        <v>345.3</v>
      </c>
      <c r="E232" s="3">
        <v>889.5</v>
      </c>
      <c r="F232" s="3">
        <v>419.9</v>
      </c>
      <c r="G232" s="3">
        <v>8.0</v>
      </c>
      <c r="H232" s="3">
        <v>44.8</v>
      </c>
    </row>
    <row r="233">
      <c r="A233" s="3" t="s">
        <v>67</v>
      </c>
      <c r="B233" s="3">
        <v>2022.0</v>
      </c>
      <c r="C233" s="3" t="s">
        <v>10</v>
      </c>
      <c r="D233" s="3">
        <v>300.3</v>
      </c>
      <c r="E233" s="3">
        <v>653.2</v>
      </c>
      <c r="F233" s="3">
        <v>409.7</v>
      </c>
      <c r="G233" s="3">
        <v>9.0</v>
      </c>
      <c r="H233" s="3">
        <v>22.2</v>
      </c>
    </row>
    <row r="234">
      <c r="A234" s="3" t="s">
        <v>67</v>
      </c>
      <c r="B234" s="3">
        <v>2022.0</v>
      </c>
      <c r="C234" s="3" t="s">
        <v>11</v>
      </c>
      <c r="D234" s="3">
        <v>270.9</v>
      </c>
      <c r="E234" s="3">
        <v>567.8</v>
      </c>
      <c r="F234" s="3">
        <v>300.3</v>
      </c>
      <c r="G234" s="3">
        <v>5.0</v>
      </c>
      <c r="H234" s="3">
        <v>9.6</v>
      </c>
    </row>
    <row r="235">
      <c r="A235" s="3" t="s">
        <v>67</v>
      </c>
      <c r="B235" s="3">
        <v>2022.0</v>
      </c>
      <c r="C235" s="3" t="s">
        <v>13</v>
      </c>
      <c r="D235" s="3">
        <v>297.0</v>
      </c>
      <c r="E235" s="3">
        <v>839.8</v>
      </c>
      <c r="F235" s="3">
        <v>407.5</v>
      </c>
      <c r="G235" s="3">
        <v>10.0</v>
      </c>
      <c r="H235" s="3">
        <v>15.2</v>
      </c>
    </row>
    <row r="236">
      <c r="A236" s="3" t="s">
        <v>67</v>
      </c>
      <c r="B236" s="3">
        <v>2022.0</v>
      </c>
      <c r="C236" s="3" t="s">
        <v>14</v>
      </c>
      <c r="D236" s="3">
        <v>393.9</v>
      </c>
      <c r="E236" s="3">
        <v>1161.9</v>
      </c>
      <c r="F236" s="3">
        <v>356.9</v>
      </c>
      <c r="G236" s="3">
        <v>12.0</v>
      </c>
      <c r="H236" s="3">
        <v>22.1</v>
      </c>
    </row>
    <row r="237">
      <c r="A237" s="3" t="s">
        <v>68</v>
      </c>
      <c r="B237" s="3">
        <v>2022.0</v>
      </c>
      <c r="C237" s="3" t="s">
        <v>9</v>
      </c>
      <c r="D237" s="3">
        <v>409.7</v>
      </c>
      <c r="E237" s="3">
        <v>1081.8</v>
      </c>
      <c r="F237" s="3">
        <v>549.4</v>
      </c>
      <c r="G237" s="3">
        <v>5.0</v>
      </c>
      <c r="H237" s="3">
        <v>31.0</v>
      </c>
    </row>
    <row r="238">
      <c r="A238" s="3" t="s">
        <v>68</v>
      </c>
      <c r="B238" s="3">
        <v>2022.0</v>
      </c>
      <c r="C238" s="3" t="s">
        <v>10</v>
      </c>
      <c r="D238" s="3">
        <v>344.0</v>
      </c>
      <c r="E238" s="3">
        <v>912.8</v>
      </c>
      <c r="F238" s="3">
        <v>342.1</v>
      </c>
      <c r="G238" s="3">
        <v>9.0</v>
      </c>
      <c r="H238" s="3">
        <v>17.4</v>
      </c>
    </row>
    <row r="239">
      <c r="A239" s="3" t="s">
        <v>68</v>
      </c>
      <c r="B239" s="3">
        <v>2022.0</v>
      </c>
      <c r="C239" s="3" t="s">
        <v>11</v>
      </c>
      <c r="D239" s="3">
        <v>327.9</v>
      </c>
      <c r="E239" s="3">
        <v>903.3</v>
      </c>
      <c r="F239" s="3">
        <v>302.3</v>
      </c>
      <c r="G239" s="3">
        <v>6.0</v>
      </c>
      <c r="H239" s="3">
        <v>16.1</v>
      </c>
    </row>
    <row r="240">
      <c r="A240" s="3" t="s">
        <v>68</v>
      </c>
      <c r="B240" s="3">
        <v>2022.0</v>
      </c>
      <c r="C240" s="3" t="s">
        <v>13</v>
      </c>
      <c r="D240" s="3">
        <v>292.1</v>
      </c>
      <c r="E240" s="3">
        <v>871.6</v>
      </c>
      <c r="F240" s="3">
        <v>350.4</v>
      </c>
      <c r="G240" s="3">
        <v>8.0</v>
      </c>
      <c r="H240" s="3">
        <v>28.0</v>
      </c>
    </row>
    <row r="241">
      <c r="A241" s="3" t="s">
        <v>68</v>
      </c>
      <c r="B241" s="3">
        <v>2022.0</v>
      </c>
      <c r="C241" s="3" t="s">
        <v>14</v>
      </c>
      <c r="D241" s="3">
        <v>301.4</v>
      </c>
      <c r="E241" s="3">
        <v>723.9</v>
      </c>
      <c r="F241" s="3">
        <v>337.8</v>
      </c>
      <c r="G241" s="3">
        <v>11.0</v>
      </c>
      <c r="H241" s="3">
        <v>4.0</v>
      </c>
    </row>
    <row r="242">
      <c r="A242" s="3" t="s">
        <v>69</v>
      </c>
      <c r="B242" s="3">
        <v>2022.0</v>
      </c>
      <c r="C242" s="3" t="s">
        <v>9</v>
      </c>
      <c r="D242" s="3">
        <v>332.7</v>
      </c>
      <c r="E242" s="3">
        <v>880.3</v>
      </c>
      <c r="F242" s="3">
        <v>315.0</v>
      </c>
      <c r="G242" s="3">
        <v>10.0</v>
      </c>
      <c r="H242" s="3">
        <v>29.8</v>
      </c>
    </row>
    <row r="243">
      <c r="A243" s="3" t="s">
        <v>69</v>
      </c>
      <c r="B243" s="3">
        <v>2022.0</v>
      </c>
      <c r="C243" s="3" t="s">
        <v>10</v>
      </c>
      <c r="D243" s="3">
        <v>276.4</v>
      </c>
      <c r="E243" s="3">
        <v>594.6</v>
      </c>
      <c r="F243" s="3">
        <v>277.2</v>
      </c>
      <c r="G243" s="3">
        <v>5.0</v>
      </c>
      <c r="H243" s="3">
        <v>3.1</v>
      </c>
    </row>
    <row r="244">
      <c r="A244" s="3" t="s">
        <v>69</v>
      </c>
      <c r="B244" s="3">
        <v>2022.0</v>
      </c>
      <c r="C244" s="3" t="s">
        <v>11</v>
      </c>
      <c r="D244" s="3">
        <v>309.4</v>
      </c>
      <c r="E244" s="3">
        <v>747.0</v>
      </c>
      <c r="F244" s="3">
        <v>274.4</v>
      </c>
      <c r="G244" s="3">
        <v>10.0</v>
      </c>
      <c r="H244" s="3">
        <v>10.5</v>
      </c>
    </row>
    <row r="245">
      <c r="A245" s="3" t="s">
        <v>69</v>
      </c>
      <c r="B245" s="3">
        <v>2022.0</v>
      </c>
      <c r="C245" s="3" t="s">
        <v>13</v>
      </c>
      <c r="D245" s="3">
        <v>295.3</v>
      </c>
      <c r="E245" s="3">
        <v>851.7</v>
      </c>
      <c r="F245" s="3">
        <v>277.5</v>
      </c>
      <c r="G245" s="3">
        <v>6.0</v>
      </c>
      <c r="H245" s="3">
        <v>21.2</v>
      </c>
    </row>
    <row r="246">
      <c r="A246" s="3" t="s">
        <v>69</v>
      </c>
      <c r="B246" s="3">
        <v>2022.0</v>
      </c>
      <c r="C246" s="3" t="s">
        <v>14</v>
      </c>
      <c r="D246" s="3">
        <v>291.5</v>
      </c>
      <c r="E246" s="3">
        <v>593.0</v>
      </c>
      <c r="F246" s="3">
        <v>400.3</v>
      </c>
      <c r="G246" s="3">
        <v>11.0</v>
      </c>
      <c r="H246" s="3">
        <v>14.8</v>
      </c>
    </row>
    <row r="247">
      <c r="A247" s="3" t="s">
        <v>70</v>
      </c>
      <c r="B247" s="3">
        <v>2022.0</v>
      </c>
      <c r="C247" s="3" t="s">
        <v>9</v>
      </c>
      <c r="D247" s="3">
        <v>296.7</v>
      </c>
      <c r="E247" s="3">
        <v>630.7</v>
      </c>
      <c r="F247" s="3">
        <v>336.1</v>
      </c>
      <c r="G247" s="3">
        <v>5.0</v>
      </c>
      <c r="H247" s="3">
        <v>3.3</v>
      </c>
    </row>
    <row r="248">
      <c r="A248" s="3" t="s">
        <v>70</v>
      </c>
      <c r="B248" s="3">
        <v>2022.0</v>
      </c>
      <c r="C248" s="3" t="s">
        <v>10</v>
      </c>
      <c r="D248" s="3">
        <v>348.1</v>
      </c>
      <c r="E248" s="3">
        <v>817.9</v>
      </c>
      <c r="F248" s="3">
        <v>521.7</v>
      </c>
      <c r="G248" s="3">
        <v>7.0</v>
      </c>
      <c r="H248" s="3">
        <v>37.7</v>
      </c>
    </row>
    <row r="249">
      <c r="A249" s="3" t="s">
        <v>70</v>
      </c>
      <c r="B249" s="3">
        <v>2022.0</v>
      </c>
      <c r="C249" s="3" t="s">
        <v>11</v>
      </c>
      <c r="D249" s="3">
        <v>381.2</v>
      </c>
      <c r="E249" s="3">
        <v>1069.2</v>
      </c>
      <c r="F249" s="3">
        <v>552.1</v>
      </c>
      <c r="G249" s="3">
        <v>8.0</v>
      </c>
      <c r="H249" s="3">
        <v>26.7</v>
      </c>
    </row>
    <row r="250">
      <c r="A250" s="3" t="s">
        <v>70</v>
      </c>
      <c r="B250" s="3">
        <v>2022.0</v>
      </c>
      <c r="C250" s="3" t="s">
        <v>13</v>
      </c>
      <c r="D250" s="3">
        <v>288.2</v>
      </c>
      <c r="E250" s="3">
        <v>657.4</v>
      </c>
      <c r="F250" s="3">
        <v>335.7</v>
      </c>
      <c r="G250" s="3">
        <v>11.0</v>
      </c>
      <c r="H250" s="3">
        <v>11.3</v>
      </c>
    </row>
    <row r="251">
      <c r="A251" s="3" t="s">
        <v>70</v>
      </c>
      <c r="B251" s="3">
        <v>2022.0</v>
      </c>
      <c r="C251" s="3" t="s">
        <v>14</v>
      </c>
      <c r="D251" s="3">
        <v>334.6</v>
      </c>
      <c r="E251" s="3">
        <v>721.3</v>
      </c>
      <c r="F251" s="3">
        <v>447.7</v>
      </c>
      <c r="G251" s="3">
        <v>4.0</v>
      </c>
      <c r="H251" s="3">
        <v>28.0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1" t="s">
        <v>0</v>
      </c>
      <c r="B1" s="2" t="s">
        <v>1</v>
      </c>
      <c r="C1" s="2" t="s">
        <v>2</v>
      </c>
      <c r="D1" s="2" t="s">
        <v>3</v>
      </c>
      <c r="E1" s="1" t="s">
        <v>4</v>
      </c>
      <c r="F1" s="2" t="s">
        <v>5</v>
      </c>
      <c r="G1" s="2" t="s">
        <v>6</v>
      </c>
      <c r="H1" s="2" t="s">
        <v>7</v>
      </c>
      <c r="J1" s="5" t="s">
        <v>20</v>
      </c>
      <c r="K1" s="5" t="s">
        <v>21</v>
      </c>
      <c r="L1" s="5" t="s">
        <v>22</v>
      </c>
      <c r="M1" s="6" t="s">
        <v>23</v>
      </c>
      <c r="N1" s="5" t="s">
        <v>24</v>
      </c>
    </row>
    <row r="2">
      <c r="A2" s="3" t="s">
        <v>8</v>
      </c>
      <c r="B2" s="3">
        <v>2024.0</v>
      </c>
      <c r="C2" s="3" t="s">
        <v>9</v>
      </c>
      <c r="D2" s="3">
        <v>415.4</v>
      </c>
      <c r="E2" s="3">
        <v>864.6</v>
      </c>
      <c r="F2" s="3">
        <v>333.8</v>
      </c>
      <c r="G2" s="3">
        <v>8.0</v>
      </c>
      <c r="H2" s="3">
        <v>40.1</v>
      </c>
      <c r="J2" s="6" t="s">
        <v>25</v>
      </c>
      <c r="K2" s="3">
        <f>MIN(E2:E51)</f>
        <v>614</v>
      </c>
      <c r="L2" s="3">
        <f>PERCENTILE(E2:E51, 0.25)</f>
        <v>865.85</v>
      </c>
      <c r="M2" s="3">
        <f>PERCENTILE(E2:E51, 0.75)</f>
        <v>1071.75</v>
      </c>
      <c r="N2" s="3">
        <f>MAX(E2:E51)</f>
        <v>1216.7</v>
      </c>
    </row>
    <row r="3">
      <c r="A3" s="3" t="s">
        <v>15</v>
      </c>
      <c r="B3" s="3">
        <v>2024.0</v>
      </c>
      <c r="C3" s="3" t="s">
        <v>9</v>
      </c>
      <c r="D3" s="3">
        <v>384.1</v>
      </c>
      <c r="E3" s="3">
        <v>817.4</v>
      </c>
      <c r="F3" s="3">
        <v>348.1</v>
      </c>
      <c r="G3" s="3">
        <v>9.0</v>
      </c>
      <c r="H3" s="3">
        <v>35.2</v>
      </c>
    </row>
    <row r="4">
      <c r="A4" s="3" t="s">
        <v>16</v>
      </c>
      <c r="B4" s="3">
        <v>2024.0</v>
      </c>
      <c r="C4" s="3" t="s">
        <v>9</v>
      </c>
      <c r="D4" s="3">
        <v>323.1</v>
      </c>
      <c r="E4" s="3">
        <v>678.4</v>
      </c>
      <c r="F4" s="3">
        <v>313.5</v>
      </c>
      <c r="G4" s="3">
        <v>11.0</v>
      </c>
      <c r="H4" s="3">
        <v>40.5</v>
      </c>
    </row>
    <row r="5">
      <c r="A5" s="3" t="s">
        <v>19</v>
      </c>
      <c r="B5" s="3">
        <v>2024.0</v>
      </c>
      <c r="C5" s="3" t="s">
        <v>9</v>
      </c>
      <c r="D5" s="3">
        <v>409.3</v>
      </c>
      <c r="E5" s="3">
        <v>1190.9</v>
      </c>
      <c r="F5" s="3">
        <v>573.1</v>
      </c>
      <c r="G5" s="3">
        <v>8.0</v>
      </c>
      <c r="H5" s="3">
        <v>20.5</v>
      </c>
    </row>
    <row r="6">
      <c r="A6" s="3" t="s">
        <v>12</v>
      </c>
      <c r="B6" s="3">
        <v>2024.0</v>
      </c>
      <c r="C6" s="3" t="s">
        <v>9</v>
      </c>
      <c r="D6" s="3">
        <v>415.1</v>
      </c>
      <c r="E6" s="3">
        <v>936.8</v>
      </c>
      <c r="F6" s="3">
        <v>414.9</v>
      </c>
      <c r="G6" s="3">
        <v>7.0</v>
      </c>
      <c r="H6" s="3">
        <v>29.5</v>
      </c>
    </row>
    <row r="7">
      <c r="A7" s="3" t="s">
        <v>26</v>
      </c>
      <c r="B7" s="3">
        <v>2024.0</v>
      </c>
      <c r="C7" s="3" t="s">
        <v>9</v>
      </c>
      <c r="D7" s="3">
        <v>381.5</v>
      </c>
      <c r="E7" s="3">
        <v>874.7</v>
      </c>
      <c r="F7" s="3">
        <v>566.9</v>
      </c>
      <c r="G7" s="3">
        <v>9.0</v>
      </c>
      <c r="H7" s="3">
        <v>24.8</v>
      </c>
    </row>
    <row r="8">
      <c r="A8" s="3" t="s">
        <v>27</v>
      </c>
      <c r="B8" s="3">
        <v>2024.0</v>
      </c>
      <c r="C8" s="3" t="s">
        <v>9</v>
      </c>
      <c r="D8" s="3">
        <v>406.8</v>
      </c>
      <c r="E8" s="3">
        <v>879.5</v>
      </c>
      <c r="F8" s="3">
        <v>329.0</v>
      </c>
      <c r="G8" s="3">
        <v>13.0</v>
      </c>
      <c r="H8" s="3">
        <v>5.6</v>
      </c>
    </row>
    <row r="9">
      <c r="A9" s="3" t="s">
        <v>28</v>
      </c>
      <c r="B9" s="3">
        <v>2024.0</v>
      </c>
      <c r="C9" s="3" t="s">
        <v>9</v>
      </c>
      <c r="D9" s="3">
        <v>348.6</v>
      </c>
      <c r="E9" s="3">
        <v>1007.0</v>
      </c>
      <c r="F9" s="3">
        <v>426.1</v>
      </c>
      <c r="G9" s="3">
        <v>12.0</v>
      </c>
      <c r="H9" s="3">
        <v>49.2</v>
      </c>
    </row>
    <row r="10">
      <c r="A10" s="3" t="s">
        <v>29</v>
      </c>
      <c r="B10" s="3">
        <v>2024.0</v>
      </c>
      <c r="C10" s="3" t="s">
        <v>9</v>
      </c>
      <c r="D10" s="3">
        <v>398.3</v>
      </c>
      <c r="E10" s="3">
        <v>887.5</v>
      </c>
      <c r="F10" s="3">
        <v>387.4</v>
      </c>
      <c r="G10" s="3">
        <v>10.0</v>
      </c>
      <c r="H10" s="3">
        <v>33.9</v>
      </c>
    </row>
    <row r="11">
      <c r="A11" s="3" t="s">
        <v>30</v>
      </c>
      <c r="B11" s="3">
        <v>2024.0</v>
      </c>
      <c r="C11" s="3" t="s">
        <v>9</v>
      </c>
      <c r="D11" s="3">
        <v>370.3</v>
      </c>
      <c r="E11" s="3">
        <v>887.8</v>
      </c>
      <c r="F11" s="3">
        <v>364.7</v>
      </c>
      <c r="G11" s="3">
        <v>5.0</v>
      </c>
      <c r="H11" s="3">
        <v>24.7</v>
      </c>
    </row>
    <row r="12">
      <c r="A12" s="3" t="s">
        <v>31</v>
      </c>
      <c r="B12" s="3">
        <v>2024.0</v>
      </c>
      <c r="C12" s="3" t="s">
        <v>9</v>
      </c>
      <c r="D12" s="3">
        <v>442.9</v>
      </c>
      <c r="E12" s="3">
        <v>967.8</v>
      </c>
      <c r="F12" s="3">
        <v>540.2</v>
      </c>
      <c r="G12" s="3">
        <v>6.0</v>
      </c>
      <c r="H12" s="3">
        <v>21.8</v>
      </c>
    </row>
    <row r="13">
      <c r="A13" s="3" t="s">
        <v>32</v>
      </c>
      <c r="B13" s="3">
        <v>2024.0</v>
      </c>
      <c r="C13" s="3" t="s">
        <v>9</v>
      </c>
      <c r="D13" s="3">
        <v>375.1</v>
      </c>
      <c r="E13" s="3">
        <v>767.2</v>
      </c>
      <c r="F13" s="3">
        <v>469.8</v>
      </c>
      <c r="G13" s="3">
        <v>6.0</v>
      </c>
      <c r="H13" s="3">
        <v>31.1</v>
      </c>
    </row>
    <row r="14">
      <c r="A14" s="3" t="s">
        <v>33</v>
      </c>
      <c r="B14" s="3">
        <v>2024.0</v>
      </c>
      <c r="C14" s="3" t="s">
        <v>9</v>
      </c>
      <c r="D14" s="3">
        <v>423.0</v>
      </c>
      <c r="E14" s="3">
        <v>915.0</v>
      </c>
      <c r="F14" s="3">
        <v>407.6</v>
      </c>
      <c r="G14" s="3">
        <v>9.0</v>
      </c>
      <c r="H14" s="3">
        <v>41.9</v>
      </c>
    </row>
    <row r="15">
      <c r="A15" s="3" t="s">
        <v>34</v>
      </c>
      <c r="B15" s="3">
        <v>2024.0</v>
      </c>
      <c r="C15" s="3" t="s">
        <v>9</v>
      </c>
      <c r="D15" s="3">
        <v>339.8</v>
      </c>
      <c r="E15" s="3">
        <v>838.2</v>
      </c>
      <c r="F15" s="3">
        <v>290.1</v>
      </c>
      <c r="G15" s="3">
        <v>6.0</v>
      </c>
      <c r="H15" s="3">
        <v>33.2</v>
      </c>
    </row>
    <row r="16">
      <c r="A16" s="3" t="s">
        <v>35</v>
      </c>
      <c r="B16" s="3">
        <v>2024.0</v>
      </c>
      <c r="C16" s="3" t="s">
        <v>9</v>
      </c>
      <c r="D16" s="3">
        <v>304.1</v>
      </c>
      <c r="E16" s="3">
        <v>614.0</v>
      </c>
      <c r="F16" s="3">
        <v>400.0</v>
      </c>
      <c r="G16" s="3">
        <v>12.0</v>
      </c>
      <c r="H16" s="3">
        <v>44.1</v>
      </c>
    </row>
    <row r="17">
      <c r="A17" s="3" t="s">
        <v>36</v>
      </c>
      <c r="B17" s="3">
        <v>2024.0</v>
      </c>
      <c r="C17" s="3" t="s">
        <v>9</v>
      </c>
      <c r="D17" s="3">
        <v>307.7</v>
      </c>
      <c r="E17" s="3">
        <v>869.6</v>
      </c>
      <c r="F17" s="3">
        <v>396.2</v>
      </c>
      <c r="G17" s="3">
        <v>10.0</v>
      </c>
      <c r="H17" s="3">
        <v>41.2</v>
      </c>
    </row>
    <row r="18">
      <c r="A18" s="3" t="s">
        <v>37</v>
      </c>
      <c r="B18" s="3">
        <v>2024.0</v>
      </c>
      <c r="C18" s="3" t="s">
        <v>9</v>
      </c>
      <c r="D18" s="3">
        <v>364.4</v>
      </c>
      <c r="E18" s="3">
        <v>1005.8</v>
      </c>
      <c r="F18" s="3">
        <v>464.0</v>
      </c>
      <c r="G18" s="3">
        <v>7.0</v>
      </c>
      <c r="H18" s="3">
        <v>38.1</v>
      </c>
    </row>
    <row r="19">
      <c r="A19" s="3" t="s">
        <v>38</v>
      </c>
      <c r="B19" s="3">
        <v>2024.0</v>
      </c>
      <c r="C19" s="3" t="s">
        <v>9</v>
      </c>
      <c r="D19" s="3">
        <v>330.6</v>
      </c>
      <c r="E19" s="3">
        <v>912.5</v>
      </c>
      <c r="F19" s="3">
        <v>431.6</v>
      </c>
      <c r="G19" s="3">
        <v>12.0</v>
      </c>
      <c r="H19" s="3">
        <v>11.7</v>
      </c>
    </row>
    <row r="20">
      <c r="A20" s="3" t="s">
        <v>39</v>
      </c>
      <c r="B20" s="3">
        <v>2024.0</v>
      </c>
      <c r="C20" s="3" t="s">
        <v>9</v>
      </c>
      <c r="D20" s="3">
        <v>292.9</v>
      </c>
      <c r="E20" s="3">
        <v>861.4</v>
      </c>
      <c r="F20" s="3">
        <v>270.2</v>
      </c>
      <c r="G20" s="3">
        <v>11.0</v>
      </c>
      <c r="H20" s="3">
        <v>31.6</v>
      </c>
    </row>
    <row r="21">
      <c r="A21" s="3" t="s">
        <v>40</v>
      </c>
      <c r="B21" s="3">
        <v>2024.0</v>
      </c>
      <c r="C21" s="3" t="s">
        <v>9</v>
      </c>
      <c r="D21" s="3">
        <v>405.5</v>
      </c>
      <c r="E21" s="3">
        <v>1148.3</v>
      </c>
      <c r="F21" s="3">
        <v>438.9</v>
      </c>
      <c r="G21" s="3">
        <v>5.0</v>
      </c>
      <c r="H21" s="3">
        <v>46.8</v>
      </c>
    </row>
    <row r="22">
      <c r="A22" s="3" t="s">
        <v>41</v>
      </c>
      <c r="B22" s="3">
        <v>2024.0</v>
      </c>
      <c r="C22" s="3" t="s">
        <v>9</v>
      </c>
      <c r="D22" s="3">
        <v>448.7</v>
      </c>
      <c r="E22" s="3">
        <v>991.3</v>
      </c>
      <c r="F22" s="3">
        <v>625.5</v>
      </c>
      <c r="G22" s="3">
        <v>5.0</v>
      </c>
      <c r="H22" s="3">
        <v>27.5</v>
      </c>
    </row>
    <row r="23">
      <c r="A23" s="3" t="s">
        <v>42</v>
      </c>
      <c r="B23" s="3">
        <v>2024.0</v>
      </c>
      <c r="C23" s="3" t="s">
        <v>9</v>
      </c>
      <c r="D23" s="3">
        <v>420.2</v>
      </c>
      <c r="E23" s="3">
        <v>1158.3</v>
      </c>
      <c r="F23" s="3">
        <v>433.8</v>
      </c>
      <c r="G23" s="3">
        <v>10.0</v>
      </c>
      <c r="H23" s="3">
        <v>20.3</v>
      </c>
    </row>
    <row r="24">
      <c r="A24" s="3" t="s">
        <v>43</v>
      </c>
      <c r="B24" s="3">
        <v>2024.0</v>
      </c>
      <c r="C24" s="3" t="s">
        <v>9</v>
      </c>
      <c r="D24" s="3">
        <v>410.4</v>
      </c>
      <c r="E24" s="3">
        <v>1213.2</v>
      </c>
      <c r="F24" s="3">
        <v>481.0</v>
      </c>
      <c r="G24" s="3">
        <v>5.0</v>
      </c>
      <c r="H24" s="3">
        <v>48.5</v>
      </c>
    </row>
    <row r="25">
      <c r="A25" s="3" t="s">
        <v>44</v>
      </c>
      <c r="B25" s="3">
        <v>2024.0</v>
      </c>
      <c r="C25" s="3" t="s">
        <v>9</v>
      </c>
      <c r="D25" s="3">
        <v>379.7</v>
      </c>
      <c r="E25" s="3">
        <v>969.1</v>
      </c>
      <c r="F25" s="3">
        <v>317.2</v>
      </c>
      <c r="G25" s="3">
        <v>8.0</v>
      </c>
      <c r="H25" s="3">
        <v>22.8</v>
      </c>
    </row>
    <row r="26">
      <c r="A26" s="3" t="s">
        <v>45</v>
      </c>
      <c r="B26" s="3">
        <v>2024.0</v>
      </c>
      <c r="C26" s="3" t="s">
        <v>9</v>
      </c>
      <c r="D26" s="3">
        <v>388.2</v>
      </c>
      <c r="E26" s="3">
        <v>1095.1</v>
      </c>
      <c r="F26" s="3">
        <v>320.8</v>
      </c>
      <c r="G26" s="3">
        <v>6.0</v>
      </c>
      <c r="H26" s="3">
        <v>47.6</v>
      </c>
    </row>
    <row r="27">
      <c r="A27" s="3" t="s">
        <v>46</v>
      </c>
      <c r="B27" s="3">
        <v>2024.0</v>
      </c>
      <c r="C27" s="3" t="s">
        <v>9</v>
      </c>
      <c r="D27" s="3">
        <v>386.7</v>
      </c>
      <c r="E27" s="3">
        <v>1005.2</v>
      </c>
      <c r="F27" s="3">
        <v>519.5</v>
      </c>
      <c r="G27" s="3">
        <v>10.0</v>
      </c>
      <c r="H27" s="3">
        <v>47.1</v>
      </c>
    </row>
    <row r="28">
      <c r="A28" s="3" t="s">
        <v>47</v>
      </c>
      <c r="B28" s="3">
        <v>2024.0</v>
      </c>
      <c r="C28" s="3" t="s">
        <v>9</v>
      </c>
      <c r="D28" s="3">
        <v>391.4</v>
      </c>
      <c r="E28" s="3">
        <v>1167.3</v>
      </c>
      <c r="F28" s="3">
        <v>367.4</v>
      </c>
      <c r="G28" s="3">
        <v>8.0</v>
      </c>
      <c r="H28" s="3">
        <v>3.8</v>
      </c>
    </row>
    <row r="29">
      <c r="A29" s="3" t="s">
        <v>48</v>
      </c>
      <c r="B29" s="3">
        <v>2024.0</v>
      </c>
      <c r="C29" s="3" t="s">
        <v>9</v>
      </c>
      <c r="D29" s="3">
        <v>319.2</v>
      </c>
      <c r="E29" s="3">
        <v>682.0</v>
      </c>
      <c r="F29" s="3">
        <v>426.0</v>
      </c>
      <c r="G29" s="3">
        <v>12.0</v>
      </c>
      <c r="H29" s="3">
        <v>12.3</v>
      </c>
    </row>
    <row r="30">
      <c r="A30" s="3" t="s">
        <v>49</v>
      </c>
      <c r="B30" s="3">
        <v>2024.0</v>
      </c>
      <c r="C30" s="3" t="s">
        <v>9</v>
      </c>
      <c r="D30" s="3">
        <v>402.9</v>
      </c>
      <c r="E30" s="3">
        <v>988.0</v>
      </c>
      <c r="F30" s="3">
        <v>326.9</v>
      </c>
      <c r="G30" s="3">
        <v>7.0</v>
      </c>
      <c r="H30" s="3">
        <v>10.1</v>
      </c>
    </row>
    <row r="31">
      <c r="A31" s="3" t="s">
        <v>50</v>
      </c>
      <c r="B31" s="3">
        <v>2024.0</v>
      </c>
      <c r="C31" s="3" t="s">
        <v>9</v>
      </c>
      <c r="D31" s="3">
        <v>406.0</v>
      </c>
      <c r="E31" s="3">
        <v>1181.8</v>
      </c>
      <c r="F31" s="3">
        <v>556.2</v>
      </c>
      <c r="G31" s="3">
        <v>10.0</v>
      </c>
      <c r="H31" s="3">
        <v>19.5</v>
      </c>
    </row>
    <row r="32">
      <c r="A32" s="3" t="s">
        <v>51</v>
      </c>
      <c r="B32" s="3">
        <v>2024.0</v>
      </c>
      <c r="C32" s="3" t="s">
        <v>9</v>
      </c>
      <c r="D32" s="3">
        <v>415.0</v>
      </c>
      <c r="E32" s="3">
        <v>839.4</v>
      </c>
      <c r="F32" s="3">
        <v>531.6</v>
      </c>
      <c r="G32" s="3">
        <v>7.0</v>
      </c>
      <c r="H32" s="3">
        <v>28.4</v>
      </c>
    </row>
    <row r="33">
      <c r="A33" s="3" t="s">
        <v>52</v>
      </c>
      <c r="B33" s="3">
        <v>2024.0</v>
      </c>
      <c r="C33" s="3" t="s">
        <v>9</v>
      </c>
      <c r="D33" s="3">
        <v>390.0</v>
      </c>
      <c r="E33" s="3">
        <v>987.5</v>
      </c>
      <c r="F33" s="3">
        <v>532.9</v>
      </c>
      <c r="G33" s="3">
        <v>4.0</v>
      </c>
      <c r="H33" s="3">
        <v>10.8</v>
      </c>
    </row>
    <row r="34">
      <c r="A34" s="3" t="s">
        <v>53</v>
      </c>
      <c r="B34" s="3">
        <v>2024.0</v>
      </c>
      <c r="C34" s="3" t="s">
        <v>9</v>
      </c>
      <c r="D34" s="3">
        <v>435.2</v>
      </c>
      <c r="E34" s="3">
        <v>1057.2</v>
      </c>
      <c r="F34" s="3">
        <v>642.5</v>
      </c>
      <c r="G34" s="3">
        <v>12.0</v>
      </c>
      <c r="H34" s="3">
        <v>46.9</v>
      </c>
    </row>
    <row r="35">
      <c r="A35" s="3" t="s">
        <v>54</v>
      </c>
      <c r="B35" s="3">
        <v>2024.0</v>
      </c>
      <c r="C35" s="3" t="s">
        <v>9</v>
      </c>
      <c r="D35" s="3">
        <v>365.6</v>
      </c>
      <c r="E35" s="3">
        <v>885.7</v>
      </c>
      <c r="F35" s="3">
        <v>497.3</v>
      </c>
      <c r="G35" s="3">
        <v>4.0</v>
      </c>
      <c r="H35" s="3">
        <v>39.5</v>
      </c>
    </row>
    <row r="36">
      <c r="A36" s="3" t="s">
        <v>55</v>
      </c>
      <c r="B36" s="3">
        <v>2024.0</v>
      </c>
      <c r="C36" s="3" t="s">
        <v>9</v>
      </c>
      <c r="D36" s="3">
        <v>412.5</v>
      </c>
      <c r="E36" s="3">
        <v>988.8</v>
      </c>
      <c r="F36" s="3">
        <v>391.3</v>
      </c>
      <c r="G36" s="3">
        <v>8.0</v>
      </c>
      <c r="H36" s="3">
        <v>7.6</v>
      </c>
    </row>
    <row r="37">
      <c r="A37" s="3" t="s">
        <v>56</v>
      </c>
      <c r="B37" s="3">
        <v>2024.0</v>
      </c>
      <c r="C37" s="3" t="s">
        <v>9</v>
      </c>
      <c r="D37" s="3">
        <v>332.8</v>
      </c>
      <c r="E37" s="3">
        <v>934.3</v>
      </c>
      <c r="F37" s="3">
        <v>334.8</v>
      </c>
      <c r="G37" s="3">
        <v>5.0</v>
      </c>
      <c r="H37" s="3">
        <v>31.4</v>
      </c>
    </row>
    <row r="38">
      <c r="A38" s="3" t="s">
        <v>57</v>
      </c>
      <c r="B38" s="3">
        <v>2024.0</v>
      </c>
      <c r="C38" s="3" t="s">
        <v>9</v>
      </c>
      <c r="D38" s="3">
        <v>387.1</v>
      </c>
      <c r="E38" s="3">
        <v>1046.2</v>
      </c>
      <c r="F38" s="3">
        <v>565.2</v>
      </c>
      <c r="G38" s="3">
        <v>10.0</v>
      </c>
      <c r="H38" s="3">
        <v>22.6</v>
      </c>
    </row>
    <row r="39">
      <c r="A39" s="3" t="s">
        <v>58</v>
      </c>
      <c r="B39" s="3">
        <v>2024.0</v>
      </c>
      <c r="C39" s="3" t="s">
        <v>9</v>
      </c>
      <c r="D39" s="3">
        <v>435.3</v>
      </c>
      <c r="E39" s="3">
        <v>1091.5</v>
      </c>
      <c r="F39" s="3">
        <v>593.3</v>
      </c>
      <c r="G39" s="3">
        <v>6.0</v>
      </c>
      <c r="H39" s="3">
        <v>28.9</v>
      </c>
    </row>
    <row r="40">
      <c r="A40" s="3" t="s">
        <v>59</v>
      </c>
      <c r="B40" s="3">
        <v>2024.0</v>
      </c>
      <c r="C40" s="3" t="s">
        <v>9</v>
      </c>
      <c r="D40" s="3">
        <v>414.8</v>
      </c>
      <c r="E40" s="3">
        <v>1156.0</v>
      </c>
      <c r="F40" s="3">
        <v>465.9</v>
      </c>
      <c r="G40" s="3">
        <v>6.0</v>
      </c>
      <c r="H40" s="3">
        <v>46.1</v>
      </c>
    </row>
    <row r="41">
      <c r="A41" s="3" t="s">
        <v>60</v>
      </c>
      <c r="B41" s="3">
        <v>2024.0</v>
      </c>
      <c r="C41" s="3" t="s">
        <v>9</v>
      </c>
      <c r="D41" s="3">
        <v>442.4</v>
      </c>
      <c r="E41" s="3">
        <v>900.6</v>
      </c>
      <c r="F41" s="3">
        <v>603.1</v>
      </c>
      <c r="G41" s="3">
        <v>6.0</v>
      </c>
      <c r="H41" s="3">
        <v>42.8</v>
      </c>
    </row>
    <row r="42">
      <c r="A42" s="3" t="s">
        <v>61</v>
      </c>
      <c r="B42" s="3">
        <v>2024.0</v>
      </c>
      <c r="C42" s="3" t="s">
        <v>9</v>
      </c>
      <c r="D42" s="3">
        <v>387.1</v>
      </c>
      <c r="E42" s="3">
        <v>780.1</v>
      </c>
      <c r="F42" s="3">
        <v>531.0</v>
      </c>
      <c r="G42" s="3">
        <v>7.0</v>
      </c>
      <c r="H42" s="3">
        <v>18.6</v>
      </c>
    </row>
    <row r="43">
      <c r="A43" s="3" t="s">
        <v>62</v>
      </c>
      <c r="B43" s="3">
        <v>2024.0</v>
      </c>
      <c r="C43" s="3" t="s">
        <v>9</v>
      </c>
      <c r="D43" s="3">
        <v>442.5</v>
      </c>
      <c r="E43" s="3">
        <v>1216.7</v>
      </c>
      <c r="F43" s="3">
        <v>408.4</v>
      </c>
      <c r="G43" s="3">
        <v>5.0</v>
      </c>
      <c r="H43" s="3">
        <v>6.4</v>
      </c>
    </row>
    <row r="44">
      <c r="A44" s="3" t="s">
        <v>63</v>
      </c>
      <c r="B44" s="3">
        <v>2024.0</v>
      </c>
      <c r="C44" s="3" t="s">
        <v>9</v>
      </c>
      <c r="D44" s="3">
        <v>392.9</v>
      </c>
      <c r="E44" s="3">
        <v>1169.1</v>
      </c>
      <c r="F44" s="3">
        <v>415.2</v>
      </c>
      <c r="G44" s="3">
        <v>11.0</v>
      </c>
      <c r="H44" s="3">
        <v>21.9</v>
      </c>
    </row>
    <row r="45">
      <c r="A45" s="3" t="s">
        <v>64</v>
      </c>
      <c r="B45" s="3">
        <v>2024.0</v>
      </c>
      <c r="C45" s="3" t="s">
        <v>9</v>
      </c>
      <c r="D45" s="3">
        <v>362.8</v>
      </c>
      <c r="E45" s="3">
        <v>882.0</v>
      </c>
      <c r="F45" s="3">
        <v>417.7</v>
      </c>
      <c r="G45" s="3">
        <v>5.0</v>
      </c>
      <c r="H45" s="3">
        <v>13.8</v>
      </c>
    </row>
    <row r="46">
      <c r="A46" s="3" t="s">
        <v>65</v>
      </c>
      <c r="B46" s="3">
        <v>2024.0</v>
      </c>
      <c r="C46" s="3" t="s">
        <v>9</v>
      </c>
      <c r="D46" s="3">
        <v>388.4</v>
      </c>
      <c r="E46" s="3">
        <v>1142.4</v>
      </c>
      <c r="F46" s="3">
        <v>541.7</v>
      </c>
      <c r="G46" s="3">
        <v>6.0</v>
      </c>
      <c r="H46" s="3">
        <v>27.2</v>
      </c>
    </row>
    <row r="47">
      <c r="A47" s="3" t="s">
        <v>66</v>
      </c>
      <c r="B47" s="3">
        <v>2024.0</v>
      </c>
      <c r="C47" s="3" t="s">
        <v>9</v>
      </c>
      <c r="D47" s="3">
        <v>327.5</v>
      </c>
      <c r="E47" s="3">
        <v>694.0</v>
      </c>
      <c r="F47" s="3">
        <v>285.5</v>
      </c>
      <c r="G47" s="3">
        <v>6.0</v>
      </c>
      <c r="H47" s="3">
        <v>2.5</v>
      </c>
    </row>
    <row r="48">
      <c r="A48" s="3" t="s">
        <v>67</v>
      </c>
      <c r="B48" s="3">
        <v>2024.0</v>
      </c>
      <c r="C48" s="3" t="s">
        <v>9</v>
      </c>
      <c r="D48" s="3">
        <v>373.5</v>
      </c>
      <c r="E48" s="3">
        <v>1038.4</v>
      </c>
      <c r="F48" s="3">
        <v>496.4</v>
      </c>
      <c r="G48" s="3">
        <v>4.0</v>
      </c>
      <c r="H48" s="3">
        <v>1.2</v>
      </c>
    </row>
    <row r="49">
      <c r="A49" s="3" t="s">
        <v>68</v>
      </c>
      <c r="B49" s="3">
        <v>2024.0</v>
      </c>
      <c r="C49" s="3" t="s">
        <v>9</v>
      </c>
      <c r="D49" s="3">
        <v>343.1</v>
      </c>
      <c r="E49" s="3">
        <v>852.5</v>
      </c>
      <c r="F49" s="3">
        <v>475.0</v>
      </c>
      <c r="G49" s="3">
        <v>5.0</v>
      </c>
      <c r="H49" s="3">
        <v>6.7</v>
      </c>
    </row>
    <row r="50">
      <c r="A50" s="3" t="s">
        <v>69</v>
      </c>
      <c r="B50" s="3">
        <v>2024.0</v>
      </c>
      <c r="C50" s="3" t="s">
        <v>9</v>
      </c>
      <c r="D50" s="3">
        <v>323.8</v>
      </c>
      <c r="E50" s="3">
        <v>753.2</v>
      </c>
      <c r="F50" s="3">
        <v>436.3</v>
      </c>
      <c r="G50" s="3">
        <v>4.0</v>
      </c>
      <c r="H50" s="3">
        <v>39.3</v>
      </c>
    </row>
    <row r="51">
      <c r="A51" s="3" t="s">
        <v>70</v>
      </c>
      <c r="B51" s="3">
        <v>2024.0</v>
      </c>
      <c r="C51" s="3" t="s">
        <v>9</v>
      </c>
      <c r="D51" s="3">
        <v>362.5</v>
      </c>
      <c r="E51" s="3">
        <v>1076.6</v>
      </c>
      <c r="F51" s="3">
        <v>339.9</v>
      </c>
      <c r="G51" s="3">
        <v>9.0</v>
      </c>
      <c r="H51" s="3">
        <v>1.7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sheetData>
    <row r="1">
      <c r="A1" s="7" t="s">
        <v>71</v>
      </c>
    </row>
    <row r="2">
      <c r="A2" s="2" t="s">
        <v>0</v>
      </c>
      <c r="B2" s="2" t="s">
        <v>1</v>
      </c>
      <c r="C2" s="2" t="s">
        <v>2</v>
      </c>
      <c r="D2" s="8" t="s">
        <v>3</v>
      </c>
    </row>
    <row r="3">
      <c r="A3" s="3" t="s">
        <v>8</v>
      </c>
      <c r="B3" s="3">
        <v>2024.0</v>
      </c>
      <c r="C3" s="3" t="s">
        <v>14</v>
      </c>
      <c r="D3" s="3">
        <v>467.6</v>
      </c>
    </row>
    <row r="4">
      <c r="A4" s="3" t="s">
        <v>15</v>
      </c>
      <c r="B4" s="3">
        <v>2024.0</v>
      </c>
      <c r="C4" s="3" t="s">
        <v>14</v>
      </c>
      <c r="D4" s="3">
        <v>443.5</v>
      </c>
    </row>
    <row r="5">
      <c r="A5" s="3" t="s">
        <v>16</v>
      </c>
      <c r="B5" s="3">
        <v>2024.0</v>
      </c>
      <c r="C5" s="3" t="s">
        <v>14</v>
      </c>
      <c r="D5" s="3">
        <v>442.9</v>
      </c>
    </row>
    <row r="6">
      <c r="A6" s="3" t="s">
        <v>19</v>
      </c>
      <c r="B6" s="3">
        <v>2024.0</v>
      </c>
      <c r="C6" s="3" t="s">
        <v>14</v>
      </c>
      <c r="D6" s="3">
        <v>438.0</v>
      </c>
    </row>
    <row r="7">
      <c r="A7" s="3" t="s">
        <v>12</v>
      </c>
      <c r="B7" s="3">
        <v>2024.0</v>
      </c>
      <c r="C7" s="3" t="s">
        <v>14</v>
      </c>
      <c r="D7" s="3">
        <v>428.9</v>
      </c>
    </row>
    <row r="9">
      <c r="A9" s="9" t="s">
        <v>72</v>
      </c>
    </row>
    <row r="11">
      <c r="A11" s="7" t="s">
        <v>73</v>
      </c>
    </row>
    <row r="12">
      <c r="A12" s="6" t="s">
        <v>74</v>
      </c>
    </row>
    <row r="14">
      <c r="A14" s="10" t="s">
        <v>75</v>
      </c>
    </row>
    <row r="16">
      <c r="A16" s="11" t="s">
        <v>76</v>
      </c>
    </row>
    <row r="17">
      <c r="A17" s="6" t="s">
        <v>77</v>
      </c>
    </row>
    <row r="19">
      <c r="A19" s="5" t="s">
        <v>78</v>
      </c>
    </row>
    <row r="33">
      <c r="A33" s="6" t="s">
        <v>79</v>
      </c>
    </row>
    <row r="34">
      <c r="A34" s="5" t="s">
        <v>80</v>
      </c>
    </row>
    <row r="35">
      <c r="A35" s="12" t="s">
        <v>81</v>
      </c>
    </row>
    <row r="36">
      <c r="A36" s="12" t="s">
        <v>82</v>
      </c>
    </row>
    <row r="37">
      <c r="A37" s="6" t="s">
        <v>83</v>
      </c>
    </row>
    <row r="55">
      <c r="A55" s="5" t="s">
        <v>84</v>
      </c>
    </row>
  </sheetData>
  <mergeCells count="9">
    <mergeCell ref="A37:G53"/>
    <mergeCell ref="A55:X55"/>
    <mergeCell ref="A1:F1"/>
    <mergeCell ref="A9:Z9"/>
    <mergeCell ref="A11:Z11"/>
    <mergeCell ref="A12:Z12"/>
    <mergeCell ref="A14:H14"/>
    <mergeCell ref="A16:G16"/>
    <mergeCell ref="A17:G1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2025-04-17T05:54:38Z</dcterms:created>
  <dc:creator>Lista Abutto</dc:creator>
</cp:coreProperties>
</file>